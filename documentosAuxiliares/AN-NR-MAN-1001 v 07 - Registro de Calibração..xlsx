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Automacao_2\Desktop\REGISTRO\2026\REGISTRO\"/>
    </mc:Choice>
  </mc:AlternateContent>
  <xr:revisionPtr revIDLastSave="0" documentId="13_ncr:1_{2CEE010D-EBFF-435E-85CC-6CA41CBF62EF}" xr6:coauthVersionLast="47" xr6:coauthVersionMax="47" xr10:uidLastSave="{00000000-0000-0000-0000-000000000000}"/>
  <bookViews>
    <workbookView xWindow="28680" yWindow="-120" windowWidth="29040" windowHeight="16440" tabRatio="444" xr2:uid="{00000000-000D-0000-FFFF-FFFF00000000}"/>
  </bookViews>
  <sheets>
    <sheet name="SEMESTRAL" sheetId="1" r:id="rId1"/>
    <sheet name="ANUAL" sheetId="2" r:id="rId2"/>
    <sheet name="REVISÃO" sheetId="8" r:id="rId3"/>
    <sheet name="Planilha1" sheetId="6" state="hidden" r:id="rId4"/>
    <sheet name="APOIO" sheetId="3" state="hidden" r:id="rId5"/>
    <sheet name="Plan1" sheetId="4" state="hidden" r:id="rId6"/>
  </sheets>
  <externalReferences>
    <externalReference r:id="rId7"/>
  </externalReferences>
  <definedNames>
    <definedName name="_">[1]APOIO!$B$2:$G$2</definedName>
    <definedName name="_xlnm._FilterDatabase" localSheetId="1" hidden="1">ANUAL!$A$9:$AF$672</definedName>
    <definedName name="_xlnm._FilterDatabase" localSheetId="0" hidden="1">SEMESTRAL!$A$9:$AF$570</definedName>
    <definedName name="AREAS">APOIO!$B$2:$I$2</definedName>
    <definedName name="ÁREAS_NÃO_PRODUTIVAS">APOIO!$D$4:$D$14</definedName>
    <definedName name="ATOMATADOS">APOIO!$C$3:$C$14</definedName>
    <definedName name="CEREAIS">APOIO!$E$3:$E$18</definedName>
    <definedName name="INSTRUMENTAÇÃO">APOIO!$I$4</definedName>
    <definedName name="LABORATÓRIO">APOIO!$H$3:$H$15</definedName>
    <definedName name="LOGÍSTICA">APOIO!$B$4</definedName>
    <definedName name="MOAGEM">APOIO!$J$3:$J$14</definedName>
    <definedName name="UTILIDADES">APOIO!$F$3:$F$14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2" i="1" l="1"/>
  <c r="V322" i="1"/>
  <c r="Z322" i="1"/>
  <c r="Q321" i="1"/>
  <c r="Q320" i="1"/>
  <c r="Q319" i="1"/>
  <c r="Q318" i="1"/>
  <c r="Q317" i="1"/>
  <c r="Q316" i="1"/>
  <c r="Q315" i="1"/>
  <c r="Q314" i="1"/>
  <c r="Q313" i="1"/>
  <c r="Q312" i="1"/>
  <c r="Q311" i="1"/>
  <c r="Q535" i="1"/>
  <c r="Q534" i="1"/>
  <c r="Q532" i="1"/>
  <c r="Q531" i="1"/>
  <c r="Q530" i="1"/>
  <c r="Q526" i="1"/>
  <c r="Q279" i="1"/>
  <c r="Q422" i="1"/>
  <c r="Q421" i="1"/>
  <c r="Q418" i="1"/>
  <c r="Q417" i="1"/>
  <c r="Q416" i="1"/>
  <c r="Q415" i="1"/>
  <c r="Q420" i="1"/>
  <c r="Q419" i="1"/>
  <c r="Q345" i="1"/>
  <c r="Q344" i="1"/>
  <c r="Q390" i="1"/>
  <c r="Q389" i="1"/>
  <c r="Q388" i="1"/>
  <c r="Q387" i="1"/>
  <c r="Q386" i="1"/>
  <c r="Q385" i="1"/>
  <c r="Q384" i="1"/>
  <c r="Q383" i="1"/>
  <c r="Q233" i="1"/>
  <c r="Q232" i="1"/>
  <c r="Q227" i="1"/>
  <c r="Q226" i="1"/>
  <c r="Q225" i="1"/>
  <c r="Q224" i="1"/>
  <c r="Q223" i="1"/>
  <c r="Q222" i="1"/>
  <c r="Q211" i="1"/>
  <c r="Q210" i="1"/>
  <c r="Q231" i="1"/>
  <c r="Q230" i="1"/>
  <c r="Q229" i="1"/>
  <c r="Q228" i="1"/>
  <c r="Q221" i="1"/>
  <c r="Q220" i="1"/>
  <c r="Q219" i="1"/>
  <c r="Q218" i="1"/>
  <c r="Q391" i="1" l="1"/>
  <c r="Q382" i="1"/>
  <c r="Q381" i="1"/>
  <c r="Q380" i="1"/>
  <c r="Q136" i="1"/>
  <c r="Q138" i="1"/>
  <c r="Q137" i="1"/>
  <c r="Q135" i="1"/>
  <c r="AE321" i="1"/>
  <c r="V321" i="1"/>
  <c r="Z321" i="1"/>
  <c r="AE312" i="1"/>
  <c r="V312" i="1"/>
  <c r="Z312" i="1" s="1"/>
  <c r="AE313" i="1"/>
  <c r="V313" i="1"/>
  <c r="Z313" i="1" s="1"/>
  <c r="AE314" i="1"/>
  <c r="V314" i="1"/>
  <c r="Z314" i="1" s="1"/>
  <c r="AE315" i="1"/>
  <c r="V315" i="1"/>
  <c r="Z315" i="1"/>
  <c r="AE316" i="1"/>
  <c r="V316" i="1"/>
  <c r="Z316" i="1" s="1"/>
  <c r="AE317" i="1"/>
  <c r="V317" i="1"/>
  <c r="Z317" i="1" s="1"/>
  <c r="AE318" i="1"/>
  <c r="V318" i="1"/>
  <c r="Z318" i="1" s="1"/>
  <c r="AE319" i="1"/>
  <c r="V319" i="1"/>
  <c r="Z319" i="1" s="1"/>
  <c r="AE320" i="1"/>
  <c r="V320" i="1"/>
  <c r="Z320" i="1" s="1"/>
  <c r="AE311" i="1"/>
  <c r="V311" i="1"/>
  <c r="Z311" i="1" s="1"/>
  <c r="Y308" i="2"/>
  <c r="V308" i="2"/>
  <c r="Q308" i="2"/>
  <c r="AE308" i="2" s="1"/>
  <c r="Z255" i="1"/>
  <c r="Q255" i="1"/>
  <c r="AE255" i="1" s="1"/>
  <c r="Q145" i="2"/>
  <c r="AE145" i="2" s="1"/>
  <c r="V145" i="2"/>
  <c r="Y145" i="2"/>
  <c r="Q146" i="2"/>
  <c r="AE146" i="2" s="1"/>
  <c r="V146" i="2"/>
  <c r="Y146" i="2"/>
  <c r="Q295" i="2"/>
  <c r="AE295" i="2" s="1"/>
  <c r="V295" i="2"/>
  <c r="Y295" i="2"/>
  <c r="Q296" i="2"/>
  <c r="AE296" i="2" s="1"/>
  <c r="V296" i="2"/>
  <c r="Y296" i="2"/>
  <c r="Q297" i="2"/>
  <c r="AE297" i="2" s="1"/>
  <c r="V297" i="2"/>
  <c r="Y297" i="2"/>
  <c r="Q298" i="2"/>
  <c r="AE298" i="2" s="1"/>
  <c r="V298" i="2"/>
  <c r="Y298" i="2"/>
  <c r="Q538" i="1" l="1"/>
  <c r="Q16" i="2"/>
  <c r="AE16" i="2" s="1"/>
  <c r="V16" i="2"/>
  <c r="Y16" i="2" s="1"/>
  <c r="Q272" i="1"/>
  <c r="Q31" i="2" l="1"/>
  <c r="AE31" i="2" s="1"/>
  <c r="V31" i="2"/>
  <c r="Y31" i="2"/>
  <c r="Q32" i="2"/>
  <c r="AE32" i="2" s="1"/>
  <c r="V32" i="2"/>
  <c r="Y32" i="2"/>
  <c r="Q13" i="2"/>
  <c r="AE13" i="2" s="1"/>
  <c r="V13" i="2"/>
  <c r="Y13" i="2" s="1"/>
  <c r="Q14" i="2"/>
  <c r="AE14" i="2" s="1"/>
  <c r="V14" i="2"/>
  <c r="Y14" i="2" s="1"/>
  <c r="Q15" i="2"/>
  <c r="AE15" i="2" s="1"/>
  <c r="V15" i="2"/>
  <c r="Y15" i="2" s="1"/>
  <c r="Q17" i="2"/>
  <c r="AE17" i="2" s="1"/>
  <c r="V17" i="2"/>
  <c r="Y17" i="2" s="1"/>
  <c r="Q253" i="1"/>
  <c r="Q289" i="1"/>
  <c r="AE289" i="1" s="1"/>
  <c r="V289" i="1"/>
  <c r="Z289" i="1" s="1"/>
  <c r="Q290" i="1"/>
  <c r="AE290" i="1" s="1"/>
  <c r="V290" i="1"/>
  <c r="Z290" i="1" s="1"/>
  <c r="Q306" i="1"/>
  <c r="Q300" i="1"/>
  <c r="Q291" i="1"/>
  <c r="Q247" i="1" l="1"/>
  <c r="AE247" i="1" s="1"/>
  <c r="V247" i="1"/>
  <c r="Z247" i="1" s="1"/>
  <c r="Q248" i="1"/>
  <c r="AE248" i="1" s="1"/>
  <c r="V248" i="1"/>
  <c r="Z248" i="1" s="1"/>
  <c r="Q262" i="1" l="1"/>
  <c r="Q260" i="1"/>
  <c r="Q259" i="1"/>
  <c r="Q254" i="1"/>
  <c r="Q251" i="1"/>
  <c r="Q249" i="1"/>
  <c r="Q244" i="1"/>
  <c r="Q491" i="2"/>
  <c r="AE491" i="2" s="1"/>
  <c r="V491" i="2"/>
  <c r="Y491" i="2"/>
  <c r="Q298" i="1" l="1"/>
  <c r="Q266" i="1"/>
  <c r="Q110" i="1"/>
  <c r="Q497" i="1"/>
  <c r="Q496" i="1"/>
  <c r="Q495" i="1"/>
  <c r="Q494" i="1"/>
  <c r="Q493" i="1"/>
  <c r="Q492" i="1"/>
  <c r="Q491" i="1"/>
  <c r="Q490" i="1"/>
  <c r="Q472" i="1"/>
  <c r="Q471" i="1"/>
  <c r="Q470" i="1"/>
  <c r="Q469" i="1"/>
  <c r="Q468" i="1"/>
  <c r="Q467" i="1"/>
  <c r="Q458" i="1"/>
  <c r="Q457" i="1"/>
  <c r="Q379" i="1"/>
  <c r="Q378" i="1"/>
  <c r="Q377" i="1"/>
  <c r="Q370" i="1"/>
  <c r="Q343" i="1"/>
  <c r="Q132" i="1"/>
  <c r="Q131" i="1"/>
  <c r="Q130" i="1"/>
  <c r="Q117" i="1"/>
  <c r="Q116" i="1"/>
  <c r="Q115" i="1"/>
  <c r="Q114" i="1"/>
  <c r="Q113" i="1"/>
  <c r="Q112" i="1"/>
  <c r="Q111" i="1"/>
  <c r="Q109" i="1"/>
  <c r="Q108" i="1"/>
  <c r="Q91" i="1"/>
  <c r="Q90" i="1"/>
  <c r="Q89" i="1"/>
  <c r="Q88" i="1"/>
  <c r="Q87" i="1"/>
  <c r="Q86" i="1"/>
  <c r="Q75" i="1"/>
  <c r="Q74" i="1"/>
  <c r="Q263" i="1"/>
  <c r="Q13" i="1"/>
  <c r="Q12" i="1"/>
  <c r="V672" i="2"/>
  <c r="Y672" i="2"/>
  <c r="Q672" i="2"/>
  <c r="V670" i="2" l="1"/>
  <c r="Y670" i="2" s="1"/>
  <c r="V671" i="2"/>
  <c r="Y671" i="2" s="1"/>
  <c r="Q669" i="2"/>
  <c r="AE669" i="2" s="1"/>
  <c r="V669" i="2"/>
  <c r="Y669" i="2" s="1"/>
  <c r="Q287" i="1"/>
  <c r="AE287" i="1" s="1"/>
  <c r="V287" i="1"/>
  <c r="Z287" i="1" s="1"/>
  <c r="Q310" i="1" l="1"/>
  <c r="Q261" i="1" l="1"/>
  <c r="Q317" i="2"/>
  <c r="AE317" i="2" s="1"/>
  <c r="V317" i="2"/>
  <c r="Y317" i="2"/>
  <c r="Q318" i="2"/>
  <c r="AE318" i="2" s="1"/>
  <c r="V318" i="2"/>
  <c r="Y318" i="2"/>
  <c r="Q319" i="2"/>
  <c r="AE319" i="2" s="1"/>
  <c r="V319" i="2"/>
  <c r="Y319" i="2"/>
  <c r="V660" i="2" l="1"/>
  <c r="V661" i="2"/>
  <c r="V662" i="2"/>
  <c r="V663" i="2"/>
  <c r="V664" i="2"/>
  <c r="V665" i="2"/>
  <c r="V666" i="2"/>
  <c r="V667" i="2"/>
  <c r="V668" i="2"/>
  <c r="V547" i="1" l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Q128" i="1"/>
  <c r="Q482" i="1"/>
  <c r="Q376" i="1"/>
  <c r="Q129" i="1"/>
  <c r="Q85" i="1"/>
  <c r="Y660" i="2"/>
  <c r="Y661" i="2"/>
  <c r="Y662" i="2"/>
  <c r="Y663" i="2"/>
  <c r="Y664" i="2"/>
  <c r="Y665" i="2"/>
  <c r="Y666" i="2"/>
  <c r="Y667" i="2"/>
  <c r="Y668" i="2"/>
  <c r="Q661" i="2"/>
  <c r="Q662" i="2"/>
  <c r="AE662" i="2" s="1"/>
  <c r="Q663" i="2"/>
  <c r="AE663" i="2" s="1"/>
  <c r="Q664" i="2"/>
  <c r="AE664" i="2" s="1"/>
  <c r="Q665" i="2"/>
  <c r="AE665" i="2" s="1"/>
  <c r="Q666" i="2"/>
  <c r="Q667" i="2"/>
  <c r="AE667" i="2" s="1"/>
  <c r="Q668" i="2"/>
  <c r="AE668" i="2" s="1"/>
  <c r="Q660" i="2"/>
  <c r="AE660" i="2" s="1"/>
  <c r="Q299" i="1"/>
  <c r="AE666" i="2" l="1"/>
  <c r="AE661" i="2"/>
  <c r="AE299" i="1"/>
  <c r="V299" i="1"/>
  <c r="Z299" i="1" s="1"/>
  <c r="Q127" i="1"/>
  <c r="Q239" i="1"/>
  <c r="Q520" i="1"/>
  <c r="Q126" i="1"/>
  <c r="Q125" i="1"/>
  <c r="Q124" i="1"/>
  <c r="Q107" i="1"/>
  <c r="Q106" i="1"/>
  <c r="Q103" i="1"/>
  <c r="Q102" i="1"/>
  <c r="Q101" i="1"/>
  <c r="Q100" i="1"/>
  <c r="Q99" i="1"/>
  <c r="Q98" i="1"/>
  <c r="Q489" i="1"/>
  <c r="Q488" i="1"/>
  <c r="Q485" i="1"/>
  <c r="Q484" i="1"/>
  <c r="Q483" i="1"/>
  <c r="Q481" i="1"/>
  <c r="Q480" i="1"/>
  <c r="Q374" i="1"/>
  <c r="Q373" i="1"/>
  <c r="Q372" i="1"/>
  <c r="Q371" i="1"/>
  <c r="Q566" i="1" l="1"/>
  <c r="Q561" i="1"/>
  <c r="Q560" i="1"/>
  <c r="Q548" i="1" l="1"/>
  <c r="AE548" i="1" s="1"/>
  <c r="Q547" i="1"/>
  <c r="AE547" i="1" s="1"/>
  <c r="Q570" i="1" l="1"/>
  <c r="AE570" i="1" s="1"/>
  <c r="Q569" i="1"/>
  <c r="AE569" i="1" s="1"/>
  <c r="Q568" i="1"/>
  <c r="AE568" i="1" s="1"/>
  <c r="Q567" i="1"/>
  <c r="AE567" i="1" s="1"/>
  <c r="Q565" i="1"/>
  <c r="AE565" i="1" s="1"/>
  <c r="Q564" i="1"/>
  <c r="AE564" i="1" s="1"/>
  <c r="Q563" i="1"/>
  <c r="AE563" i="1" s="1"/>
  <c r="Q562" i="1"/>
  <c r="AE562" i="1" s="1"/>
  <c r="Q559" i="1"/>
  <c r="AE559" i="1" s="1"/>
  <c r="Q558" i="1"/>
  <c r="AE558" i="1" s="1"/>
  <c r="Q557" i="1"/>
  <c r="AE557" i="1" s="1"/>
  <c r="Q556" i="1"/>
  <c r="AE556" i="1" s="1"/>
  <c r="Q555" i="1"/>
  <c r="AE555" i="1" s="1"/>
  <c r="Q554" i="1"/>
  <c r="AE554" i="1" s="1"/>
  <c r="Q553" i="1"/>
  <c r="AE553" i="1" s="1"/>
  <c r="Q552" i="1"/>
  <c r="AE552" i="1" s="1"/>
  <c r="Q551" i="1"/>
  <c r="AE551" i="1" s="1"/>
  <c r="Q550" i="1"/>
  <c r="AE550" i="1" s="1"/>
  <c r="Q549" i="1"/>
  <c r="AE549" i="1" s="1"/>
  <c r="AE560" i="1"/>
  <c r="AE561" i="1"/>
  <c r="AE566" i="1"/>
  <c r="Q546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47" i="1"/>
  <c r="Z548" i="1"/>
  <c r="Q305" i="1"/>
  <c r="Q304" i="1"/>
  <c r="Q303" i="1"/>
  <c r="Q302" i="1"/>
  <c r="Q301" i="1"/>
  <c r="Q264" i="1"/>
  <c r="Q15" i="1"/>
  <c r="V204" i="2"/>
  <c r="Y204" i="2" s="1"/>
  <c r="Q204" i="2"/>
  <c r="AE204" i="2" s="1"/>
  <c r="Q487" i="1" l="1"/>
  <c r="Q486" i="1"/>
  <c r="Q477" i="1"/>
  <c r="Q476" i="1"/>
  <c r="Q475" i="1"/>
  <c r="Q474" i="1"/>
  <c r="Q473" i="1"/>
  <c r="Q466" i="1"/>
  <c r="Q463" i="1"/>
  <c r="Q462" i="1"/>
  <c r="Q460" i="1"/>
  <c r="Q459" i="1"/>
  <c r="Q456" i="1"/>
  <c r="Q455" i="1"/>
  <c r="Q105" i="1"/>
  <c r="Q104" i="1"/>
  <c r="Q95" i="1"/>
  <c r="Q94" i="1"/>
  <c r="Q93" i="1"/>
  <c r="Q92" i="1"/>
  <c r="Q83" i="1"/>
  <c r="Q82" i="1"/>
  <c r="Q80" i="1"/>
  <c r="Q79" i="1"/>
  <c r="Q77" i="1"/>
  <c r="Q76" i="1"/>
  <c r="Q73" i="1"/>
  <c r="Q72" i="1"/>
  <c r="Q504" i="1"/>
  <c r="Q503" i="1"/>
  <c r="Q502" i="1"/>
  <c r="Q500" i="1"/>
  <c r="Q499" i="1"/>
  <c r="Q498" i="1"/>
  <c r="Q342" i="1"/>
  <c r="Q134" i="1"/>
  <c r="Q133" i="1"/>
  <c r="Q123" i="1"/>
  <c r="Q122" i="1"/>
  <c r="Q120" i="1"/>
  <c r="Q119" i="1"/>
  <c r="Q118" i="1"/>
  <c r="Q375" i="1"/>
  <c r="V266" i="1" l="1"/>
  <c r="Z266" i="1" s="1"/>
  <c r="AE266" i="1"/>
  <c r="Q273" i="1"/>
  <c r="Q256" i="1"/>
  <c r="Q252" i="1"/>
  <c r="Q544" i="1"/>
  <c r="Q543" i="1"/>
  <c r="AE543" i="1" s="1"/>
  <c r="V543" i="1"/>
  <c r="Z543" i="1" s="1"/>
  <c r="V302" i="1" l="1"/>
  <c r="Z302" i="1" s="1"/>
  <c r="V301" i="1"/>
  <c r="Z301" i="1" s="1"/>
  <c r="AE302" i="1"/>
  <c r="AE301" i="1"/>
  <c r="Q271" i="1" l="1"/>
  <c r="Q270" i="1"/>
  <c r="Q267" i="1" l="1"/>
  <c r="Q268" i="1" l="1"/>
  <c r="Q360" i="1" l="1"/>
  <c r="Q358" i="1"/>
  <c r="Q356" i="1"/>
  <c r="Q355" i="1"/>
  <c r="Q354" i="1"/>
  <c r="Q352" i="1"/>
  <c r="Q350" i="1"/>
  <c r="Q349" i="1"/>
  <c r="Q348" i="1"/>
  <c r="Q347" i="1"/>
  <c r="Q346" i="1"/>
  <c r="Q194" i="1"/>
  <c r="Q192" i="1"/>
  <c r="Q190" i="1"/>
  <c r="Q189" i="1"/>
  <c r="Q188" i="1"/>
  <c r="Q186" i="1"/>
  <c r="Q184" i="1"/>
  <c r="Q183" i="1"/>
  <c r="Q182" i="1"/>
  <c r="Q181" i="1"/>
  <c r="Q180" i="1"/>
  <c r="Q14" i="1"/>
  <c r="Q11" i="1"/>
  <c r="Q10" i="1"/>
  <c r="V556" i="2"/>
  <c r="Y556" i="2" s="1"/>
  <c r="Q556" i="2"/>
  <c r="AE556" i="2" s="1"/>
  <c r="Q353" i="1"/>
  <c r="Q351" i="1"/>
  <c r="Q187" i="1"/>
  <c r="Q185" i="1"/>
  <c r="Q340" i="1" l="1"/>
  <c r="Q337" i="1"/>
  <c r="Q335" i="1"/>
  <c r="Q331" i="1"/>
  <c r="Q328" i="1"/>
  <c r="Q327" i="1"/>
  <c r="Q325" i="1"/>
  <c r="Q39" i="1"/>
  <c r="Q38" i="1"/>
  <c r="Q37" i="1"/>
  <c r="Q35" i="1"/>
  <c r="Q31" i="1"/>
  <c r="Q27" i="1"/>
  <c r="Q23" i="1"/>
  <c r="Q341" i="1"/>
  <c r="Q339" i="1"/>
  <c r="Q338" i="1"/>
  <c r="Q336" i="1"/>
  <c r="Q334" i="1"/>
  <c r="Q333" i="1"/>
  <c r="Q332" i="1"/>
  <c r="Q330" i="1"/>
  <c r="Q329" i="1"/>
  <c r="Q326" i="1"/>
  <c r="Q324" i="1"/>
  <c r="Q323" i="1"/>
  <c r="Q36" i="1"/>
  <c r="Q34" i="1"/>
  <c r="Q33" i="1"/>
  <c r="Q32" i="1"/>
  <c r="Q30" i="1"/>
  <c r="Q29" i="1"/>
  <c r="Q28" i="1"/>
  <c r="Q26" i="1"/>
  <c r="Q25" i="1"/>
  <c r="Q24" i="1"/>
  <c r="Q22" i="1"/>
  <c r="Q21" i="1"/>
  <c r="Q519" i="1"/>
  <c r="Q518" i="1"/>
  <c r="Q507" i="1"/>
  <c r="Q369" i="1"/>
  <c r="Q368" i="1"/>
  <c r="Q367" i="1"/>
  <c r="Q364" i="1"/>
  <c r="Q363" i="1"/>
  <c r="Q362" i="1"/>
  <c r="Q361" i="1"/>
  <c r="Q238" i="1"/>
  <c r="Q197" i="1"/>
  <c r="Q196" i="1"/>
  <c r="Q195" i="1"/>
  <c r="Q139" i="1"/>
  <c r="Q69" i="1"/>
  <c r="Q68" i="1"/>
  <c r="Q61" i="1"/>
  <c r="Q20" i="1"/>
  <c r="Q297" i="1"/>
  <c r="Q163" i="1"/>
  <c r="Q161" i="1"/>
  <c r="V193" i="2"/>
  <c r="V194" i="2"/>
  <c r="V195" i="2"/>
  <c r="V196" i="2"/>
  <c r="V197" i="2"/>
  <c r="V198" i="2"/>
  <c r="V199" i="2"/>
  <c r="V200" i="2"/>
  <c r="V201" i="2"/>
  <c r="V202" i="2"/>
  <c r="V203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9" i="2"/>
  <c r="V300" i="2"/>
  <c r="V301" i="2"/>
  <c r="V302" i="2"/>
  <c r="V303" i="2"/>
  <c r="V304" i="2"/>
  <c r="V305" i="2"/>
  <c r="V306" i="2"/>
  <c r="V307" i="2"/>
  <c r="V309" i="2"/>
  <c r="V310" i="2"/>
  <c r="V311" i="2"/>
  <c r="V312" i="2"/>
  <c r="V313" i="2"/>
  <c r="V314" i="2"/>
  <c r="V315" i="2"/>
  <c r="V316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Y390" i="2" s="1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Y576" i="2" s="1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Y594" i="2" s="1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10" i="2"/>
  <c r="V11" i="2"/>
  <c r="V12" i="2"/>
  <c r="V18" i="2"/>
  <c r="V19" i="2"/>
  <c r="V20" i="2"/>
  <c r="V21" i="2"/>
  <c r="V22" i="2"/>
  <c r="V23" i="2"/>
  <c r="V24" i="2"/>
  <c r="V25" i="2"/>
  <c r="V26" i="2"/>
  <c r="V27" i="2"/>
  <c r="V28" i="2"/>
  <c r="V30" i="2"/>
  <c r="V29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Q545" i="1"/>
  <c r="Q274" i="1"/>
  <c r="Y192" i="2" l="1"/>
  <c r="Y209" i="2"/>
  <c r="V11" i="1"/>
  <c r="V12" i="1"/>
  <c r="V13" i="1"/>
  <c r="V14" i="1"/>
  <c r="V15" i="1"/>
  <c r="V17" i="1"/>
  <c r="V18" i="1"/>
  <c r="V19" i="1"/>
  <c r="V42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47" i="1"/>
  <c r="V48" i="1"/>
  <c r="V49" i="1"/>
  <c r="V50" i="1"/>
  <c r="V51" i="1"/>
  <c r="V52" i="1"/>
  <c r="V53" i="1"/>
  <c r="V54" i="1"/>
  <c r="V71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8" i="1"/>
  <c r="V72" i="1"/>
  <c r="V73" i="1"/>
  <c r="V74" i="1"/>
  <c r="V75" i="1"/>
  <c r="V76" i="1"/>
  <c r="V77" i="1"/>
  <c r="V81" i="1"/>
  <c r="V79" i="1"/>
  <c r="V80" i="1"/>
  <c r="V84" i="1"/>
  <c r="V82" i="1"/>
  <c r="V83" i="1"/>
  <c r="V96" i="1"/>
  <c r="V85" i="1"/>
  <c r="V86" i="1"/>
  <c r="V87" i="1"/>
  <c r="V88" i="1"/>
  <c r="V89" i="1"/>
  <c r="V90" i="1"/>
  <c r="V91" i="1"/>
  <c r="V92" i="1"/>
  <c r="V93" i="1"/>
  <c r="V94" i="1"/>
  <c r="V95" i="1"/>
  <c r="V97" i="1"/>
  <c r="V140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234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5" i="1"/>
  <c r="V236" i="1"/>
  <c r="V237" i="1"/>
  <c r="V257" i="1"/>
  <c r="V238" i="1"/>
  <c r="V239" i="1"/>
  <c r="V240" i="1"/>
  <c r="V241" i="1"/>
  <c r="V242" i="1"/>
  <c r="V243" i="1"/>
  <c r="V244" i="1"/>
  <c r="V245" i="1"/>
  <c r="V246" i="1"/>
  <c r="V249" i="1"/>
  <c r="V250" i="1"/>
  <c r="V251" i="1"/>
  <c r="V252" i="1"/>
  <c r="V253" i="1"/>
  <c r="V254" i="1"/>
  <c r="V256" i="1"/>
  <c r="V269" i="1"/>
  <c r="V258" i="1"/>
  <c r="V259" i="1"/>
  <c r="V260" i="1"/>
  <c r="V261" i="1"/>
  <c r="V262" i="1"/>
  <c r="V263" i="1"/>
  <c r="V264" i="1"/>
  <c r="V265" i="1"/>
  <c r="V267" i="1"/>
  <c r="V268" i="1"/>
  <c r="V274" i="1"/>
  <c r="V270" i="1"/>
  <c r="V271" i="1"/>
  <c r="V272" i="1"/>
  <c r="V273" i="1"/>
  <c r="V275" i="1"/>
  <c r="V276" i="1"/>
  <c r="V277" i="1"/>
  <c r="V16" i="1"/>
  <c r="V278" i="1"/>
  <c r="V279" i="1"/>
  <c r="V280" i="1"/>
  <c r="V281" i="1"/>
  <c r="V282" i="1"/>
  <c r="V283" i="1"/>
  <c r="V284" i="1"/>
  <c r="V285" i="1"/>
  <c r="V286" i="1"/>
  <c r="V288" i="1"/>
  <c r="V291" i="1"/>
  <c r="V292" i="1"/>
  <c r="V293" i="1"/>
  <c r="V294" i="1"/>
  <c r="Z294" i="1" s="1"/>
  <c r="V295" i="1"/>
  <c r="V296" i="1"/>
  <c r="V297" i="1"/>
  <c r="V298" i="1"/>
  <c r="V300" i="1"/>
  <c r="V303" i="1"/>
  <c r="V304" i="1"/>
  <c r="V305" i="1"/>
  <c r="V306" i="1"/>
  <c r="V307" i="1"/>
  <c r="V308" i="1"/>
  <c r="V309" i="1"/>
  <c r="V310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Z540" i="1" s="1"/>
  <c r="V541" i="1"/>
  <c r="Z541" i="1" s="1"/>
  <c r="V542" i="1"/>
  <c r="V544" i="1"/>
  <c r="V545" i="1"/>
  <c r="V546" i="1"/>
  <c r="Q453" i="1"/>
  <c r="Q84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234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2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237" i="1"/>
  <c r="Q524" i="1"/>
  <c r="Q523" i="1"/>
  <c r="Q522" i="1"/>
  <c r="Q521" i="1"/>
  <c r="Q527" i="1" s="1"/>
  <c r="Q479" i="1"/>
  <c r="Q478" i="1"/>
  <c r="Q464" i="1"/>
  <c r="Q425" i="1"/>
  <c r="Q424" i="1"/>
  <c r="Q423" i="1"/>
  <c r="Q396" i="1"/>
  <c r="Q395" i="1"/>
  <c r="Q394" i="1"/>
  <c r="Q393" i="1"/>
  <c r="Q392" i="1"/>
  <c r="Q285" i="1"/>
  <c r="AE285" i="1" s="1"/>
  <c r="Q257" i="1"/>
  <c r="Q236" i="1"/>
  <c r="Q235" i="1"/>
  <c r="Q140" i="1"/>
  <c r="Q97" i="1"/>
  <c r="Q71" i="1"/>
  <c r="Q54" i="1"/>
  <c r="Q53" i="1"/>
  <c r="Q52" i="1"/>
  <c r="Q51" i="1"/>
  <c r="Q50" i="1"/>
  <c r="Q49" i="1"/>
  <c r="Q48" i="1"/>
  <c r="Q42" i="1"/>
  <c r="Q19" i="1"/>
  <c r="Q18" i="1"/>
  <c r="Q17" i="1"/>
  <c r="Q294" i="1"/>
  <c r="AE294" i="1" s="1"/>
  <c r="Y186" i="2"/>
  <c r="Q186" i="2"/>
  <c r="AE186" i="2" s="1"/>
  <c r="Q542" i="1"/>
  <c r="Q541" i="1"/>
  <c r="AE541" i="1" s="1"/>
  <c r="Q540" i="1"/>
  <c r="AE540" i="1" s="1"/>
  <c r="Q296" i="1" l="1"/>
  <c r="Q539" i="1" l="1"/>
  <c r="Q365" i="1"/>
  <c r="Q278" i="1"/>
  <c r="Q16" i="1"/>
  <c r="Q277" i="1"/>
  <c r="Q276" i="1"/>
  <c r="Q275" i="1"/>
  <c r="Q47" i="1"/>
  <c r="Q46" i="1"/>
  <c r="Q45" i="1"/>
  <c r="Q44" i="1"/>
  <c r="Q43" i="1"/>
  <c r="Q96" i="1"/>
  <c r="Q78" i="1"/>
  <c r="Q465" i="1"/>
  <c r="Q461" i="1"/>
  <c r="Q454" i="1"/>
  <c r="Q81" i="1"/>
  <c r="Z104" i="1" l="1"/>
  <c r="AE104" i="1"/>
  <c r="Y228" i="2"/>
  <c r="Q228" i="2"/>
  <c r="AE228" i="2" s="1"/>
  <c r="Q245" i="1" l="1"/>
  <c r="Q292" i="1"/>
  <c r="AE292" i="1" s="1"/>
  <c r="Z292" i="1"/>
  <c r="Q265" i="1"/>
  <c r="Q250" i="1"/>
  <c r="Q243" i="1"/>
  <c r="Q140" i="2" l="1"/>
  <c r="Y140" i="2"/>
  <c r="Q242" i="1"/>
  <c r="Q241" i="1"/>
  <c r="Q517" i="1"/>
  <c r="Q516" i="1"/>
  <c r="Q515" i="1"/>
  <c r="Q514" i="1"/>
  <c r="Q513" i="1"/>
  <c r="Q512" i="1"/>
  <c r="Q511" i="1"/>
  <c r="Q510" i="1"/>
  <c r="Q509" i="1"/>
  <c r="Q508" i="1"/>
  <c r="Q506" i="1"/>
  <c r="Q505" i="1"/>
  <c r="Q67" i="1"/>
  <c r="Q66" i="1"/>
  <c r="Q65" i="1"/>
  <c r="Q64" i="1"/>
  <c r="Q63" i="1"/>
  <c r="Q62" i="1"/>
  <c r="Q60" i="1"/>
  <c r="Q59" i="1"/>
  <c r="Q58" i="1"/>
  <c r="Q57" i="1"/>
  <c r="Q56" i="1"/>
  <c r="Q55" i="1"/>
  <c r="AE140" i="2" l="1"/>
  <c r="Q203" i="1"/>
  <c r="Q202" i="1"/>
  <c r="Q528" i="1"/>
  <c r="Q402" i="1"/>
  <c r="Q401" i="1"/>
  <c r="Q406" i="1"/>
  <c r="Q405" i="1"/>
  <c r="Q404" i="1"/>
  <c r="Q403" i="1"/>
  <c r="Q400" i="1"/>
  <c r="Q399" i="1"/>
  <c r="Q398" i="1"/>
  <c r="Q397" i="1"/>
  <c r="Q283" i="1"/>
  <c r="Q282" i="1"/>
  <c r="Q281" i="1"/>
  <c r="Q280" i="1"/>
  <c r="Q207" i="1"/>
  <c r="Q206" i="1"/>
  <c r="Q205" i="1"/>
  <c r="Q204" i="1"/>
  <c r="Q201" i="1"/>
  <c r="Q200" i="1"/>
  <c r="Q199" i="1"/>
  <c r="Q198" i="1"/>
  <c r="Q529" i="1"/>
  <c r="Q414" i="1"/>
  <c r="Q413" i="1"/>
  <c r="Q412" i="1"/>
  <c r="Q411" i="1"/>
  <c r="Q410" i="1"/>
  <c r="Q409" i="1"/>
  <c r="Q408" i="1"/>
  <c r="Q407" i="1"/>
  <c r="Q286" i="1"/>
  <c r="Q284" i="1"/>
  <c r="Q217" i="1"/>
  <c r="Q216" i="1"/>
  <c r="Q215" i="1"/>
  <c r="Q214" i="1"/>
  <c r="Q213" i="1"/>
  <c r="Q212" i="1"/>
  <c r="Q209" i="1"/>
  <c r="Q208" i="1"/>
  <c r="Q659" i="2"/>
  <c r="Q525" i="1"/>
  <c r="Q240" i="1"/>
  <c r="Y659" i="2" l="1"/>
  <c r="AE659" i="2"/>
  <c r="Q454" i="2"/>
  <c r="AE454" i="2" l="1"/>
  <c r="Y454" i="2"/>
  <c r="AE526" i="1"/>
  <c r="Z279" i="1"/>
  <c r="AE279" i="1"/>
  <c r="Z544" i="1" l="1"/>
  <c r="AE544" i="1"/>
  <c r="Q537" i="1"/>
  <c r="Q536" i="1"/>
  <c r="AE545" i="1" l="1"/>
  <c r="AE546" i="1"/>
  <c r="Q83" i="2"/>
  <c r="Q82" i="2"/>
  <c r="Q84" i="2"/>
  <c r="Q50" i="2"/>
  <c r="Q51" i="2"/>
  <c r="Q132" i="2"/>
  <c r="Y132" i="2"/>
  <c r="Q136" i="2"/>
  <c r="Y136" i="2"/>
  <c r="Q137" i="2"/>
  <c r="Y137" i="2"/>
  <c r="Q141" i="2"/>
  <c r="Y141" i="2"/>
  <c r="Q185" i="2"/>
  <c r="Y185" i="2"/>
  <c r="Q224" i="2"/>
  <c r="Y224" i="2"/>
  <c r="Q30" i="2"/>
  <c r="Y30" i="2"/>
  <c r="Q170" i="2"/>
  <c r="Y170" i="2"/>
  <c r="Q148" i="2"/>
  <c r="Y148" i="2"/>
  <c r="Q40" i="2"/>
  <c r="Y40" i="2"/>
  <c r="Q41" i="2"/>
  <c r="Y41" i="2"/>
  <c r="Q46" i="2"/>
  <c r="Y46" i="2"/>
  <c r="Y138" i="2"/>
  <c r="Y135" i="2"/>
  <c r="Y149" i="2"/>
  <c r="Y173" i="2"/>
  <c r="Y177" i="2"/>
  <c r="Y226" i="2"/>
  <c r="Y477" i="2"/>
  <c r="Y489" i="2"/>
  <c r="Y48" i="2"/>
  <c r="Y608" i="2"/>
  <c r="Y609" i="2"/>
  <c r="Y610" i="2"/>
  <c r="Q54" i="2"/>
  <c r="Q138" i="2"/>
  <c r="Q135" i="2"/>
  <c r="Q149" i="2"/>
  <c r="Q173" i="2"/>
  <c r="Q177" i="2"/>
  <c r="Q226" i="2"/>
  <c r="Q477" i="2"/>
  <c r="Q489" i="2"/>
  <c r="Q608" i="2"/>
  <c r="Q609" i="2"/>
  <c r="Q610" i="2"/>
  <c r="Q617" i="2"/>
  <c r="Q48" i="2"/>
  <c r="Q62" i="2"/>
  <c r="AE149" i="2" l="1"/>
  <c r="Y84" i="2"/>
  <c r="AE62" i="2"/>
  <c r="AE477" i="2"/>
  <c r="AE54" i="2"/>
  <c r="AE148" i="2"/>
  <c r="AE132" i="2"/>
  <c r="AE84" i="2"/>
  <c r="Y617" i="2"/>
  <c r="AE41" i="2"/>
  <c r="AE137" i="2"/>
  <c r="AE51" i="2"/>
  <c r="AE82" i="2"/>
  <c r="AE138" i="2"/>
  <c r="AE46" i="2"/>
  <c r="AE177" i="2"/>
  <c r="AE617" i="2"/>
  <c r="AE170" i="2"/>
  <c r="Y83" i="2"/>
  <c r="AE48" i="2"/>
  <c r="AE610" i="2"/>
  <c r="AE173" i="2"/>
  <c r="AE185" i="2"/>
  <c r="AE83" i="2"/>
  <c r="AE141" i="2"/>
  <c r="AE40" i="2"/>
  <c r="AE136" i="2"/>
  <c r="Y50" i="2"/>
  <c r="AE489" i="2"/>
  <c r="Y54" i="2"/>
  <c r="Y62" i="2"/>
  <c r="AE226" i="2"/>
  <c r="AE224" i="2"/>
  <c r="Y51" i="2"/>
  <c r="Y82" i="2"/>
  <c r="AE609" i="2"/>
  <c r="AE608" i="2"/>
  <c r="AE135" i="2"/>
  <c r="AE30" i="2"/>
  <c r="AE50" i="2"/>
  <c r="Z546" i="1"/>
  <c r="Z545" i="1"/>
  <c r="Z538" i="1"/>
  <c r="Z537" i="1"/>
  <c r="Z536" i="1"/>
  <c r="AE542" i="1"/>
  <c r="Z542" i="1"/>
  <c r="AE538" i="1"/>
  <c r="Z539" i="1" l="1"/>
  <c r="Q246" i="1"/>
  <c r="Q632" i="2" l="1"/>
  <c r="AE632" i="2" l="1"/>
  <c r="Y632" i="2"/>
  <c r="AE96" i="1"/>
  <c r="AE486" i="1"/>
  <c r="Z92" i="1"/>
  <c r="AE94" i="1"/>
  <c r="AE462" i="1"/>
  <c r="Z78" i="1"/>
  <c r="AE92" i="1"/>
  <c r="Z459" i="1"/>
  <c r="Z466" i="1"/>
  <c r="Z79" i="1"/>
  <c r="Z476" i="1"/>
  <c r="Z76" i="1"/>
  <c r="Z462" i="1"/>
  <c r="AE78" i="1"/>
  <c r="AE473" i="1"/>
  <c r="AE82" i="1"/>
  <c r="Z94" i="1"/>
  <c r="Z486" i="1"/>
  <c r="AE76" i="1"/>
  <c r="Z455" i="1"/>
  <c r="Z83" i="1"/>
  <c r="AE459" i="1"/>
  <c r="Z473" i="1"/>
  <c r="AE466" i="1"/>
  <c r="Z72" i="1"/>
  <c r="AE79" i="1"/>
  <c r="Z82" i="1"/>
  <c r="AE455" i="1"/>
  <c r="AE476" i="1"/>
  <c r="AE72" i="1"/>
  <c r="Z96" i="1"/>
  <c r="AE83" i="1"/>
  <c r="Q288" i="1"/>
  <c r="Q490" i="2"/>
  <c r="Y490" i="2"/>
  <c r="AE490" i="2" l="1"/>
  <c r="Q293" i="1"/>
  <c r="Q34" i="2"/>
  <c r="Y34" i="2"/>
  <c r="Q258" i="1"/>
  <c r="Y259" i="2"/>
  <c r="Q259" i="2"/>
  <c r="Y255" i="2"/>
  <c r="Q255" i="2"/>
  <c r="Y249" i="2"/>
  <c r="Q249" i="2"/>
  <c r="Y44" i="2"/>
  <c r="Q44" i="2"/>
  <c r="AE34" i="2" l="1"/>
  <c r="AE249" i="2"/>
  <c r="AE255" i="2"/>
  <c r="AE44" i="2"/>
  <c r="AE259" i="2"/>
  <c r="Z293" i="1"/>
  <c r="Z172" i="1" l="1"/>
  <c r="Z171" i="1"/>
  <c r="Z170" i="1"/>
  <c r="Z169" i="1"/>
  <c r="Z168" i="1"/>
  <c r="Z167" i="1"/>
  <c r="Z166" i="1"/>
  <c r="Z165" i="1"/>
  <c r="Z164" i="1"/>
  <c r="Z163" i="1"/>
  <c r="Z162" i="1"/>
  <c r="Z161" i="1"/>
  <c r="AE161" i="1" l="1"/>
  <c r="AE162" i="1"/>
  <c r="AE166" i="1"/>
  <c r="AE170" i="1"/>
  <c r="AE165" i="1"/>
  <c r="AE163" i="1"/>
  <c r="AE167" i="1"/>
  <c r="AE171" i="1"/>
  <c r="AE169" i="1"/>
  <c r="AE164" i="1"/>
  <c r="AE168" i="1"/>
  <c r="AE172" i="1"/>
  <c r="Q648" i="2"/>
  <c r="Q649" i="2"/>
  <c r="Q650" i="2"/>
  <c r="AE649" i="2" l="1"/>
  <c r="AE648" i="2"/>
  <c r="Y649" i="2"/>
  <c r="Y648" i="2"/>
  <c r="Y650" i="2"/>
  <c r="AE650" i="2"/>
  <c r="Q573" i="2" l="1"/>
  <c r="Q574" i="2"/>
  <c r="Y330" i="2"/>
  <c r="Q330" i="2"/>
  <c r="Q439" i="2"/>
  <c r="Y439" i="2"/>
  <c r="Q440" i="2"/>
  <c r="Y440" i="2"/>
  <c r="Q292" i="2"/>
  <c r="Y292" i="2"/>
  <c r="Y117" i="2"/>
  <c r="Q117" i="2"/>
  <c r="Y113" i="2"/>
  <c r="Q113" i="2"/>
  <c r="Y112" i="2"/>
  <c r="Q112" i="2"/>
  <c r="Y105" i="2"/>
  <c r="Q105" i="2"/>
  <c r="Y93" i="2"/>
  <c r="Q93" i="2"/>
  <c r="Y87" i="2"/>
  <c r="Q87" i="2"/>
  <c r="Y101" i="2"/>
  <c r="Q101" i="2"/>
  <c r="Z298" i="1"/>
  <c r="Q307" i="1"/>
  <c r="Q308" i="1"/>
  <c r="Q309" i="1"/>
  <c r="Z303" i="1"/>
  <c r="Z304" i="1"/>
  <c r="Z305" i="1"/>
  <c r="Z306" i="1"/>
  <c r="Z307" i="1"/>
  <c r="Z308" i="1"/>
  <c r="Z309" i="1"/>
  <c r="Z310" i="1"/>
  <c r="AE439" i="2" l="1"/>
  <c r="AE93" i="2"/>
  <c r="AE112" i="2"/>
  <c r="AE113" i="2"/>
  <c r="AE292" i="2"/>
  <c r="AE101" i="2"/>
  <c r="AE105" i="2"/>
  <c r="AE330" i="2"/>
  <c r="AE117" i="2"/>
  <c r="AE440" i="2"/>
  <c r="AE87" i="2"/>
  <c r="AE303" i="1"/>
  <c r="AE310" i="1"/>
  <c r="AE300" i="1"/>
  <c r="AE298" i="1"/>
  <c r="Z291" i="1"/>
  <c r="AE306" i="1"/>
  <c r="AE291" i="1"/>
  <c r="AE305" i="1"/>
  <c r="AE304" i="1"/>
  <c r="AE270" i="1" l="1"/>
  <c r="Z270" i="1"/>
  <c r="AE271" i="1"/>
  <c r="Z271" i="1"/>
  <c r="Y270" i="2"/>
  <c r="Y328" i="2"/>
  <c r="Q328" i="2"/>
  <c r="Z297" i="1"/>
  <c r="AE180" i="1" l="1"/>
  <c r="AE328" i="2"/>
  <c r="AE297" i="1"/>
  <c r="AE286" i="1"/>
  <c r="Q41" i="1"/>
  <c r="Q40" i="1"/>
  <c r="Y474" i="2" l="1"/>
  <c r="Q474" i="2"/>
  <c r="Q533" i="1"/>
  <c r="AE532" i="1"/>
  <c r="AE474" i="2" l="1"/>
  <c r="Q70" i="1" l="1"/>
  <c r="Z267" i="1" l="1"/>
  <c r="Y12" i="2"/>
  <c r="Q12" i="2"/>
  <c r="Z528" i="1"/>
  <c r="AE528" i="1"/>
  <c r="AE529" i="1"/>
  <c r="Q294" i="2"/>
  <c r="Y187" i="2"/>
  <c r="Q187" i="2"/>
  <c r="Y222" i="2"/>
  <c r="Q222" i="2"/>
  <c r="Q165" i="2"/>
  <c r="Y165" i="2"/>
  <c r="AE165" i="2" l="1"/>
  <c r="AE294" i="2"/>
  <c r="AE222" i="2"/>
  <c r="Y294" i="2"/>
  <c r="AE187" i="2"/>
  <c r="AE12" i="2"/>
  <c r="Z529" i="1"/>
  <c r="AE267" i="1"/>
  <c r="Q366" i="1" l="1"/>
  <c r="AE98" i="1"/>
  <c r="AE86" i="1"/>
  <c r="AE467" i="1"/>
  <c r="AE88" i="1"/>
  <c r="AE469" i="1"/>
  <c r="Z86" i="1" l="1"/>
  <c r="AE478" i="1"/>
  <c r="Z469" i="1"/>
  <c r="Z478" i="1"/>
  <c r="Z88" i="1"/>
  <c r="Z97" i="1"/>
  <c r="AE97" i="1"/>
  <c r="Z467" i="1"/>
  <c r="Z98" i="1"/>
  <c r="Y154" i="2"/>
  <c r="Q154" i="2"/>
  <c r="Q155" i="2"/>
  <c r="Q156" i="2"/>
  <c r="Q157" i="2"/>
  <c r="Q158" i="2"/>
  <c r="Q159" i="2"/>
  <c r="Q160" i="2"/>
  <c r="Q161" i="2"/>
  <c r="AE157" i="2" l="1"/>
  <c r="Y159" i="2"/>
  <c r="AE155" i="2"/>
  <c r="Y157" i="2"/>
  <c r="AE158" i="2"/>
  <c r="Y160" i="2"/>
  <c r="AE154" i="2"/>
  <c r="Y156" i="2"/>
  <c r="AE161" i="2"/>
  <c r="Y155" i="2"/>
  <c r="AE156" i="2"/>
  <c r="Y158" i="2"/>
  <c r="AE160" i="2"/>
  <c r="AE159" i="2"/>
  <c r="Y161" i="2"/>
  <c r="Y225" i="2" l="1"/>
  <c r="Q225" i="2"/>
  <c r="Q295" i="1"/>
  <c r="Q269" i="1"/>
  <c r="AE225" i="2" l="1"/>
  <c r="AE230" i="1"/>
  <c r="AE228" i="1"/>
  <c r="Z230" i="1" l="1"/>
  <c r="Z228" i="1"/>
  <c r="AE387" i="1"/>
  <c r="AE218" i="1"/>
  <c r="Z218" i="1" l="1"/>
  <c r="Z387" i="1"/>
  <c r="Q81" i="2"/>
  <c r="AE81" i="2" s="1"/>
  <c r="AE268" i="1"/>
  <c r="AE141" i="1"/>
  <c r="AE426" i="1"/>
  <c r="AE142" i="1"/>
  <c r="AE427" i="1"/>
  <c r="AE143" i="1"/>
  <c r="AE428" i="1"/>
  <c r="AE144" i="1"/>
  <c r="AE145" i="1"/>
  <c r="AE429" i="1"/>
  <c r="AE146" i="1"/>
  <c r="AE430" i="1"/>
  <c r="AE147" i="1"/>
  <c r="AE431" i="1"/>
  <c r="AE148" i="1"/>
  <c r="AE149" i="1"/>
  <c r="AE432" i="1"/>
  <c r="AE150" i="1"/>
  <c r="AE433" i="1"/>
  <c r="AE151" i="1"/>
  <c r="AE434" i="1"/>
  <c r="AE152" i="1"/>
  <c r="AE435" i="1"/>
  <c r="AE153" i="1"/>
  <c r="AE436" i="1"/>
  <c r="AE154" i="1"/>
  <c r="AE155" i="1"/>
  <c r="AE156" i="1"/>
  <c r="AE157" i="1"/>
  <c r="AE158" i="1"/>
  <c r="AE159" i="1"/>
  <c r="AE160" i="1"/>
  <c r="AE437" i="1"/>
  <c r="AE173" i="1"/>
  <c r="AE174" i="1"/>
  <c r="AE175" i="1"/>
  <c r="AE176" i="1"/>
  <c r="AE438" i="1"/>
  <c r="AE177" i="1"/>
  <c r="AE178" i="1"/>
  <c r="AE179" i="1"/>
  <c r="AE234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Z141" i="1"/>
  <c r="Z426" i="1"/>
  <c r="Z142" i="1"/>
  <c r="Z427" i="1"/>
  <c r="Z143" i="1"/>
  <c r="Z428" i="1"/>
  <c r="Z144" i="1"/>
  <c r="Z145" i="1"/>
  <c r="Z429" i="1"/>
  <c r="Z146" i="1"/>
  <c r="Z430" i="1"/>
  <c r="Z147" i="1"/>
  <c r="Z431" i="1"/>
  <c r="Z148" i="1"/>
  <c r="Z149" i="1"/>
  <c r="Z432" i="1"/>
  <c r="Z150" i="1"/>
  <c r="Z433" i="1"/>
  <c r="Z151" i="1"/>
  <c r="Z434" i="1"/>
  <c r="Z152" i="1"/>
  <c r="Z435" i="1"/>
  <c r="Z153" i="1"/>
  <c r="Z436" i="1"/>
  <c r="Z154" i="1"/>
  <c r="Z155" i="1"/>
  <c r="Z156" i="1"/>
  <c r="Z157" i="1"/>
  <c r="Z158" i="1"/>
  <c r="Z159" i="1"/>
  <c r="Z160" i="1"/>
  <c r="Z437" i="1"/>
  <c r="Z173" i="1"/>
  <c r="Z174" i="1"/>
  <c r="Z175" i="1"/>
  <c r="Z176" i="1"/>
  <c r="Z438" i="1"/>
  <c r="Z177" i="1"/>
  <c r="Z178" i="1"/>
  <c r="Z179" i="1"/>
  <c r="Z234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Y81" i="2" l="1"/>
  <c r="AE15" i="1" l="1"/>
  <c r="AE90" i="1"/>
  <c r="Z90" i="1" l="1"/>
  <c r="AE74" i="1"/>
  <c r="AE457" i="1"/>
  <c r="AE471" i="1"/>
  <c r="Y168" i="2"/>
  <c r="Q168" i="2"/>
  <c r="Y134" i="2"/>
  <c r="Q134" i="2"/>
  <c r="AE168" i="2" l="1"/>
  <c r="Z471" i="1"/>
  <c r="Z457" i="1"/>
  <c r="Z74" i="1"/>
  <c r="AE106" i="1"/>
  <c r="AE100" i="1"/>
  <c r="AE102" i="1"/>
  <c r="Q425" i="2"/>
  <c r="AE425" i="2" l="1"/>
  <c r="Y425" i="2"/>
  <c r="Z100" i="1"/>
  <c r="Z106" i="1"/>
  <c r="Z102" i="1"/>
  <c r="Q220" i="2"/>
  <c r="AE488" i="1"/>
  <c r="AE484" i="1"/>
  <c r="AE483" i="1"/>
  <c r="AE481" i="1"/>
  <c r="Y220" i="2" l="1"/>
  <c r="AE220" i="2"/>
  <c r="Z481" i="1"/>
  <c r="Z483" i="1"/>
  <c r="Z484" i="1"/>
  <c r="Z488" i="1"/>
  <c r="AE261" i="1"/>
  <c r="Y42" i="2"/>
  <c r="Q42" i="2"/>
  <c r="AE42" i="2" l="1"/>
  <c r="Z261" i="1"/>
  <c r="Q281" i="2"/>
  <c r="Y281" i="2"/>
  <c r="AE281" i="2" l="1"/>
  <c r="Q427" i="2"/>
  <c r="Q389" i="2"/>
  <c r="Q342" i="2"/>
  <c r="Q270" i="2"/>
  <c r="Y542" i="2"/>
  <c r="Y570" i="2"/>
  <c r="Q542" i="2"/>
  <c r="Q570" i="2"/>
  <c r="AE342" i="2" l="1"/>
  <c r="AE570" i="2"/>
  <c r="Y389" i="2"/>
  <c r="AE542" i="2"/>
  <c r="Y427" i="2"/>
  <c r="AE389" i="2"/>
  <c r="AE427" i="2"/>
  <c r="AE270" i="2"/>
  <c r="Y342" i="2"/>
  <c r="Q191" i="2"/>
  <c r="Y323" i="2"/>
  <c r="Q323" i="2"/>
  <c r="Y191" i="2" l="1"/>
  <c r="AE323" i="2"/>
  <c r="AE191" i="2"/>
  <c r="Q476" i="2"/>
  <c r="Y476" i="2"/>
  <c r="AE476" i="2" l="1"/>
  <c r="Q655" i="2"/>
  <c r="Q656" i="2"/>
  <c r="Q558" i="2"/>
  <c r="Q559" i="2"/>
  <c r="Q560" i="2"/>
  <c r="Q561" i="2"/>
  <c r="Q562" i="2"/>
  <c r="Q563" i="2"/>
  <c r="Q564" i="2"/>
  <c r="Q565" i="2"/>
  <c r="AE531" i="1"/>
  <c r="AE530" i="1"/>
  <c r="Z533" i="1"/>
  <c r="Z531" i="1"/>
  <c r="Z530" i="1"/>
  <c r="Z527" i="1"/>
  <c r="Z526" i="1"/>
  <c r="Q334" i="2"/>
  <c r="AE558" i="2" l="1"/>
  <c r="Y561" i="2"/>
  <c r="AE565" i="2"/>
  <c r="AE656" i="2"/>
  <c r="Y562" i="2"/>
  <c r="AE564" i="2"/>
  <c r="AE655" i="2"/>
  <c r="Y563" i="2"/>
  <c r="Y334" i="2"/>
  <c r="AE563" i="2"/>
  <c r="Y655" i="2"/>
  <c r="Y564" i="2"/>
  <c r="AE559" i="2"/>
  <c r="AE334" i="2"/>
  <c r="AE562" i="2"/>
  <c r="Y656" i="2"/>
  <c r="Y565" i="2"/>
  <c r="AE561" i="2"/>
  <c r="Y558" i="2"/>
  <c r="AE560" i="2"/>
  <c r="Y559" i="2"/>
  <c r="Y560" i="2"/>
  <c r="Q658" i="2"/>
  <c r="Q657" i="2"/>
  <c r="AE658" i="2" l="1"/>
  <c r="Y657" i="2"/>
  <c r="AE657" i="2"/>
  <c r="Y658" i="2"/>
  <c r="Q594" i="2"/>
  <c r="AE594" i="2" l="1"/>
  <c r="AE264" i="1"/>
  <c r="Y80" i="2"/>
  <c r="Q80" i="2"/>
  <c r="AE80" i="2" l="1"/>
  <c r="Y218" i="2"/>
  <c r="Q218" i="2"/>
  <c r="Y321" i="2"/>
  <c r="Q321" i="2"/>
  <c r="AE321" i="2" l="1"/>
  <c r="AE218" i="2"/>
  <c r="Y72" i="2"/>
  <c r="Q72" i="2"/>
  <c r="Q331" i="2"/>
  <c r="AE331" i="2" l="1"/>
  <c r="AE72" i="2"/>
  <c r="Q501" i="1"/>
  <c r="Q121" i="1"/>
  <c r="Q441" i="2"/>
  <c r="Q78" i="2"/>
  <c r="Y78" i="2"/>
  <c r="Q79" i="2"/>
  <c r="Y79" i="2"/>
  <c r="Q193" i="1"/>
  <c r="Q191" i="1"/>
  <c r="Q267" i="2"/>
  <c r="AE78" i="2" l="1"/>
  <c r="AE441" i="2"/>
  <c r="AE79" i="2"/>
  <c r="Q345" i="2" l="1"/>
  <c r="Q396" i="2"/>
  <c r="Q393" i="2"/>
  <c r="Q392" i="2"/>
  <c r="AE396" i="2" l="1"/>
  <c r="AE393" i="2"/>
  <c r="AE345" i="2"/>
  <c r="Y396" i="2"/>
  <c r="Y393" i="2"/>
  <c r="Y392" i="2"/>
  <c r="Q282" i="2"/>
  <c r="Q438" i="2"/>
  <c r="Q445" i="2"/>
  <c r="Q521" i="2"/>
  <c r="Q522" i="2"/>
  <c r="Q523" i="2"/>
  <c r="Q524" i="2"/>
  <c r="Q525" i="2"/>
  <c r="Q526" i="2"/>
  <c r="Q552" i="2"/>
  <c r="Q553" i="2"/>
  <c r="Q554" i="2"/>
  <c r="Q555" i="2"/>
  <c r="Q557" i="2"/>
  <c r="Q272" i="2"/>
  <c r="Q426" i="2"/>
  <c r="Y438" i="2"/>
  <c r="Y445" i="2"/>
  <c r="Y521" i="2"/>
  <c r="Y522" i="2"/>
  <c r="Y523" i="2"/>
  <c r="Y524" i="2"/>
  <c r="Y525" i="2"/>
  <c r="Y526" i="2"/>
  <c r="Y552" i="2"/>
  <c r="Y553" i="2"/>
  <c r="Y554" i="2"/>
  <c r="Y555" i="2"/>
  <c r="Y557" i="2"/>
  <c r="Y272" i="2"/>
  <c r="Y426" i="2"/>
  <c r="Y345" i="2"/>
  <c r="Y282" i="2"/>
  <c r="AE438" i="2" l="1"/>
  <c r="AE526" i="2"/>
  <c r="AE282" i="2"/>
  <c r="AE426" i="2"/>
  <c r="AE525" i="2"/>
  <c r="AE557" i="2"/>
  <c r="AE523" i="2"/>
  <c r="AE522" i="2"/>
  <c r="AE521" i="2"/>
  <c r="AE272" i="2"/>
  <c r="AE524" i="2"/>
  <c r="AE555" i="2"/>
  <c r="AE554" i="2"/>
  <c r="AE553" i="2"/>
  <c r="AE445" i="2"/>
  <c r="AE552" i="2"/>
  <c r="Y133" i="2"/>
  <c r="Q133" i="2"/>
  <c r="AE133" i="2" l="1"/>
  <c r="AE518" i="1"/>
  <c r="Q434" i="2" l="1"/>
  <c r="Y45" i="2"/>
  <c r="Q45" i="2"/>
  <c r="Q359" i="1"/>
  <c r="Q357" i="1"/>
  <c r="AE45" i="2" l="1"/>
  <c r="AE434" i="2"/>
  <c r="Q618" i="2"/>
  <c r="AE47" i="1"/>
  <c r="AE618" i="2" l="1"/>
  <c r="Y618" i="2"/>
  <c r="Z47" i="1"/>
  <c r="Z300" i="1" l="1"/>
  <c r="AE43" i="1"/>
  <c r="AE276" i="1"/>
  <c r="AE44" i="1"/>
  <c r="AE277" i="1"/>
  <c r="AE45" i="1"/>
  <c r="AE16" i="1"/>
  <c r="AE46" i="1"/>
  <c r="AE278" i="1"/>
  <c r="AE296" i="1"/>
  <c r="AE275" i="1"/>
  <c r="Q322" i="2"/>
  <c r="Q315" i="2"/>
  <c r="AE322" i="2" l="1"/>
  <c r="AE315" i="2"/>
  <c r="Z275" i="1"/>
  <c r="Z46" i="1"/>
  <c r="Z296" i="1"/>
  <c r="Z278" i="1"/>
  <c r="Z16" i="1"/>
  <c r="Z45" i="1"/>
  <c r="Z277" i="1"/>
  <c r="Z44" i="1"/>
  <c r="Z43" i="1"/>
  <c r="Z276" i="1"/>
  <c r="Q602" i="2"/>
  <c r="Q601" i="2"/>
  <c r="Q604" i="2"/>
  <c r="Q603" i="2"/>
  <c r="Q513" i="2"/>
  <c r="Q512" i="2"/>
  <c r="Q515" i="2"/>
  <c r="Q514" i="2"/>
  <c r="Q219" i="2"/>
  <c r="Q205" i="2"/>
  <c r="Q221" i="2"/>
  <c r="V10" i="1"/>
  <c r="Y130" i="2"/>
  <c r="Y151" i="2"/>
  <c r="Y543" i="2"/>
  <c r="Y150" i="2"/>
  <c r="Q302" i="2"/>
  <c r="Q183" i="2"/>
  <c r="AE273" i="1"/>
  <c r="AE295" i="1"/>
  <c r="Q151" i="2"/>
  <c r="Q543" i="2"/>
  <c r="Q307" i="2"/>
  <c r="Q303" i="2"/>
  <c r="AE601" i="2" l="1"/>
  <c r="Y497" i="2"/>
  <c r="AE602" i="2"/>
  <c r="Y602" i="2"/>
  <c r="Y71" i="2"/>
  <c r="Y513" i="2"/>
  <c r="Y603" i="2"/>
  <c r="Y335" i="2"/>
  <c r="AE514" i="2"/>
  <c r="Y512" i="2"/>
  <c r="AE303" i="2"/>
  <c r="Y604" i="2"/>
  <c r="Y336" i="2"/>
  <c r="AE221" i="2"/>
  <c r="AE515" i="2"/>
  <c r="Y601" i="2"/>
  <c r="Y579" i="2"/>
  <c r="AE205" i="2"/>
  <c r="AE512" i="2"/>
  <c r="AE219" i="2"/>
  <c r="AE513" i="2"/>
  <c r="AE543" i="2"/>
  <c r="Y221" i="2"/>
  <c r="Y514" i="2"/>
  <c r="Y205" i="2"/>
  <c r="AE603" i="2"/>
  <c r="Y515" i="2"/>
  <c r="Y219" i="2"/>
  <c r="AE604" i="2"/>
  <c r="Z273" i="1"/>
  <c r="Z295" i="1"/>
  <c r="Q575" i="2"/>
  <c r="Q442" i="2"/>
  <c r="Q280" i="2"/>
  <c r="AE280" i="2" l="1"/>
  <c r="AE151" i="2"/>
  <c r="Q268" i="2" l="1"/>
  <c r="Q487" i="2"/>
  <c r="Q299" i="2"/>
  <c r="Q64" i="2"/>
  <c r="Q19" i="2"/>
  <c r="AE19" i="2" l="1"/>
  <c r="Q238" i="2"/>
  <c r="AE238" i="2" l="1"/>
  <c r="Q243" i="2"/>
  <c r="Q242" i="2"/>
  <c r="Q237" i="2"/>
  <c r="Q235" i="2"/>
  <c r="Q233" i="2"/>
  <c r="Q232" i="2"/>
  <c r="Q231" i="2"/>
  <c r="Q230" i="2"/>
  <c r="Q229" i="2"/>
  <c r="AE232" i="2" l="1"/>
  <c r="AE230" i="2"/>
  <c r="AE231" i="2"/>
  <c r="AE233" i="2"/>
  <c r="AE235" i="2"/>
  <c r="AE237" i="2"/>
  <c r="AE242" i="2"/>
  <c r="AE229" i="2"/>
  <c r="AE243" i="2"/>
  <c r="Y371" i="2"/>
  <c r="Q371" i="2"/>
  <c r="Y365" i="2"/>
  <c r="Q365" i="2"/>
  <c r="Y362" i="2"/>
  <c r="Q362" i="2"/>
  <c r="Q637" i="2"/>
  <c r="Q324" i="2"/>
  <c r="Q163" i="2"/>
  <c r="Q58" i="2"/>
  <c r="AE527" i="1"/>
  <c r="Q470" i="2"/>
  <c r="Q469" i="2"/>
  <c r="Q468" i="2"/>
  <c r="Q467" i="2"/>
  <c r="Q466" i="2"/>
  <c r="Q465" i="2"/>
  <c r="Q464" i="2"/>
  <c r="Q463" i="2"/>
  <c r="Q462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AE365" i="2" l="1"/>
  <c r="AE58" i="2"/>
  <c r="AE371" i="2"/>
  <c r="AE324" i="2"/>
  <c r="AE362" i="2"/>
  <c r="Y368" i="2"/>
  <c r="Q368" i="2"/>
  <c r="Q460" i="2"/>
  <c r="Q459" i="2"/>
  <c r="Q458" i="2"/>
  <c r="Q457" i="2"/>
  <c r="Q456" i="2"/>
  <c r="Q455" i="2"/>
  <c r="Q453" i="2"/>
  <c r="Q452" i="2"/>
  <c r="Q451" i="2"/>
  <c r="Q450" i="2"/>
  <c r="Q449" i="2"/>
  <c r="Q448" i="2"/>
  <c r="Q447" i="2"/>
  <c r="Q446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0" i="2"/>
  <c r="Q369" i="2"/>
  <c r="Q367" i="2"/>
  <c r="Q366" i="2"/>
  <c r="Q364" i="2"/>
  <c r="Q363" i="2"/>
  <c r="AE211" i="1"/>
  <c r="AE210" i="1"/>
  <c r="AE368" i="2" l="1"/>
  <c r="Q73" i="2"/>
  <c r="Q71" i="2" l="1"/>
  <c r="AE71" i="2" l="1"/>
  <c r="Q391" i="2"/>
  <c r="Q63" i="2" l="1"/>
  <c r="Y312" i="2"/>
  <c r="Q312" i="2"/>
  <c r="AE312" i="2" l="1"/>
  <c r="AE63" i="2"/>
  <c r="AE534" i="1"/>
  <c r="Q131" i="2"/>
  <c r="Q240" i="2"/>
  <c r="AE240" i="2" l="1"/>
  <c r="AE131" i="2"/>
  <c r="Z534" i="1"/>
  <c r="Q257" i="2"/>
  <c r="Q258" i="2"/>
  <c r="Q481" i="2"/>
  <c r="Q290" i="2" l="1"/>
  <c r="Q611" i="2" l="1"/>
  <c r="Q262" i="2"/>
  <c r="Q253" i="2"/>
  <c r="Q250" i="2"/>
  <c r="Q248" i="2"/>
  <c r="Q247" i="2"/>
  <c r="Q246" i="2"/>
  <c r="Q245" i="2"/>
  <c r="Q244" i="2"/>
  <c r="Q241" i="2"/>
  <c r="Q239" i="2"/>
  <c r="Q236" i="2"/>
  <c r="Q234" i="2"/>
  <c r="Q227" i="2"/>
  <c r="Q480" i="2"/>
  <c r="Q263" i="2"/>
  <c r="Q223" i="2"/>
  <c r="Q188" i="2"/>
  <c r="Q184" i="2"/>
  <c r="Q162" i="2"/>
  <c r="Q124" i="2"/>
  <c r="Q60" i="2"/>
  <c r="Q59" i="2"/>
  <c r="Q57" i="2"/>
  <c r="Q56" i="2"/>
  <c r="Q55" i="2"/>
  <c r="Q52" i="2"/>
  <c r="Q49" i="2"/>
  <c r="Q47" i="2"/>
  <c r="Q39" i="2"/>
  <c r="AE39" i="2" s="1"/>
  <c r="Q29" i="2"/>
  <c r="Q28" i="2"/>
  <c r="Q26" i="2"/>
  <c r="Q25" i="2"/>
  <c r="Q24" i="2"/>
  <c r="Q23" i="2"/>
  <c r="Q22" i="2"/>
  <c r="Q21" i="2"/>
  <c r="Q20" i="2"/>
  <c r="Q11" i="2"/>
  <c r="Q10" i="2"/>
  <c r="Q172" i="2"/>
  <c r="AE234" i="2" l="1"/>
  <c r="AE236" i="2"/>
  <c r="AE239" i="2"/>
  <c r="AE241" i="2"/>
  <c r="AE22" i="2"/>
  <c r="AE23" i="2"/>
  <c r="AE24" i="2"/>
  <c r="AE21" i="2"/>
  <c r="AE172" i="2"/>
  <c r="AE25" i="2"/>
  <c r="AE26" i="2"/>
  <c r="AE11" i="2"/>
  <c r="AE28" i="2"/>
  <c r="AE20" i="2"/>
  <c r="AE29" i="2"/>
  <c r="AE59" i="2"/>
  <c r="Q37" i="2"/>
  <c r="Q484" i="2"/>
  <c r="Q483" i="2"/>
  <c r="Q479" i="2"/>
  <c r="Q429" i="2"/>
  <c r="Q314" i="2"/>
  <c r="Q313" i="2"/>
  <c r="Q306" i="2"/>
  <c r="Q304" i="2"/>
  <c r="Q301" i="2"/>
  <c r="Q190" i="2"/>
  <c r="Q189" i="2"/>
  <c r="Q35" i="2"/>
  <c r="AE35" i="2" l="1"/>
  <c r="AE37" i="2"/>
  <c r="Z288" i="1"/>
  <c r="Q482" i="2" l="1"/>
  <c r="Q478" i="2"/>
  <c r="Q428" i="2"/>
  <c r="Q300" i="2"/>
  <c r="Q179" i="2"/>
  <c r="Q178" i="2"/>
  <c r="Q167" i="2"/>
  <c r="Q152" i="2"/>
  <c r="Q125" i="2"/>
  <c r="Q36" i="2"/>
  <c r="AE36" i="2" l="1"/>
  <c r="Q311" i="2"/>
  <c r="Q519" i="2"/>
  <c r="Q520" i="2"/>
  <c r="Q127" i="2"/>
  <c r="AE272" i="1"/>
  <c r="Z272" i="1"/>
  <c r="Y329" i="2"/>
  <c r="Q329" i="2"/>
  <c r="AE167" i="2"/>
  <c r="Y167" i="2"/>
  <c r="AE520" i="2" l="1"/>
  <c r="AE519" i="2"/>
  <c r="AE311" i="2"/>
  <c r="AE329" i="2"/>
  <c r="AE127" i="2"/>
  <c r="Q176" i="2"/>
  <c r="Q607" i="2"/>
  <c r="Q27" i="2"/>
  <c r="AE27" i="2" l="1"/>
  <c r="Z12" i="1"/>
  <c r="AE12" i="1"/>
  <c r="AE13" i="1"/>
  <c r="Z13" i="1"/>
  <c r="Y121" i="2" l="1"/>
  <c r="Q121" i="2"/>
  <c r="Q123" i="2"/>
  <c r="Q122" i="2"/>
  <c r="Q120" i="2"/>
  <c r="Q119" i="2"/>
  <c r="Q118" i="2"/>
  <c r="Q116" i="2"/>
  <c r="Q115" i="2"/>
  <c r="Q114" i="2"/>
  <c r="Q111" i="2"/>
  <c r="Q110" i="2"/>
  <c r="Q109" i="2"/>
  <c r="Q108" i="2"/>
  <c r="Q107" i="2"/>
  <c r="Q106" i="2"/>
  <c r="Q104" i="2"/>
  <c r="Q103" i="2"/>
  <c r="Q102" i="2"/>
  <c r="Q100" i="2"/>
  <c r="Q99" i="2"/>
  <c r="Q98" i="2"/>
  <c r="Q97" i="2"/>
  <c r="Q96" i="2"/>
  <c r="Q95" i="2"/>
  <c r="Q94" i="2"/>
  <c r="Q92" i="2"/>
  <c r="Q91" i="2"/>
  <c r="Q90" i="2"/>
  <c r="Q89" i="2"/>
  <c r="Q88" i="2"/>
  <c r="Q86" i="2"/>
  <c r="Q85" i="2"/>
  <c r="Y96" i="2"/>
  <c r="Y94" i="2"/>
  <c r="AE94" i="2" l="1"/>
  <c r="Y574" i="2"/>
  <c r="AE574" i="2"/>
  <c r="Y641" i="2" l="1"/>
  <c r="Q641" i="2"/>
  <c r="AE641" i="2" l="1"/>
  <c r="Q572" i="2"/>
  <c r="Q571" i="2"/>
  <c r="Q129" i="2"/>
  <c r="Q337" i="2"/>
  <c r="Q70" i="2"/>
  <c r="Q69" i="2"/>
  <c r="Q488" i="2"/>
  <c r="Y488" i="2"/>
  <c r="Q333" i="2"/>
  <c r="AE129" i="2" l="1"/>
  <c r="AE337" i="2"/>
  <c r="AE488" i="2"/>
  <c r="Q128" i="2"/>
  <c r="AE128" i="2" l="1"/>
  <c r="Q171" i="2"/>
  <c r="AE171" i="2" l="1"/>
  <c r="Q169" i="2"/>
  <c r="Q53" i="2"/>
  <c r="Q33" i="2"/>
  <c r="AE69" i="1"/>
  <c r="Z69" i="1"/>
  <c r="Q492" i="2"/>
  <c r="Y492" i="2"/>
  <c r="Q142" i="2"/>
  <c r="Q143" i="2"/>
  <c r="Q144" i="2"/>
  <c r="Y143" i="2"/>
  <c r="Y144" i="2"/>
  <c r="AE144" i="2" l="1"/>
  <c r="AE33" i="2"/>
  <c r="AE143" i="2"/>
  <c r="AE492" i="2"/>
  <c r="Q336" i="2"/>
  <c r="Q335" i="2"/>
  <c r="Q130" i="2"/>
  <c r="Q166" i="2"/>
  <c r="AE130" i="2" l="1"/>
  <c r="Z48" i="1"/>
  <c r="AE48" i="1"/>
  <c r="Q351" i="2" l="1"/>
  <c r="Q348" i="2"/>
  <c r="Z257" i="1"/>
  <c r="AE257" i="1"/>
  <c r="Z237" i="1"/>
  <c r="AE237" i="1"/>
  <c r="Z236" i="1"/>
  <c r="AE236" i="1"/>
  <c r="Z235" i="1"/>
  <c r="AE235" i="1"/>
  <c r="Q139" i="2"/>
  <c r="AE336" i="2"/>
  <c r="AE335" i="2"/>
  <c r="Q251" i="2"/>
  <c r="Q150" i="2"/>
  <c r="Q497" i="2"/>
  <c r="Q579" i="2"/>
  <c r="Q590" i="2"/>
  <c r="Q548" i="2"/>
  <c r="Q347" i="2"/>
  <c r="AE497" i="2" l="1"/>
  <c r="AE579" i="2"/>
  <c r="Q181" i="2"/>
  <c r="Q180" i="2"/>
  <c r="Q352" i="2"/>
  <c r="Q350" i="2"/>
  <c r="Q349" i="2"/>
  <c r="Q346" i="2"/>
  <c r="Q344" i="2"/>
  <c r="Q340" i="2"/>
  <c r="Q339" i="2"/>
  <c r="Q338" i="2"/>
  <c r="Z10" i="1" l="1"/>
  <c r="Z11" i="1"/>
  <c r="Z14" i="1"/>
  <c r="Z15" i="1"/>
  <c r="Z423" i="1"/>
  <c r="Z424" i="1"/>
  <c r="Z392" i="1"/>
  <c r="Z425" i="1"/>
  <c r="Z393" i="1"/>
  <c r="Z394" i="1"/>
  <c r="Z395" i="1"/>
  <c r="Z396" i="1"/>
  <c r="Z49" i="1"/>
  <c r="Z50" i="1"/>
  <c r="Z51" i="1"/>
  <c r="Z52" i="1"/>
  <c r="Z53" i="1"/>
  <c r="Z54" i="1"/>
  <c r="Z71" i="1"/>
  <c r="Z17" i="1"/>
  <c r="Z18" i="1"/>
  <c r="Z19" i="1"/>
  <c r="Z42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264" i="1"/>
  <c r="Z346" i="1"/>
  <c r="Z347" i="1"/>
  <c r="Z348" i="1"/>
  <c r="Z349" i="1"/>
  <c r="Z350" i="1"/>
  <c r="Z351" i="1"/>
  <c r="Z352" i="1"/>
  <c r="Z353" i="1"/>
  <c r="Z354" i="1"/>
  <c r="Z355" i="1"/>
  <c r="Z356" i="1"/>
  <c r="Z180" i="1"/>
  <c r="Z357" i="1"/>
  <c r="Z358" i="1"/>
  <c r="Z359" i="1"/>
  <c r="Z36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193" i="1"/>
  <c r="Z194" i="1"/>
  <c r="Z361" i="1"/>
  <c r="Z362" i="1"/>
  <c r="Z363" i="1"/>
  <c r="Z364" i="1"/>
  <c r="Z365" i="1"/>
  <c r="Z366" i="1"/>
  <c r="Z367" i="1"/>
  <c r="Z368" i="1"/>
  <c r="Z369" i="1"/>
  <c r="Z70" i="1"/>
  <c r="Z195" i="1"/>
  <c r="Z196" i="1"/>
  <c r="Z20" i="1"/>
  <c r="Z40" i="1"/>
  <c r="Z139" i="1"/>
  <c r="Z197" i="1"/>
  <c r="Z41" i="1"/>
  <c r="Q473" i="2" l="1"/>
  <c r="Y473" i="2"/>
  <c r="AE473" i="2" l="1"/>
  <c r="AE347" i="1"/>
  <c r="AE348" i="1"/>
  <c r="AE349" i="1"/>
  <c r="AE350" i="1"/>
  <c r="AE351" i="1"/>
  <c r="AE352" i="1"/>
  <c r="AE353" i="1"/>
  <c r="AE354" i="1"/>
  <c r="AE355" i="1"/>
  <c r="AE346" i="1"/>
  <c r="AE356" i="1"/>
  <c r="AE358" i="1"/>
  <c r="AE360" i="1"/>
  <c r="AE181" i="1"/>
  <c r="AE182" i="1"/>
  <c r="AE183" i="1"/>
  <c r="AE184" i="1"/>
  <c r="AE185" i="1"/>
  <c r="AE186" i="1"/>
  <c r="AE187" i="1"/>
  <c r="AE188" i="1"/>
  <c r="AE189" i="1"/>
  <c r="AE190" i="1"/>
  <c r="AE192" i="1"/>
  <c r="AE194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63" i="1"/>
  <c r="AE364" i="1"/>
  <c r="AE365" i="1"/>
  <c r="AE367" i="1"/>
  <c r="AE361" i="1"/>
  <c r="AE362" i="1"/>
  <c r="AE368" i="1"/>
  <c r="AE369" i="1"/>
  <c r="AE195" i="1"/>
  <c r="AE196" i="1"/>
  <c r="AE20" i="1"/>
  <c r="AE139" i="1"/>
  <c r="AE197" i="1"/>
  <c r="AE269" i="1"/>
  <c r="Z269" i="1"/>
  <c r="AE150" i="2"/>
  <c r="Q471" i="2"/>
  <c r="Q472" i="2"/>
  <c r="Q260" i="2" l="1"/>
  <c r="Y260" i="2"/>
  <c r="AE251" i="2"/>
  <c r="Y251" i="2"/>
  <c r="AE142" i="2"/>
  <c r="Y142" i="2"/>
  <c r="AE260" i="2" l="1"/>
  <c r="Q361" i="2"/>
  <c r="Y197" i="2"/>
  <c r="Q197" i="2"/>
  <c r="Y211" i="2"/>
  <c r="Y208" i="2"/>
  <c r="Y207" i="2"/>
  <c r="Y206" i="2"/>
  <c r="Q211" i="2"/>
  <c r="Q208" i="2"/>
  <c r="Q209" i="2"/>
  <c r="Q207" i="2"/>
  <c r="Q206" i="2"/>
  <c r="AE472" i="2"/>
  <c r="AE471" i="2"/>
  <c r="Y472" i="2"/>
  <c r="Y471" i="2"/>
  <c r="AE390" i="1"/>
  <c r="AE386" i="1"/>
  <c r="AE221" i="1"/>
  <c r="AE384" i="1"/>
  <c r="AE208" i="2" l="1"/>
  <c r="AE211" i="2"/>
  <c r="AE206" i="2"/>
  <c r="AE207" i="2"/>
  <c r="AE209" i="2"/>
  <c r="AE197" i="2"/>
  <c r="Z386" i="1"/>
  <c r="Z221" i="1"/>
  <c r="Z390" i="1"/>
  <c r="Z384" i="1"/>
  <c r="AE134" i="1"/>
  <c r="AE504" i="1"/>
  <c r="Z504" i="1" l="1"/>
  <c r="Z134" i="1"/>
  <c r="Q252" i="2" l="1"/>
  <c r="AE183" i="2"/>
  <c r="Q213" i="2" l="1"/>
  <c r="Q506" i="2"/>
  <c r="Y506" i="2"/>
  <c r="Q390" i="2"/>
  <c r="Y485" i="2"/>
  <c r="Q485" i="2"/>
  <c r="AE262" i="1"/>
  <c r="AE259" i="1"/>
  <c r="AE260" i="1"/>
  <c r="AE390" i="2" l="1"/>
  <c r="AE506" i="2"/>
  <c r="Z260" i="1"/>
  <c r="Z259" i="1"/>
  <c r="Z262" i="1"/>
  <c r="Q18" i="2"/>
  <c r="Q271" i="2"/>
  <c r="Q38" i="2"/>
  <c r="Q43" i="2"/>
  <c r="AE47" i="2"/>
  <c r="AE49" i="2"/>
  <c r="AE52" i="2"/>
  <c r="AE53" i="2"/>
  <c r="AE55" i="2"/>
  <c r="AE56" i="2"/>
  <c r="AE57" i="2"/>
  <c r="AE60" i="2"/>
  <c r="Q61" i="2"/>
  <c r="AE64" i="2"/>
  <c r="Q65" i="2"/>
  <c r="Q66" i="2"/>
  <c r="Q67" i="2"/>
  <c r="Q68" i="2"/>
  <c r="AE69" i="2"/>
  <c r="AE70" i="2"/>
  <c r="AE73" i="2"/>
  <c r="Q74" i="2"/>
  <c r="Q75" i="2"/>
  <c r="AE85" i="2"/>
  <c r="AE86" i="2"/>
  <c r="AE88" i="2"/>
  <c r="AE89" i="2"/>
  <c r="AE90" i="2"/>
  <c r="AE91" i="2"/>
  <c r="AE92" i="2"/>
  <c r="AE95" i="2"/>
  <c r="AE97" i="2"/>
  <c r="AE98" i="2"/>
  <c r="AE99" i="2"/>
  <c r="AE100" i="2"/>
  <c r="AE102" i="2"/>
  <c r="AE103" i="2"/>
  <c r="AE104" i="2"/>
  <c r="AE106" i="2"/>
  <c r="AE107" i="2"/>
  <c r="AE108" i="2"/>
  <c r="AE109" i="2"/>
  <c r="AE110" i="2"/>
  <c r="AE111" i="2"/>
  <c r="AE114" i="2"/>
  <c r="AE115" i="2"/>
  <c r="AE116" i="2"/>
  <c r="AE118" i="2"/>
  <c r="AE119" i="2"/>
  <c r="AE120" i="2"/>
  <c r="AE122" i="2"/>
  <c r="AE123" i="2"/>
  <c r="AE124" i="2"/>
  <c r="AE125" i="2"/>
  <c r="Q126" i="2"/>
  <c r="AE139" i="2"/>
  <c r="Q147" i="2"/>
  <c r="AE152" i="2"/>
  <c r="Q153" i="2"/>
  <c r="AE162" i="2"/>
  <c r="AE163" i="2"/>
  <c r="Q164" i="2"/>
  <c r="AE166" i="2"/>
  <c r="Q174" i="2"/>
  <c r="Q175" i="2"/>
  <c r="AE176" i="2"/>
  <c r="AE178" i="2"/>
  <c r="AE179" i="2"/>
  <c r="AE180" i="2"/>
  <c r="AE181" i="2"/>
  <c r="Q182" i="2"/>
  <c r="AE184" i="2"/>
  <c r="AE188" i="2"/>
  <c r="AE189" i="2"/>
  <c r="AE190" i="2"/>
  <c r="Q192" i="2"/>
  <c r="Q193" i="2"/>
  <c r="Q194" i="2"/>
  <c r="Q195" i="2"/>
  <c r="Q196" i="2"/>
  <c r="Q210" i="2"/>
  <c r="Q198" i="2"/>
  <c r="Q199" i="2"/>
  <c r="Q200" i="2"/>
  <c r="Q201" i="2"/>
  <c r="Q202" i="2"/>
  <c r="Q203" i="2"/>
  <c r="Q212" i="2"/>
  <c r="AE213" i="2"/>
  <c r="Q214" i="2"/>
  <c r="Q215" i="2"/>
  <c r="Q216" i="2"/>
  <c r="Q217" i="2"/>
  <c r="AE223" i="2"/>
  <c r="AE227" i="2"/>
  <c r="AE244" i="2"/>
  <c r="AE245" i="2"/>
  <c r="AE246" i="2"/>
  <c r="AE247" i="2"/>
  <c r="AE248" i="2"/>
  <c r="AE250" i="2"/>
  <c r="AE252" i="2"/>
  <c r="AE253" i="2"/>
  <c r="Q254" i="2"/>
  <c r="Q256" i="2"/>
  <c r="AE257" i="2"/>
  <c r="AE258" i="2"/>
  <c r="AE262" i="2"/>
  <c r="Q261" i="2"/>
  <c r="AE263" i="2"/>
  <c r="Q264" i="2"/>
  <c r="Q265" i="2"/>
  <c r="Q266" i="2"/>
  <c r="AE267" i="2"/>
  <c r="Q269" i="2"/>
  <c r="Q273" i="2"/>
  <c r="Q274" i="2"/>
  <c r="Q275" i="2"/>
  <c r="Q276" i="2"/>
  <c r="Q277" i="2"/>
  <c r="Q278" i="2"/>
  <c r="Q279" i="2"/>
  <c r="Q283" i="2"/>
  <c r="Q284" i="2"/>
  <c r="Q285" i="2"/>
  <c r="Q286" i="2"/>
  <c r="Q287" i="2"/>
  <c r="Q288" i="2"/>
  <c r="Q289" i="2"/>
  <c r="AE290" i="2"/>
  <c r="Q291" i="2"/>
  <c r="Q293" i="2"/>
  <c r="AE299" i="2"/>
  <c r="AE300" i="2"/>
  <c r="AE301" i="2"/>
  <c r="AE302" i="2"/>
  <c r="AE304" i="2"/>
  <c r="Q305" i="2"/>
  <c r="AE306" i="2"/>
  <c r="AE307" i="2"/>
  <c r="Q309" i="2"/>
  <c r="Q310" i="2"/>
  <c r="AE313" i="2"/>
  <c r="AE314" i="2"/>
  <c r="Q320" i="2"/>
  <c r="Q316" i="2"/>
  <c r="Q325" i="2"/>
  <c r="Q326" i="2"/>
  <c r="Q327" i="2"/>
  <c r="Q332" i="2"/>
  <c r="AE333" i="2"/>
  <c r="AE338" i="2"/>
  <c r="AE339" i="2"/>
  <c r="AE340" i="2"/>
  <c r="Q341" i="2"/>
  <c r="Q343" i="2"/>
  <c r="AE344" i="2"/>
  <c r="AE346" i="2"/>
  <c r="AE347" i="2"/>
  <c r="AE348" i="2"/>
  <c r="AE349" i="2"/>
  <c r="AE350" i="2"/>
  <c r="AE351" i="2"/>
  <c r="AE352" i="2"/>
  <c r="Q353" i="2"/>
  <c r="Q354" i="2"/>
  <c r="Q355" i="2"/>
  <c r="Q356" i="2"/>
  <c r="Q357" i="2"/>
  <c r="Q358" i="2"/>
  <c r="Q359" i="2"/>
  <c r="Q360" i="2"/>
  <c r="AE361" i="2"/>
  <c r="AE363" i="2"/>
  <c r="AE364" i="2"/>
  <c r="AE366" i="2"/>
  <c r="AE367" i="2"/>
  <c r="AE369" i="2"/>
  <c r="AE370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91" i="2"/>
  <c r="Q394" i="2"/>
  <c r="Q395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Q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8" i="2"/>
  <c r="AE429" i="2"/>
  <c r="Q430" i="2"/>
  <c r="Q431" i="2"/>
  <c r="Q432" i="2"/>
  <c r="Q433" i="2"/>
  <c r="Q435" i="2"/>
  <c r="Q436" i="2"/>
  <c r="Q437" i="2"/>
  <c r="AE442" i="2"/>
  <c r="Q443" i="2"/>
  <c r="Q444" i="2"/>
  <c r="AE446" i="2"/>
  <c r="AE447" i="2"/>
  <c r="AE448" i="2"/>
  <c r="AE449" i="2"/>
  <c r="AE450" i="2"/>
  <c r="AE451" i="2"/>
  <c r="AE452" i="2"/>
  <c r="AE453" i="2"/>
  <c r="AE455" i="2"/>
  <c r="AE456" i="2"/>
  <c r="AE457" i="2"/>
  <c r="AE458" i="2"/>
  <c r="AE459" i="2"/>
  <c r="AE460" i="2"/>
  <c r="Q461" i="2"/>
  <c r="AE462" i="2"/>
  <c r="AE463" i="2"/>
  <c r="AE464" i="2"/>
  <c r="AE465" i="2"/>
  <c r="AE466" i="2"/>
  <c r="AE467" i="2"/>
  <c r="AE468" i="2"/>
  <c r="AE469" i="2"/>
  <c r="AE470" i="2"/>
  <c r="Q475" i="2"/>
  <c r="AE478" i="2"/>
  <c r="AE479" i="2"/>
  <c r="AE480" i="2"/>
  <c r="AE481" i="2"/>
  <c r="AE482" i="2"/>
  <c r="AE483" i="2"/>
  <c r="AE484" i="2"/>
  <c r="Q486" i="2"/>
  <c r="AE487" i="2"/>
  <c r="Q493" i="2"/>
  <c r="Q494" i="2"/>
  <c r="Q495" i="2"/>
  <c r="Q496" i="2"/>
  <c r="Q498" i="2"/>
  <c r="Q499" i="2"/>
  <c r="Q500" i="2"/>
  <c r="Q501" i="2"/>
  <c r="Q502" i="2"/>
  <c r="Q503" i="2"/>
  <c r="Q504" i="2"/>
  <c r="Q505" i="2"/>
  <c r="Q507" i="2"/>
  <c r="Q508" i="2"/>
  <c r="Q509" i="2"/>
  <c r="Q510" i="2"/>
  <c r="Q511" i="2"/>
  <c r="Q516" i="2"/>
  <c r="Q517" i="2"/>
  <c r="Q518" i="2"/>
  <c r="Q527" i="2"/>
  <c r="AE527" i="2" s="1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4" i="2"/>
  <c r="Q545" i="2"/>
  <c r="Q546" i="2"/>
  <c r="AE546" i="2" s="1"/>
  <c r="Q547" i="2"/>
  <c r="AE548" i="2"/>
  <c r="Q549" i="2"/>
  <c r="Q550" i="2"/>
  <c r="Q551" i="2"/>
  <c r="Q566" i="2"/>
  <c r="Q567" i="2"/>
  <c r="Q568" i="2"/>
  <c r="Q569" i="2"/>
  <c r="AE571" i="2"/>
  <c r="AE572" i="2"/>
  <c r="AE573" i="2"/>
  <c r="AE575" i="2"/>
  <c r="Q576" i="2"/>
  <c r="Q577" i="2"/>
  <c r="Q578" i="2"/>
  <c r="Q580" i="2"/>
  <c r="Q581" i="2"/>
  <c r="Q582" i="2"/>
  <c r="Q583" i="2"/>
  <c r="Q605" i="2"/>
  <c r="Q591" i="2"/>
  <c r="Q584" i="2"/>
  <c r="Q585" i="2"/>
  <c r="Q586" i="2"/>
  <c r="Q587" i="2"/>
  <c r="Q598" i="2"/>
  <c r="Q589" i="2"/>
  <c r="AE590" i="2"/>
  <c r="Q592" i="2"/>
  <c r="Q593" i="2"/>
  <c r="Q595" i="2"/>
  <c r="Q596" i="2"/>
  <c r="Q597" i="2"/>
  <c r="Q588" i="2"/>
  <c r="Q599" i="2"/>
  <c r="Q600" i="2"/>
  <c r="Q606" i="2"/>
  <c r="AE607" i="2"/>
  <c r="AE611" i="2"/>
  <c r="Q612" i="2"/>
  <c r="Q613" i="2"/>
  <c r="AE613" i="2" s="1"/>
  <c r="Q614" i="2"/>
  <c r="Q615" i="2"/>
  <c r="Q616" i="2"/>
  <c r="Q619" i="2"/>
  <c r="AE619" i="2" s="1"/>
  <c r="Q620" i="2"/>
  <c r="Q621" i="2"/>
  <c r="Q622" i="2"/>
  <c r="Q623" i="2"/>
  <c r="Q624" i="2"/>
  <c r="Q625" i="2"/>
  <c r="Q626" i="2"/>
  <c r="Q627" i="2"/>
  <c r="Q628" i="2"/>
  <c r="Q629" i="2"/>
  <c r="Q630" i="2"/>
  <c r="Q631" i="2"/>
  <c r="Q633" i="2"/>
  <c r="Q634" i="2"/>
  <c r="Q635" i="2"/>
  <c r="Q636" i="2"/>
  <c r="Q638" i="2"/>
  <c r="Q639" i="2"/>
  <c r="Q640" i="2"/>
  <c r="Q642" i="2"/>
  <c r="Q643" i="2"/>
  <c r="Q644" i="2"/>
  <c r="Q645" i="2"/>
  <c r="Q646" i="2"/>
  <c r="Q647" i="2"/>
  <c r="Q651" i="2"/>
  <c r="Q652" i="2"/>
  <c r="Q653" i="2"/>
  <c r="Q654" i="2"/>
  <c r="Q76" i="2"/>
  <c r="AE76" i="2" s="1"/>
  <c r="Q77" i="2"/>
  <c r="AE77" i="2" s="1"/>
  <c r="AE268" i="2"/>
  <c r="Y261" i="2"/>
  <c r="Y301" i="2"/>
  <c r="AE395" i="2" l="1"/>
  <c r="AE269" i="2"/>
  <c r="AE279" i="2"/>
  <c r="AE581" i="2"/>
  <c r="AE201" i="2"/>
  <c r="AE193" i="2"/>
  <c r="AE651" i="2"/>
  <c r="AE612" i="2"/>
  <c r="AE596" i="2"/>
  <c r="AE586" i="2"/>
  <c r="AE580" i="2"/>
  <c r="AE544" i="2"/>
  <c r="AE540" i="2"/>
  <c r="AE532" i="2"/>
  <c r="AE516" i="2"/>
  <c r="AE503" i="2"/>
  <c r="AE494" i="2"/>
  <c r="AE436" i="2"/>
  <c r="AE359" i="2"/>
  <c r="AE341" i="2"/>
  <c r="AE287" i="2"/>
  <c r="AE276" i="2"/>
  <c r="AE264" i="2"/>
  <c r="AE216" i="2"/>
  <c r="AE200" i="2"/>
  <c r="AE192" i="2"/>
  <c r="AE74" i="2"/>
  <c r="AE66" i="2"/>
  <c r="AE647" i="2"/>
  <c r="AE595" i="2"/>
  <c r="AE585" i="2"/>
  <c r="AE578" i="2"/>
  <c r="AE551" i="2"/>
  <c r="AE539" i="2"/>
  <c r="AE531" i="2"/>
  <c r="AE511" i="2"/>
  <c r="AE502" i="2"/>
  <c r="AE493" i="2"/>
  <c r="AE435" i="2"/>
  <c r="AE358" i="2"/>
  <c r="AE327" i="2"/>
  <c r="AE310" i="2"/>
  <c r="AE286" i="2"/>
  <c r="AE275" i="2"/>
  <c r="AE215" i="2"/>
  <c r="AE199" i="2"/>
  <c r="AE517" i="2"/>
  <c r="AE325" i="2"/>
  <c r="AE646" i="2"/>
  <c r="AE510" i="2"/>
  <c r="AE357" i="2"/>
  <c r="AE285" i="2"/>
  <c r="AE274" i="2"/>
  <c r="AE214" i="2"/>
  <c r="AE198" i="2"/>
  <c r="AE153" i="2"/>
  <c r="AE61" i="2"/>
  <c r="AE360" i="2"/>
  <c r="AE645" i="2"/>
  <c r="AE606" i="2"/>
  <c r="AE592" i="2"/>
  <c r="AE591" i="2"/>
  <c r="AE576" i="2"/>
  <c r="AE549" i="2"/>
  <c r="AE537" i="2"/>
  <c r="AE529" i="2"/>
  <c r="AE509" i="2"/>
  <c r="AE500" i="2"/>
  <c r="AE486" i="2"/>
  <c r="AE475" i="2"/>
  <c r="AE432" i="2"/>
  <c r="AE356" i="2"/>
  <c r="AE293" i="2"/>
  <c r="AE284" i="2"/>
  <c r="AE273" i="2"/>
  <c r="AE210" i="2"/>
  <c r="AE175" i="2"/>
  <c r="AE43" i="2"/>
  <c r="AE640" i="2"/>
  <c r="AE597" i="2"/>
  <c r="AE533" i="2"/>
  <c r="AE495" i="2"/>
  <c r="AE577" i="2"/>
  <c r="AE644" i="2"/>
  <c r="AE616" i="2"/>
  <c r="AE600" i="2"/>
  <c r="AE605" i="2"/>
  <c r="AE536" i="2"/>
  <c r="AE528" i="2"/>
  <c r="AE508" i="2"/>
  <c r="AE499" i="2"/>
  <c r="AE444" i="2"/>
  <c r="AE431" i="2"/>
  <c r="AE412" i="2"/>
  <c r="AE355" i="2"/>
  <c r="AE291" i="2"/>
  <c r="AE283" i="2"/>
  <c r="AE212" i="2"/>
  <c r="AE196" i="2"/>
  <c r="AE174" i="2"/>
  <c r="AE147" i="2"/>
  <c r="AE68" i="2"/>
  <c r="AE437" i="2"/>
  <c r="AE343" i="2"/>
  <c r="AE75" i="2"/>
  <c r="AE593" i="2"/>
  <c r="AE550" i="2"/>
  <c r="AE654" i="2"/>
  <c r="AE643" i="2"/>
  <c r="AE615" i="2"/>
  <c r="AE599" i="2"/>
  <c r="AE589" i="2"/>
  <c r="AE583" i="2"/>
  <c r="AE569" i="2"/>
  <c r="AE547" i="2"/>
  <c r="AE535" i="2"/>
  <c r="AE507" i="2"/>
  <c r="AE498" i="2"/>
  <c r="AE461" i="2"/>
  <c r="AE443" i="2"/>
  <c r="AE430" i="2"/>
  <c r="AE394" i="2"/>
  <c r="AE354" i="2"/>
  <c r="AE332" i="2"/>
  <c r="AE305" i="2"/>
  <c r="AE203" i="2"/>
  <c r="AE195" i="2"/>
  <c r="AE182" i="2"/>
  <c r="AE67" i="2"/>
  <c r="AE271" i="2"/>
  <c r="AE652" i="2"/>
  <c r="AE587" i="2"/>
  <c r="AE567" i="2"/>
  <c r="AE541" i="2"/>
  <c r="AE504" i="2"/>
  <c r="AE288" i="2"/>
  <c r="AE277" i="2"/>
  <c r="AE265" i="2"/>
  <c r="AE254" i="2"/>
  <c r="AE217" i="2"/>
  <c r="AE164" i="2"/>
  <c r="AE584" i="2"/>
  <c r="AE538" i="2"/>
  <c r="AE530" i="2"/>
  <c r="AE501" i="2"/>
  <c r="AE653" i="2"/>
  <c r="AE633" i="2"/>
  <c r="AE614" i="2"/>
  <c r="AE588" i="2"/>
  <c r="AE598" i="2"/>
  <c r="AE582" i="2"/>
  <c r="AE568" i="2"/>
  <c r="AE534" i="2"/>
  <c r="AE518" i="2"/>
  <c r="AE505" i="2"/>
  <c r="AE496" i="2"/>
  <c r="AE353" i="2"/>
  <c r="AE326" i="2"/>
  <c r="AE289" i="2"/>
  <c r="AE278" i="2"/>
  <c r="AE266" i="2"/>
  <c r="AE256" i="2"/>
  <c r="AE202" i="2"/>
  <c r="AE194" i="2"/>
  <c r="AE126" i="2"/>
  <c r="AE18" i="2"/>
  <c r="AE128" i="1"/>
  <c r="AE127" i="1"/>
  <c r="AE126" i="1"/>
  <c r="AE125" i="1"/>
  <c r="AE124" i="1"/>
  <c r="AE123" i="1"/>
  <c r="Y268" i="2"/>
  <c r="Y77" i="2"/>
  <c r="Y76" i="2"/>
  <c r="Y654" i="2"/>
  <c r="Y653" i="2"/>
  <c r="Y652" i="2"/>
  <c r="Y651" i="2"/>
  <c r="Y647" i="2"/>
  <c r="Y646" i="2"/>
  <c r="Y645" i="2"/>
  <c r="Y644" i="2"/>
  <c r="Y643" i="2"/>
  <c r="Y642" i="2"/>
  <c r="AE642" i="2"/>
  <c r="Y640" i="2"/>
  <c r="Y639" i="2"/>
  <c r="AE639" i="2"/>
  <c r="Y638" i="2"/>
  <c r="AE638" i="2"/>
  <c r="Y637" i="2"/>
  <c r="AE637" i="2"/>
  <c r="Y636" i="2"/>
  <c r="AE636" i="2"/>
  <c r="Y635" i="2"/>
  <c r="AE635" i="2"/>
  <c r="Y634" i="2"/>
  <c r="AE634" i="2"/>
  <c r="Y633" i="2"/>
  <c r="Y631" i="2"/>
  <c r="AE631" i="2"/>
  <c r="Y630" i="2"/>
  <c r="AE630" i="2"/>
  <c r="Y629" i="2"/>
  <c r="AE629" i="2"/>
  <c r="Y628" i="2"/>
  <c r="AE628" i="2"/>
  <c r="Y627" i="2"/>
  <c r="AE627" i="2"/>
  <c r="Y626" i="2"/>
  <c r="AE626" i="2"/>
  <c r="Y625" i="2"/>
  <c r="AE625" i="2"/>
  <c r="Y624" i="2"/>
  <c r="AE624" i="2"/>
  <c r="Y623" i="2"/>
  <c r="AE623" i="2"/>
  <c r="Y622" i="2"/>
  <c r="AE622" i="2"/>
  <c r="Y621" i="2"/>
  <c r="AE621" i="2"/>
  <c r="Y620" i="2"/>
  <c r="AE620" i="2"/>
  <c r="Y619" i="2"/>
  <c r="Y616" i="2"/>
  <c r="Y615" i="2"/>
  <c r="Y614" i="2"/>
  <c r="Y613" i="2"/>
  <c r="Y612" i="2"/>
  <c r="Y611" i="2"/>
  <c r="Y607" i="2"/>
  <c r="Y606" i="2"/>
  <c r="Y600" i="2"/>
  <c r="Y599" i="2"/>
  <c r="Y588" i="2"/>
  <c r="Y597" i="2"/>
  <c r="Y596" i="2"/>
  <c r="Y595" i="2"/>
  <c r="Y593" i="2"/>
  <c r="Y592" i="2"/>
  <c r="Y590" i="2"/>
  <c r="Y589" i="2"/>
  <c r="Y598" i="2"/>
  <c r="Y587" i="2"/>
  <c r="Y586" i="2"/>
  <c r="Y585" i="2"/>
  <c r="Y584" i="2"/>
  <c r="Y591" i="2"/>
  <c r="Y605" i="2"/>
  <c r="Y583" i="2"/>
  <c r="Y582" i="2"/>
  <c r="Y581" i="2"/>
  <c r="Y580" i="2"/>
  <c r="Y578" i="2"/>
  <c r="Y577" i="2"/>
  <c r="Y575" i="2"/>
  <c r="Y573" i="2"/>
  <c r="Y572" i="2"/>
  <c r="Y571" i="2"/>
  <c r="Y569" i="2"/>
  <c r="Y568" i="2"/>
  <c r="Y567" i="2"/>
  <c r="Y566" i="2"/>
  <c r="AE566" i="2"/>
  <c r="Y551" i="2"/>
  <c r="Y550" i="2"/>
  <c r="Y549" i="2"/>
  <c r="Y548" i="2"/>
  <c r="Y547" i="2"/>
  <c r="Y546" i="2"/>
  <c r="Y545" i="2"/>
  <c r="Y544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18" i="2"/>
  <c r="Y517" i="2"/>
  <c r="Y516" i="2"/>
  <c r="Y511" i="2"/>
  <c r="Y510" i="2"/>
  <c r="Y509" i="2"/>
  <c r="Y508" i="2"/>
  <c r="Y507" i="2"/>
  <c r="Y505" i="2"/>
  <c r="Y504" i="2"/>
  <c r="Y503" i="2"/>
  <c r="Y502" i="2"/>
  <c r="Y501" i="2"/>
  <c r="Y500" i="2"/>
  <c r="Y499" i="2"/>
  <c r="Y498" i="2"/>
  <c r="Y496" i="2"/>
  <c r="Y495" i="2"/>
  <c r="Y494" i="2"/>
  <c r="Y493" i="2"/>
  <c r="Y487" i="2"/>
  <c r="Y486" i="2"/>
  <c r="Y484" i="2"/>
  <c r="Y483" i="2"/>
  <c r="Y482" i="2"/>
  <c r="Y481" i="2"/>
  <c r="Y480" i="2"/>
  <c r="Y479" i="2"/>
  <c r="Y478" i="2"/>
  <c r="Y475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3" i="2"/>
  <c r="Y452" i="2"/>
  <c r="Y451" i="2"/>
  <c r="Y450" i="2"/>
  <c r="Y449" i="2"/>
  <c r="Y448" i="2"/>
  <c r="Y447" i="2"/>
  <c r="Y446" i="2"/>
  <c r="Y444" i="2"/>
  <c r="Y443" i="2"/>
  <c r="Y442" i="2"/>
  <c r="Y441" i="2"/>
  <c r="Y437" i="2"/>
  <c r="Y436" i="2"/>
  <c r="Y435" i="2"/>
  <c r="Y434" i="2"/>
  <c r="Y433" i="2"/>
  <c r="Y432" i="2"/>
  <c r="Y431" i="2"/>
  <c r="Y430" i="2"/>
  <c r="Y429" i="2"/>
  <c r="Y428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5" i="2"/>
  <c r="Y394" i="2"/>
  <c r="Y391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0" i="2"/>
  <c r="Y369" i="2"/>
  <c r="Y367" i="2"/>
  <c r="Y366" i="2"/>
  <c r="Y364" i="2"/>
  <c r="Y363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4" i="2"/>
  <c r="Y343" i="2"/>
  <c r="Y341" i="2"/>
  <c r="Y340" i="2"/>
  <c r="Y339" i="2"/>
  <c r="Y338" i="2"/>
  <c r="Y333" i="2"/>
  <c r="Y332" i="2"/>
  <c r="Y331" i="2"/>
  <c r="Y327" i="2"/>
  <c r="Y326" i="2"/>
  <c r="Y325" i="2"/>
  <c r="Y324" i="2"/>
  <c r="Y322" i="2"/>
  <c r="Y316" i="2"/>
  <c r="Y320" i="2"/>
  <c r="Y315" i="2"/>
  <c r="Y314" i="2"/>
  <c r="Y313" i="2"/>
  <c r="Y310" i="2"/>
  <c r="Y309" i="2"/>
  <c r="Y307" i="2"/>
  <c r="Y306" i="2"/>
  <c r="Y305" i="2"/>
  <c r="Y304" i="2"/>
  <c r="Y303" i="2"/>
  <c r="Y302" i="2"/>
  <c r="Y300" i="2"/>
  <c r="Y299" i="2"/>
  <c r="Y293" i="2"/>
  <c r="Y291" i="2"/>
  <c r="Y290" i="2"/>
  <c r="Y289" i="2"/>
  <c r="Y288" i="2"/>
  <c r="Y287" i="2"/>
  <c r="Y286" i="2"/>
  <c r="Y285" i="2"/>
  <c r="Y284" i="2"/>
  <c r="Y283" i="2"/>
  <c r="Y279" i="2"/>
  <c r="Y278" i="2"/>
  <c r="Y277" i="2"/>
  <c r="Y276" i="2"/>
  <c r="Y275" i="2"/>
  <c r="Y274" i="2"/>
  <c r="Y273" i="2"/>
  <c r="Y269" i="2"/>
  <c r="Y267" i="2"/>
  <c r="Y266" i="2"/>
  <c r="Y265" i="2"/>
  <c r="Y264" i="2"/>
  <c r="Y263" i="2"/>
  <c r="Y262" i="2"/>
  <c r="Y258" i="2"/>
  <c r="Y257" i="2"/>
  <c r="Y256" i="2"/>
  <c r="Y254" i="2"/>
  <c r="Y253" i="2"/>
  <c r="Y252" i="2"/>
  <c r="Y250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7" i="2"/>
  <c r="Y223" i="2"/>
  <c r="Y217" i="2"/>
  <c r="Y216" i="2"/>
  <c r="Y215" i="2"/>
  <c r="Y214" i="2"/>
  <c r="Y213" i="2"/>
  <c r="Y212" i="2"/>
  <c r="Y203" i="2"/>
  <c r="Y202" i="2"/>
  <c r="Y201" i="2"/>
  <c r="Y200" i="2"/>
  <c r="Y199" i="2"/>
  <c r="Y198" i="2"/>
  <c r="Y210" i="2"/>
  <c r="Y196" i="2"/>
  <c r="Y195" i="2"/>
  <c r="Y194" i="2"/>
  <c r="Y193" i="2"/>
  <c r="Y190" i="2"/>
  <c r="Y189" i="2"/>
  <c r="Y188" i="2"/>
  <c r="Y184" i="2"/>
  <c r="Y183" i="2"/>
  <c r="Y182" i="2"/>
  <c r="Y181" i="2"/>
  <c r="Y180" i="2"/>
  <c r="Y179" i="2"/>
  <c r="Y178" i="2"/>
  <c r="Y176" i="2"/>
  <c r="Y175" i="2"/>
  <c r="Y174" i="2"/>
  <c r="Y169" i="2"/>
  <c r="Y166" i="2"/>
  <c r="Y164" i="2"/>
  <c r="Y163" i="2"/>
  <c r="Y162" i="2"/>
  <c r="Y153" i="2"/>
  <c r="Y152" i="2"/>
  <c r="Y147" i="2"/>
  <c r="Y139" i="2"/>
  <c r="Y131" i="2"/>
  <c r="Y126" i="2"/>
  <c r="Y125" i="2"/>
  <c r="Y124" i="2"/>
  <c r="Y123" i="2"/>
  <c r="Y122" i="2"/>
  <c r="Y120" i="2"/>
  <c r="Y119" i="2"/>
  <c r="Y118" i="2"/>
  <c r="Y116" i="2"/>
  <c r="Y115" i="2"/>
  <c r="Y114" i="2"/>
  <c r="Y111" i="2"/>
  <c r="Y110" i="2"/>
  <c r="Y109" i="2"/>
  <c r="Y108" i="2"/>
  <c r="Y107" i="2"/>
  <c r="Y106" i="2"/>
  <c r="Y104" i="2"/>
  <c r="Y103" i="2"/>
  <c r="Y102" i="2"/>
  <c r="Y100" i="2"/>
  <c r="Y99" i="2"/>
  <c r="Y98" i="2"/>
  <c r="Y97" i="2"/>
  <c r="Y95" i="2"/>
  <c r="Y92" i="2"/>
  <c r="Y91" i="2"/>
  <c r="Y90" i="2"/>
  <c r="Y89" i="2"/>
  <c r="Y88" i="2"/>
  <c r="Y86" i="2"/>
  <c r="Y85" i="2"/>
  <c r="Y75" i="2"/>
  <c r="Y74" i="2"/>
  <c r="Y73" i="2"/>
  <c r="Y70" i="2"/>
  <c r="Y69" i="2"/>
  <c r="Y68" i="2"/>
  <c r="Y67" i="2"/>
  <c r="Y66" i="2"/>
  <c r="Y65" i="2"/>
  <c r="Y64" i="2"/>
  <c r="Y63" i="2"/>
  <c r="Y61" i="2"/>
  <c r="Y60" i="2"/>
  <c r="Y59" i="2"/>
  <c r="Y58" i="2"/>
  <c r="Y57" i="2"/>
  <c r="Y56" i="2"/>
  <c r="Y55" i="2"/>
  <c r="Y53" i="2"/>
  <c r="Y52" i="2"/>
  <c r="Y49" i="2"/>
  <c r="Y47" i="2"/>
  <c r="Y43" i="2"/>
  <c r="Y172" i="2"/>
  <c r="Y311" i="2"/>
  <c r="Y39" i="2"/>
  <c r="Y38" i="2"/>
  <c r="Y519" i="2"/>
  <c r="Y128" i="2"/>
  <c r="Y37" i="2"/>
  <c r="Y129" i="2"/>
  <c r="Y520" i="2"/>
  <c r="Y36" i="2"/>
  <c r="Y35" i="2"/>
  <c r="Y280" i="2"/>
  <c r="Y271" i="2"/>
  <c r="Y33" i="2"/>
  <c r="Y171" i="2"/>
  <c r="Y29" i="2"/>
  <c r="Y28" i="2"/>
  <c r="Y27" i="2"/>
  <c r="Y26" i="2"/>
  <c r="Y25" i="2"/>
  <c r="Y24" i="2"/>
  <c r="Y23" i="2"/>
  <c r="Y22" i="2"/>
  <c r="Y21" i="2"/>
  <c r="Y20" i="2"/>
  <c r="Y19" i="2"/>
  <c r="Y18" i="2"/>
  <c r="Y337" i="2"/>
  <c r="Y127" i="2"/>
  <c r="Y10" i="2"/>
  <c r="AE10" i="2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Z524" i="1"/>
  <c r="AE524" i="1"/>
  <c r="Z523" i="1"/>
  <c r="AE523" i="1"/>
  <c r="Z522" i="1"/>
  <c r="AE522" i="1"/>
  <c r="Z521" i="1"/>
  <c r="AE521" i="1"/>
  <c r="AE42" i="1"/>
  <c r="AE19" i="1"/>
  <c r="AE18" i="1"/>
  <c r="AE17" i="1"/>
  <c r="AE71" i="1"/>
  <c r="AE54" i="1"/>
  <c r="AE53" i="1"/>
  <c r="AE52" i="1"/>
  <c r="AE51" i="1"/>
  <c r="AE50" i="1"/>
  <c r="AE49" i="1"/>
  <c r="AE396" i="1"/>
  <c r="AE395" i="1"/>
  <c r="AE394" i="1"/>
  <c r="AE393" i="1"/>
  <c r="AE425" i="1"/>
  <c r="AE392" i="1"/>
  <c r="AE424" i="1"/>
  <c r="AE423" i="1"/>
  <c r="AE265" i="1"/>
  <c r="Z274" i="1"/>
  <c r="AE274" i="1"/>
  <c r="Z268" i="1"/>
  <c r="Z263" i="1"/>
  <c r="AE263" i="1"/>
  <c r="AE14" i="1"/>
  <c r="AE11" i="1"/>
  <c r="AE10" i="1"/>
  <c r="AE258" i="1"/>
  <c r="AE242" i="1"/>
  <c r="AE256" i="1"/>
  <c r="AE241" i="1"/>
  <c r="AE254" i="1"/>
  <c r="AE253" i="1"/>
  <c r="AE252" i="1"/>
  <c r="AE251" i="1"/>
  <c r="AE250" i="1"/>
  <c r="AE243" i="1"/>
  <c r="AE249" i="1"/>
  <c r="AE245" i="1"/>
  <c r="AE244" i="1"/>
  <c r="AE217" i="1"/>
  <c r="AE216" i="1"/>
  <c r="AE414" i="1"/>
  <c r="AE413" i="1"/>
  <c r="AE215" i="1"/>
  <c r="AE214" i="1"/>
  <c r="AE412" i="1"/>
  <c r="AE411" i="1"/>
  <c r="AE284" i="1"/>
  <c r="AE213" i="1"/>
  <c r="AE212" i="1"/>
  <c r="AE410" i="1"/>
  <c r="AE409" i="1"/>
  <c r="AE209" i="1"/>
  <c r="AE208" i="1"/>
  <c r="AE408" i="1"/>
  <c r="AE407" i="1"/>
  <c r="AE283" i="1"/>
  <c r="AE207" i="1"/>
  <c r="AE206" i="1"/>
  <c r="AE406" i="1"/>
  <c r="AE405" i="1"/>
  <c r="AE205" i="1"/>
  <c r="AE204" i="1"/>
  <c r="AE404" i="1"/>
  <c r="AE403" i="1"/>
  <c r="AE282" i="1"/>
  <c r="AE203" i="1"/>
  <c r="AE202" i="1"/>
  <c r="AE402" i="1"/>
  <c r="AE401" i="1"/>
  <c r="AE281" i="1"/>
  <c r="AE201" i="1"/>
  <c r="AE200" i="1"/>
  <c r="AE400" i="1"/>
  <c r="AE399" i="1"/>
  <c r="AE280" i="1"/>
  <c r="AE199" i="1"/>
  <c r="AE198" i="1"/>
  <c r="AE398" i="1"/>
  <c r="AE397" i="1"/>
  <c r="AE227" i="1"/>
  <c r="AE226" i="1"/>
  <c r="AE420" i="1"/>
  <c r="AE419" i="1"/>
  <c r="AE225" i="1"/>
  <c r="AE224" i="1"/>
  <c r="AE418" i="1"/>
  <c r="AE417" i="1"/>
  <c r="AE223" i="1"/>
  <c r="AE222" i="1"/>
  <c r="AE345" i="1"/>
  <c r="AE344" i="1"/>
  <c r="AE233" i="1"/>
  <c r="AE232" i="1"/>
  <c r="AE422" i="1"/>
  <c r="AE421" i="1"/>
  <c r="AE416" i="1"/>
  <c r="AE415" i="1"/>
  <c r="AE231" i="1"/>
  <c r="AE389" i="1"/>
  <c r="AE220" i="1"/>
  <c r="AE385" i="1"/>
  <c r="AE229" i="1"/>
  <c r="AE388" i="1"/>
  <c r="AE535" i="1"/>
  <c r="AE219" i="1"/>
  <c r="AE383" i="1"/>
  <c r="AE138" i="1"/>
  <c r="AE382" i="1"/>
  <c r="AE137" i="1"/>
  <c r="AE391" i="1"/>
  <c r="AE136" i="1"/>
  <c r="AE381" i="1"/>
  <c r="AE135" i="1"/>
  <c r="AE380" i="1"/>
  <c r="AE132" i="1"/>
  <c r="AE379" i="1"/>
  <c r="AE131" i="1"/>
  <c r="AE378" i="1"/>
  <c r="AE130" i="1"/>
  <c r="AE377" i="1"/>
  <c r="AE129" i="1"/>
  <c r="AE376" i="1"/>
  <c r="AE375" i="1"/>
  <c r="AE374" i="1"/>
  <c r="AE373" i="1"/>
  <c r="AE372" i="1"/>
  <c r="AE371" i="1"/>
  <c r="AE342" i="1"/>
  <c r="AE122" i="1"/>
  <c r="AE502" i="1"/>
  <c r="AE133" i="1"/>
  <c r="AE503" i="1"/>
  <c r="AE120" i="1"/>
  <c r="AE500" i="1"/>
  <c r="AE119" i="1"/>
  <c r="AE499" i="1"/>
  <c r="AE118" i="1"/>
  <c r="AE498" i="1"/>
  <c r="AE117" i="1"/>
  <c r="AE343" i="1"/>
  <c r="AE116" i="1"/>
  <c r="AE497" i="1"/>
  <c r="AE115" i="1"/>
  <c r="AE496" i="1"/>
  <c r="AE114" i="1"/>
  <c r="AE495" i="1"/>
  <c r="AE113" i="1"/>
  <c r="AE494" i="1"/>
  <c r="AE112" i="1"/>
  <c r="AE370" i="1"/>
  <c r="AE111" i="1"/>
  <c r="AE493" i="1"/>
  <c r="AE110" i="1"/>
  <c r="AE492" i="1"/>
  <c r="AE109" i="1"/>
  <c r="AE491" i="1"/>
  <c r="AE108" i="1"/>
  <c r="AE490" i="1"/>
  <c r="AE107" i="1"/>
  <c r="AE489" i="1"/>
  <c r="AE105" i="1"/>
  <c r="AE487" i="1"/>
  <c r="AE103" i="1"/>
  <c r="AE485" i="1"/>
  <c r="AE101" i="1"/>
  <c r="AE482" i="1"/>
  <c r="AE99" i="1"/>
  <c r="AE480" i="1"/>
  <c r="AE140" i="1"/>
  <c r="AE479" i="1"/>
  <c r="AE95" i="1"/>
  <c r="AE477" i="1"/>
  <c r="AE475" i="1"/>
  <c r="AE93" i="1"/>
  <c r="AE474" i="1"/>
  <c r="AE91" i="1"/>
  <c r="AE472" i="1"/>
  <c r="AE89" i="1"/>
  <c r="AE470" i="1"/>
  <c r="AE87" i="1"/>
  <c r="AE468" i="1"/>
  <c r="AE85" i="1"/>
  <c r="AE465" i="1"/>
  <c r="AE84" i="1"/>
  <c r="AE464" i="1"/>
  <c r="AE80" i="1"/>
  <c r="AE463" i="1"/>
  <c r="AE81" i="1"/>
  <c r="AE461" i="1"/>
  <c r="AE77" i="1"/>
  <c r="AE460" i="1"/>
  <c r="AE75" i="1"/>
  <c r="AE458" i="1"/>
  <c r="AE73" i="1"/>
  <c r="AE456" i="1"/>
  <c r="AE454" i="1"/>
  <c r="AE239" i="1"/>
  <c r="Z240" i="1"/>
  <c r="AE240" i="1"/>
  <c r="AE238" i="1"/>
  <c r="AE520" i="1"/>
  <c r="Z525" i="1"/>
  <c r="AE525" i="1"/>
  <c r="AE519" i="1"/>
  <c r="Y11" i="2" l="1"/>
  <c r="Z532" i="1"/>
  <c r="Z199" i="1"/>
  <c r="Z283" i="1"/>
  <c r="Z520" i="1"/>
  <c r="Z454" i="1"/>
  <c r="Z458" i="1"/>
  <c r="Z461" i="1"/>
  <c r="Z464" i="1"/>
  <c r="Z468" i="1"/>
  <c r="Z472" i="1"/>
  <c r="Z475" i="1"/>
  <c r="Z479" i="1"/>
  <c r="Z482" i="1"/>
  <c r="Z487" i="1"/>
  <c r="Z490" i="1"/>
  <c r="Z492" i="1"/>
  <c r="Z370" i="1"/>
  <c r="Z495" i="1"/>
  <c r="Z497" i="1"/>
  <c r="Z498" i="1"/>
  <c r="Z500" i="1"/>
  <c r="Z133" i="1"/>
  <c r="Z126" i="1"/>
  <c r="Z376" i="1"/>
  <c r="Z378" i="1"/>
  <c r="Z380" i="1"/>
  <c r="Z391" i="1"/>
  <c r="Z383" i="1"/>
  <c r="Z229" i="1"/>
  <c r="Z231" i="1"/>
  <c r="Z421" i="1"/>
  <c r="Z216" i="1"/>
  <c r="Z246" i="1"/>
  <c r="Z251" i="1"/>
  <c r="Z241" i="1"/>
  <c r="Z265" i="1"/>
  <c r="Z223" i="1"/>
  <c r="Z371" i="1"/>
  <c r="Z344" i="1"/>
  <c r="Z417" i="1"/>
  <c r="Z419" i="1"/>
  <c r="Z397" i="1"/>
  <c r="Z280" i="1"/>
  <c r="Z201" i="1"/>
  <c r="Z202" i="1"/>
  <c r="Z404" i="1"/>
  <c r="Z406" i="1"/>
  <c r="Z407" i="1"/>
  <c r="Z409" i="1"/>
  <c r="Z284" i="1"/>
  <c r="Z215" i="1"/>
  <c r="Z402" i="1"/>
  <c r="Z238" i="1"/>
  <c r="Z75" i="1"/>
  <c r="Z81" i="1"/>
  <c r="Z84" i="1"/>
  <c r="Z87" i="1"/>
  <c r="Z91" i="1"/>
  <c r="Z140" i="1"/>
  <c r="Z101" i="1"/>
  <c r="Z105" i="1"/>
  <c r="Z108" i="1"/>
  <c r="Z110" i="1"/>
  <c r="Z112" i="1"/>
  <c r="Z114" i="1"/>
  <c r="Z116" i="1"/>
  <c r="Z118" i="1"/>
  <c r="Z120" i="1"/>
  <c r="Z502" i="1"/>
  <c r="Z124" i="1"/>
  <c r="Z374" i="1"/>
  <c r="Z129" i="1"/>
  <c r="Z131" i="1"/>
  <c r="Z135" i="1"/>
  <c r="Z137" i="1"/>
  <c r="Z219" i="1"/>
  <c r="Z385" i="1"/>
  <c r="Z415" i="1"/>
  <c r="Z422" i="1"/>
  <c r="Z285" i="1"/>
  <c r="Z217" i="1"/>
  <c r="Z249" i="1"/>
  <c r="Z252" i="1"/>
  <c r="Z256" i="1"/>
  <c r="Z209" i="1"/>
  <c r="Z501" i="1"/>
  <c r="Z127" i="1"/>
  <c r="Z345" i="1"/>
  <c r="Z418" i="1"/>
  <c r="Z420" i="1"/>
  <c r="Z398" i="1"/>
  <c r="Z399" i="1"/>
  <c r="Z281" i="1"/>
  <c r="Z203" i="1"/>
  <c r="Z204" i="1"/>
  <c r="Z206" i="1"/>
  <c r="Z408" i="1"/>
  <c r="Z410" i="1"/>
  <c r="Z411" i="1"/>
  <c r="Z286" i="1"/>
  <c r="Z243" i="1"/>
  <c r="Z123" i="1"/>
  <c r="Z225" i="1"/>
  <c r="Z227" i="1"/>
  <c r="Z200" i="1"/>
  <c r="Z403" i="1"/>
  <c r="Z405" i="1"/>
  <c r="Z213" i="1"/>
  <c r="Z245" i="1"/>
  <c r="Z519" i="1"/>
  <c r="Z456" i="1"/>
  <c r="Z460" i="1"/>
  <c r="Z463" i="1"/>
  <c r="Z465" i="1"/>
  <c r="Z470" i="1"/>
  <c r="Z474" i="1"/>
  <c r="Z477" i="1"/>
  <c r="Z480" i="1"/>
  <c r="Z485" i="1"/>
  <c r="Z489" i="1"/>
  <c r="Z491" i="1"/>
  <c r="Z493" i="1"/>
  <c r="Z494" i="1"/>
  <c r="Z496" i="1"/>
  <c r="Z343" i="1"/>
  <c r="Z499" i="1"/>
  <c r="Z121" i="1"/>
  <c r="Z122" i="1"/>
  <c r="Z372" i="1"/>
  <c r="Z377" i="1"/>
  <c r="Z379" i="1"/>
  <c r="Z381" i="1"/>
  <c r="Z382" i="1"/>
  <c r="Z535" i="1"/>
  <c r="Z220" i="1"/>
  <c r="Z416" i="1"/>
  <c r="Z232" i="1"/>
  <c r="Z413" i="1"/>
  <c r="Z253" i="1"/>
  <c r="Z242" i="1"/>
  <c r="Z373" i="1"/>
  <c r="Z214" i="1"/>
  <c r="Z239" i="1"/>
  <c r="Z125" i="1"/>
  <c r="Z375" i="1"/>
  <c r="Z210" i="1"/>
  <c r="Z222" i="1"/>
  <c r="Z224" i="1"/>
  <c r="Z226" i="1"/>
  <c r="Z198" i="1"/>
  <c r="Z400" i="1"/>
  <c r="Z401" i="1"/>
  <c r="Z282" i="1"/>
  <c r="Z205" i="1"/>
  <c r="Z207" i="1"/>
  <c r="Z208" i="1"/>
  <c r="Z212" i="1"/>
  <c r="Z412" i="1"/>
  <c r="Z244" i="1"/>
  <c r="Z73" i="1"/>
  <c r="Z77" i="1"/>
  <c r="Z80" i="1"/>
  <c r="Z85" i="1"/>
  <c r="Z89" i="1"/>
  <c r="Z93" i="1"/>
  <c r="Z95" i="1"/>
  <c r="Z99" i="1"/>
  <c r="Z103" i="1"/>
  <c r="Z107" i="1"/>
  <c r="Z109" i="1"/>
  <c r="Z111" i="1"/>
  <c r="Z113" i="1"/>
  <c r="Z115" i="1"/>
  <c r="Z117" i="1"/>
  <c r="Z119" i="1"/>
  <c r="Z503" i="1"/>
  <c r="Z342" i="1"/>
  <c r="Z128" i="1"/>
  <c r="Z130" i="1"/>
  <c r="Z132" i="1"/>
  <c r="Z136" i="1"/>
  <c r="Z138" i="1"/>
  <c r="Z388" i="1"/>
  <c r="Z389" i="1"/>
  <c r="Z211" i="1"/>
  <c r="Z233" i="1"/>
  <c r="Z414" i="1"/>
  <c r="Z250" i="1"/>
  <c r="Z254" i="1"/>
  <c r="Z25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<sst xmlns="http://schemas.openxmlformats.org/spreadsheetml/2006/main" count="28580" uniqueCount="6020">
  <si>
    <t>REGISTRO DE CALIBRAÇÃO</t>
  </si>
  <si>
    <t>Fábrica: Nerópolis
Pilar: FSQ
Capítulo: Calibração</t>
  </si>
  <si>
    <r>
      <t xml:space="preserve">LOCAL </t>
    </r>
    <r>
      <rPr>
        <sz val="10"/>
        <color rgb="FFFF0000"/>
        <rFont val="Calibri"/>
        <family val="2"/>
      </rPr>
      <t>(LOCATION)</t>
    </r>
    <r>
      <rPr>
        <sz val="10"/>
        <color theme="1"/>
        <rFont val="Calibri"/>
        <family val="2"/>
      </rPr>
      <t xml:space="preserve">: </t>
    </r>
  </si>
  <si>
    <t>SharePoint</t>
  </si>
  <si>
    <t>NO PRAZO</t>
  </si>
  <si>
    <t>APROVADO</t>
  </si>
  <si>
    <t>CALIBRAR</t>
  </si>
  <si>
    <t>REPROVADO</t>
  </si>
  <si>
    <r>
      <t xml:space="preserve">EMPRESA </t>
    </r>
    <r>
      <rPr>
        <sz val="10"/>
        <color rgb="FFFF0000"/>
        <rFont val="Calibri"/>
        <family val="2"/>
      </rPr>
      <t xml:space="preserve">( COMPANY) </t>
    </r>
    <r>
      <rPr>
        <sz val="10"/>
        <color theme="1"/>
        <rFont val="Calibri"/>
        <family val="2"/>
      </rPr>
      <t xml:space="preserve">: </t>
    </r>
  </si>
  <si>
    <t>SUPORTY CALIBRAÇÕES - GRAMME METROLOGIA E QUALIDADE INDUSTRIAL EIRELLI</t>
  </si>
  <si>
    <t>-</t>
  </si>
  <si>
    <r>
      <t xml:space="preserve">FREQUÊNCIA </t>
    </r>
    <r>
      <rPr>
        <sz val="10"/>
        <color rgb="FFFF0000"/>
        <rFont val="Calibri"/>
        <family val="2"/>
      </rPr>
      <t>(FREQUENCY)</t>
    </r>
    <r>
      <rPr>
        <sz val="10"/>
        <color theme="1"/>
        <rFont val="Calibri"/>
        <family val="2"/>
      </rPr>
      <t xml:space="preserve"> : </t>
    </r>
  </si>
  <si>
    <t>SEMESTRAL</t>
  </si>
  <si>
    <t>ATRASADO</t>
  </si>
  <si>
    <t>AGUARDANDO CERTIFICADO</t>
  </si>
  <si>
    <r>
      <t xml:space="preserve">ETIQUETA  ANTERIOR
</t>
    </r>
    <r>
      <rPr>
        <b/>
        <sz val="9"/>
        <color rgb="FFFF0000"/>
        <rFont val="Calibri"/>
        <family val="2"/>
      </rPr>
      <t>PREVIOUS LABEL</t>
    </r>
  </si>
  <si>
    <r>
      <t xml:space="preserve">INSTRUMENTO 
</t>
    </r>
    <r>
      <rPr>
        <b/>
        <sz val="9"/>
        <color rgb="FFFF0000"/>
        <rFont val="Calibri"/>
        <family val="2"/>
      </rPr>
      <t>INSTRUMENT</t>
    </r>
  </si>
  <si>
    <r>
      <rPr>
        <b/>
        <sz val="9"/>
        <color rgb="FF000000"/>
        <rFont val="Calibri"/>
        <family val="2"/>
      </rPr>
      <t xml:space="preserve">ÁREA
</t>
    </r>
    <r>
      <rPr>
        <b/>
        <sz val="9"/>
        <color rgb="FFFF0000"/>
        <rFont val="Calibri"/>
        <family val="2"/>
      </rPr>
      <t>SECTOR</t>
    </r>
  </si>
  <si>
    <r>
      <rPr>
        <b/>
        <sz val="9"/>
        <color theme="1"/>
        <rFont val="Calibri"/>
        <family val="2"/>
      </rPr>
      <t xml:space="preserve">LOCALIZAÇÃO 
</t>
    </r>
    <r>
      <rPr>
        <b/>
        <sz val="9"/>
        <color rgb="FFFF0000"/>
        <rFont val="Calibri"/>
        <family val="2"/>
      </rPr>
      <t>LOCATION</t>
    </r>
  </si>
  <si>
    <r>
      <rPr>
        <b/>
        <sz val="9"/>
        <color theme="1"/>
        <rFont val="Calibri"/>
        <family val="2"/>
      </rPr>
      <t xml:space="preserve">EQUIPAMENTO 
</t>
    </r>
    <r>
      <rPr>
        <b/>
        <sz val="9"/>
        <color rgb="FFFF0000"/>
        <rFont val="Calibri"/>
        <family val="2"/>
      </rPr>
      <t>EQUIPMENT</t>
    </r>
  </si>
  <si>
    <r>
      <rPr>
        <b/>
        <sz val="9"/>
        <color theme="1"/>
        <rFont val="Calibri"/>
        <family val="2"/>
      </rPr>
      <t xml:space="preserve">DESCRIÇÃO
</t>
    </r>
    <r>
      <rPr>
        <b/>
        <sz val="9"/>
        <color rgb="FFFF0000"/>
        <rFont val="Calibri"/>
        <family val="2"/>
      </rPr>
      <t>DESCRIPTION</t>
    </r>
  </si>
  <si>
    <r>
      <t xml:space="preserve">RANGE
</t>
    </r>
    <r>
      <rPr>
        <b/>
        <sz val="9"/>
        <color rgb="FFFF0000"/>
        <rFont val="Calibri"/>
        <family val="2"/>
      </rPr>
      <t>RANGE</t>
    </r>
  </si>
  <si>
    <r>
      <t xml:space="preserve">FAIXA DE USO
</t>
    </r>
    <r>
      <rPr>
        <b/>
        <sz val="9"/>
        <color rgb="FFFF0000"/>
        <rFont val="Calibri"/>
        <family val="2"/>
      </rPr>
      <t>RANGE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rgb="FFFF0000"/>
        <rFont val="Calibri"/>
        <family val="2"/>
      </rPr>
      <t>OF USE</t>
    </r>
  </si>
  <si>
    <t>PCC</t>
  </si>
  <si>
    <t>PPRO</t>
  </si>
  <si>
    <r>
      <rPr>
        <b/>
        <sz val="9"/>
        <color rgb="FF000000"/>
        <rFont val="Calibri"/>
        <family val="2"/>
      </rPr>
      <t xml:space="preserve">EQUIPAMENTO CRITICO?
</t>
    </r>
    <r>
      <rPr>
        <b/>
        <sz val="9"/>
        <color rgb="FFFF0000"/>
        <rFont val="Calibri"/>
        <family val="2"/>
      </rPr>
      <t>CRITIC EQUIPAMENT?</t>
    </r>
  </si>
  <si>
    <r>
      <rPr>
        <b/>
        <sz val="9"/>
        <color theme="1"/>
        <rFont val="Calibri"/>
        <family val="2"/>
      </rPr>
      <t xml:space="preserve">DATA DE CALIBRAÇÃO 
</t>
    </r>
    <r>
      <rPr>
        <b/>
        <sz val="9"/>
        <color rgb="FFFF0000"/>
        <rFont val="Calibri"/>
        <family val="2"/>
      </rPr>
      <t xml:space="preserve">CALIBRATION DATE </t>
    </r>
  </si>
  <si>
    <r>
      <rPr>
        <b/>
        <sz val="9"/>
        <color theme="1"/>
        <rFont val="Calibri"/>
        <family val="2"/>
      </rPr>
      <t xml:space="preserve">DATA CALIBRAÇÃO PRÓXIMA 
</t>
    </r>
    <r>
      <rPr>
        <b/>
        <sz val="9"/>
        <color rgb="FFFF0000"/>
        <rFont val="Calibri"/>
        <family val="2"/>
      </rPr>
      <t>CALIBRATION DATE (NEXT)</t>
    </r>
  </si>
  <si>
    <r>
      <rPr>
        <b/>
        <sz val="9"/>
        <color theme="1"/>
        <rFont val="Calibri"/>
        <family val="2"/>
      </rPr>
      <t xml:space="preserve">N° CERTIFICADO - ANTERIOR
</t>
    </r>
    <r>
      <rPr>
        <b/>
        <sz val="9"/>
        <color rgb="FFFF0000"/>
        <rFont val="Calibri"/>
        <family val="2"/>
      </rPr>
      <t>CERTIFICATE NUMBER - PREVIUS</t>
    </r>
  </si>
  <si>
    <r>
      <rPr>
        <b/>
        <sz val="9"/>
        <color theme="1"/>
        <rFont val="Calibri"/>
        <family val="2"/>
      </rPr>
      <t xml:space="preserve">N° CERTIFICADO 
</t>
    </r>
    <r>
      <rPr>
        <b/>
        <sz val="9"/>
        <color rgb="FFFF0000"/>
        <rFont val="Calibri"/>
        <family val="2"/>
      </rPr>
      <t>CERTIFICATE NUMBER</t>
    </r>
  </si>
  <si>
    <r>
      <rPr>
        <b/>
        <sz val="9"/>
        <color theme="1"/>
        <rFont val="Calibri"/>
        <family val="2"/>
      </rPr>
      <t xml:space="preserve">ERRO MÁXIMO ENCONTRADO 
</t>
    </r>
    <r>
      <rPr>
        <b/>
        <sz val="9"/>
        <color rgb="FFFF0000"/>
        <rFont val="Calibri"/>
        <family val="2"/>
      </rPr>
      <t>MAXIMUM ERROR FOUND</t>
    </r>
  </si>
  <si>
    <r>
      <t xml:space="preserve">PONTO MAIOR ERRO
</t>
    </r>
    <r>
      <rPr>
        <b/>
        <sz val="9"/>
        <color rgb="FFFF0000"/>
        <rFont val="Calibri"/>
        <family val="2"/>
      </rPr>
      <t>MAJOR ERROR POINT</t>
    </r>
  </si>
  <si>
    <r>
      <t xml:space="preserve">UNIDADE DE MEDIDA
</t>
    </r>
    <r>
      <rPr>
        <b/>
        <sz val="9"/>
        <color rgb="FFFF0000"/>
        <rFont val="Calibri"/>
        <family val="2"/>
      </rPr>
      <t>UNIT OF MEASUREMENT</t>
    </r>
  </si>
  <si>
    <r>
      <t xml:space="preserve">CORREÇÃO?
</t>
    </r>
    <r>
      <rPr>
        <b/>
        <sz val="9"/>
        <color rgb="FFFF0000"/>
        <rFont val="Calibri"/>
        <family val="2"/>
      </rPr>
      <t>CORRECTION</t>
    </r>
    <r>
      <rPr>
        <b/>
        <sz val="9"/>
        <color theme="1"/>
        <rFont val="Calibri"/>
        <family val="2"/>
      </rPr>
      <t xml:space="preserve">
</t>
    </r>
  </si>
  <si>
    <r>
      <t xml:space="preserve">STATUS
</t>
    </r>
    <r>
      <rPr>
        <b/>
        <sz val="9"/>
        <color rgb="FFFF0000"/>
        <rFont val="Calibri"/>
        <family val="2"/>
      </rPr>
      <t>STATUS</t>
    </r>
  </si>
  <si>
    <r>
      <rPr>
        <b/>
        <sz val="9"/>
        <color theme="1"/>
        <rFont val="Calibri"/>
        <family val="2"/>
      </rPr>
      <t xml:space="preserve">N° SAP 
</t>
    </r>
    <r>
      <rPr>
        <b/>
        <sz val="9"/>
        <color rgb="FFFF0000"/>
        <rFont val="Calibri"/>
        <family val="2"/>
      </rPr>
      <t>SAP NUMBER</t>
    </r>
  </si>
  <si>
    <r>
      <rPr>
        <b/>
        <sz val="9"/>
        <color theme="1"/>
        <rFont val="Calibri"/>
        <family val="2"/>
      </rPr>
      <t xml:space="preserve">N° PLANO 
</t>
    </r>
    <r>
      <rPr>
        <b/>
        <sz val="9"/>
        <color rgb="FFFF0000"/>
        <rFont val="Calibri"/>
        <family val="2"/>
      </rPr>
      <t>PLAN NUMBER</t>
    </r>
  </si>
  <si>
    <r>
      <t xml:space="preserve">EMPRESA
</t>
    </r>
    <r>
      <rPr>
        <b/>
        <sz val="9"/>
        <color rgb="FFFF0000"/>
        <rFont val="Calibri"/>
        <family val="2"/>
      </rPr>
      <t>COMPANY</t>
    </r>
  </si>
  <si>
    <r>
      <t xml:space="preserve">STATUS (DIAS) 
</t>
    </r>
    <r>
      <rPr>
        <b/>
        <sz val="9"/>
        <color rgb="FFFF0000"/>
        <rFont val="Calibri"/>
        <family val="2"/>
      </rPr>
      <t>STATUS (DAYS)</t>
    </r>
  </si>
  <si>
    <t>TRANSMISSOR DE VAZÃO</t>
  </si>
  <si>
    <t>ATOMATADOS</t>
  </si>
  <si>
    <t>PASTEURIZADORES</t>
  </si>
  <si>
    <t>SIMA</t>
  </si>
  <si>
    <t>MEDIDOR DE VAZÂO LINHA</t>
  </si>
  <si>
    <t>0 A 50000 L/h</t>
  </si>
  <si>
    <t>X</t>
  </si>
  <si>
    <t>SIM</t>
  </si>
  <si>
    <t>%</t>
  </si>
  <si>
    <t>SUPORTY</t>
  </si>
  <si>
    <t>TERMORRESISTENCIA PT-100 duplo</t>
  </si>
  <si>
    <t>CEREAIS</t>
  </si>
  <si>
    <t>AUTOCLAVE FERLO 1</t>
  </si>
  <si>
    <t>TEMPERATURA DA ÁGUA INTERNA</t>
  </si>
  <si>
    <t>-200 a 600 ◦C</t>
  </si>
  <si>
    <t>35 a 135 ºC</t>
  </si>
  <si>
    <t>°C</t>
  </si>
  <si>
    <t>NÃO</t>
  </si>
  <si>
    <t>IRI-TE-9100A</t>
  </si>
  <si>
    <t>1000 a 9000L/h</t>
  </si>
  <si>
    <t>FT1-01</t>
  </si>
  <si>
    <t>TROPICAL 1</t>
  </si>
  <si>
    <t>0 a 28000L/h</t>
  </si>
  <si>
    <t>1000 a 6000 L/h</t>
  </si>
  <si>
    <t>FI5-03</t>
  </si>
  <si>
    <t>INDICADOR DE VAZÃO
(MALHA 4 a 20 mA)</t>
  </si>
  <si>
    <t>IRI-TE-9100B</t>
  </si>
  <si>
    <t>FI1-01</t>
  </si>
  <si>
    <t>1500 a 6000 L/h</t>
  </si>
  <si>
    <t>MOAGEM</t>
  </si>
  <si>
    <t>ASSÉPTICOS</t>
  </si>
  <si>
    <t>TROPICAL CUBOS NOVA</t>
  </si>
  <si>
    <t>VAZÃO DE ENTRADA DE CUBOS  NA LINHA</t>
  </si>
  <si>
    <t>0 a 15000 L/h</t>
  </si>
  <si>
    <t>L/h</t>
  </si>
  <si>
    <t>FQI8200</t>
  </si>
  <si>
    <t>0 A 999999L/h</t>
  </si>
  <si>
    <t>1000 a 10000L/h</t>
  </si>
  <si>
    <t>FI-8200</t>
  </si>
  <si>
    <t>FQI8000</t>
  </si>
  <si>
    <t>FQI8100</t>
  </si>
  <si>
    <t>POLPA MANZINI</t>
  </si>
  <si>
    <t>0 a 500L/min</t>
  </si>
  <si>
    <t>180 a 250L/min</t>
  </si>
  <si>
    <t>L/min</t>
  </si>
  <si>
    <t>FI-8100</t>
  </si>
  <si>
    <t>FT-001</t>
  </si>
  <si>
    <t>CFT</t>
  </si>
  <si>
    <t>0 a 9999dm3</t>
  </si>
  <si>
    <t>TT-4001</t>
  </si>
  <si>
    <t>TRANSMISSOR DE TEMPERATURA (OHM´S / 4-20 mA)</t>
  </si>
  <si>
    <t>PREPARAÇÃO MOLHOS</t>
  </si>
  <si>
    <t>TANQUE FORMULAÇÃO - TQ 4001</t>
  </si>
  <si>
    <t xml:space="preserve">TEMPERATURA FORMULAÇÃO </t>
  </si>
  <si>
    <t>0 a 200 ◦C</t>
  </si>
  <si>
    <t>95 a 98 °C</t>
  </si>
  <si>
    <t>;</t>
  </si>
  <si>
    <t>INDICADOR DE TEMPERATURA DIGITAL
(MALHA 4 a 20 mA)</t>
  </si>
  <si>
    <t>TANQUE FORMULAÇÃO - TQ 4002</t>
  </si>
  <si>
    <t>0 a 160 ◦C</t>
  </si>
  <si>
    <t>TANQUE PULMÃO - TQ 4004</t>
  </si>
  <si>
    <t>TEMPERATURA PULMÃO</t>
  </si>
  <si>
    <t>0 a 300 ◦C</t>
  </si>
  <si>
    <t>88 a 98 °C</t>
  </si>
  <si>
    <t>TANQUE FORMULAÇÃO - TQ 4101</t>
  </si>
  <si>
    <t>0 a 150 ◦C</t>
  </si>
  <si>
    <t>TANQUE FORMULAÇÃO - TQ 4102</t>
  </si>
  <si>
    <t>TI-4102</t>
  </si>
  <si>
    <t>TANQUE FORMULAÇÃO - TQ 4103</t>
  </si>
  <si>
    <t>TT-4104</t>
  </si>
  <si>
    <t>TANQUE PULMÃO - TQ 4104</t>
  </si>
  <si>
    <t>TI-4104</t>
  </si>
  <si>
    <t>TANQUE FORMULAÇÃO - TQ 4201</t>
  </si>
  <si>
    <t>TANQUE FORMULAÇÃO - TQ 4202</t>
  </si>
  <si>
    <t>TANQUE PULMÃO - TQ 4204</t>
  </si>
  <si>
    <t>TANQUE FORMULAÇÃO - TQ 4301</t>
  </si>
  <si>
    <t>0 a 250 ◦C</t>
  </si>
  <si>
    <t>TANQUE FORMULAÇÃO - TQ 4302</t>
  </si>
  <si>
    <t>TANQUE PULMÃO - TQ 4304</t>
  </si>
  <si>
    <t>TANQUE FORMULAÇÃO - TQ 4401</t>
  </si>
  <si>
    <t>TANQUE FORMULAÇÃO - TQ 4402</t>
  </si>
  <si>
    <t>TANQUE PULMÃO - TQ 4404</t>
  </si>
  <si>
    <t>0 a 100 ◦C</t>
  </si>
  <si>
    <t>TANQUE FORMULAÇÃO - TQ 4501</t>
  </si>
  <si>
    <t>TANQUE FORMULAÇÃO - TQ 4502</t>
  </si>
  <si>
    <t>TANQUE PULMÃO - TQ 4504</t>
  </si>
  <si>
    <t>TT-4601A</t>
  </si>
  <si>
    <t>TANQUE FORMULAÇÃO - TQ 4601</t>
  </si>
  <si>
    <t>TI-4601A</t>
  </si>
  <si>
    <t>TT-4601B</t>
  </si>
  <si>
    <t>TI-4601B</t>
  </si>
  <si>
    <t>TT-4602A</t>
  </si>
  <si>
    <t>TANQUE FORMULAÇÃO - TQ 4602</t>
  </si>
  <si>
    <t>TI-4602A</t>
  </si>
  <si>
    <t>TT-4602B</t>
  </si>
  <si>
    <t xml:space="preserve"> 0 a 100 ◦C</t>
  </si>
  <si>
    <t>TI-4602B</t>
  </si>
  <si>
    <t>TT-4604A</t>
  </si>
  <si>
    <t xml:space="preserve">TERMORRESISTENCIA PT-100 </t>
  </si>
  <si>
    <t>TANQUE PULMÃO - TQ 4604</t>
  </si>
  <si>
    <t>TI-4604A</t>
  </si>
  <si>
    <t>TT-4701A</t>
  </si>
  <si>
    <t>TANQUE FORMULAÇÃO - TQ 4701</t>
  </si>
  <si>
    <t>TI-4701A</t>
  </si>
  <si>
    <t>TT-4701B</t>
  </si>
  <si>
    <t>TI-4701B</t>
  </si>
  <si>
    <t>TT-4702A</t>
  </si>
  <si>
    <t>TANQUE FORMULAÇÃO - TQ 4702</t>
  </si>
  <si>
    <t>TI-4702A</t>
  </si>
  <si>
    <t>TT-4702B</t>
  </si>
  <si>
    <t>TI-4702B</t>
  </si>
  <si>
    <t>TT-4704A</t>
  </si>
  <si>
    <t>TERMORRESISTENCIA PT-100</t>
  </si>
  <si>
    <t>TANQUE PULMÃO - TQ 4704</t>
  </si>
  <si>
    <t>-200  a 600</t>
  </si>
  <si>
    <t>TI-4704A</t>
  </si>
  <si>
    <t>TT-3000</t>
  </si>
  <si>
    <t>ENVASE POUCH</t>
  </si>
  <si>
    <t>TUNEL DE ESTERILIZAÇÃO 01</t>
  </si>
  <si>
    <t>TEMPERATURA  DA ÁGUA HOLD</t>
  </si>
  <si>
    <t>TI-3000</t>
  </si>
  <si>
    <t>TT-3002</t>
  </si>
  <si>
    <t>TUNEL DE ESTERILIZAÇÃO 02</t>
  </si>
  <si>
    <t>TI-3002</t>
  </si>
  <si>
    <t>TT-3004</t>
  </si>
  <si>
    <t>TUNEL DE ESTERILIZAÇÃO 03</t>
  </si>
  <si>
    <t>0 a 250,0 ◦C</t>
  </si>
  <si>
    <t>TI-3004</t>
  </si>
  <si>
    <t>TT-3006</t>
  </si>
  <si>
    <t>TUNEL DE ESTERILIZAÇÃO 04</t>
  </si>
  <si>
    <t>TI-3006</t>
  </si>
  <si>
    <t>TI-9100A</t>
  </si>
  <si>
    <t>INDICADOR DE TEMPERATURA
(MALHA 4 a 20 mA)</t>
  </si>
  <si>
    <t>75 a 135 ºC</t>
  </si>
  <si>
    <t>76 a 134 ºC</t>
  </si>
  <si>
    <t>IRI-TER-9100</t>
  </si>
  <si>
    <t xml:space="preserve">TE-9110A
</t>
  </si>
  <si>
    <t>AUTOCLAVE FERLO 2</t>
  </si>
  <si>
    <t>TT-3010</t>
  </si>
  <si>
    <t>TUNEL DE ESTERILIZAÇÃO 06</t>
  </si>
  <si>
    <t>TI-3010</t>
  </si>
  <si>
    <t>TUNEL DE ESTERILIZAÇÃO 07</t>
  </si>
  <si>
    <t>TI-3012</t>
  </si>
  <si>
    <t>ENVASE COPOS E LATAS</t>
  </si>
  <si>
    <t>80 a 95 °C</t>
  </si>
  <si>
    <t>TE-2001</t>
  </si>
  <si>
    <t>TEMPERATURA ENTRADA PASTEURIZADOR</t>
  </si>
  <si>
    <t>90 a  96°C</t>
  </si>
  <si>
    <t>TI-2001</t>
  </si>
  <si>
    <t>TEMPERATURA ENTRADA HOLDING</t>
  </si>
  <si>
    <t>TI-2002</t>
  </si>
  <si>
    <t>TEMPERATURA SAÍDA HOLDING</t>
  </si>
  <si>
    <t>TI-2003</t>
  </si>
  <si>
    <t>TE-2004</t>
  </si>
  <si>
    <t>TEMPERATURA SAÍDA PARA ENVASE</t>
  </si>
  <si>
    <t>TI-2004</t>
  </si>
  <si>
    <t>TQ PULMÃO POLPA</t>
  </si>
  <si>
    <t>TEMPERATURA</t>
  </si>
  <si>
    <t>TI-2300</t>
  </si>
  <si>
    <t>VISCO 1</t>
  </si>
  <si>
    <t>-200 a 600°C</t>
  </si>
  <si>
    <t>70 a 80 °C</t>
  </si>
  <si>
    <t>TT42.1</t>
  </si>
  <si>
    <t>TE44M</t>
  </si>
  <si>
    <t>115 a 142 °C</t>
  </si>
  <si>
    <t>TT44M</t>
  </si>
  <si>
    <t xml:space="preserve"> 10  a 45 ◦°C</t>
  </si>
  <si>
    <t>10 a 45 ◦C</t>
  </si>
  <si>
    <t xml:space="preserve">
TE-9110B</t>
  </si>
  <si>
    <t>TI-9110A</t>
  </si>
  <si>
    <t>IRI-TER-9110</t>
  </si>
  <si>
    <t xml:space="preserve">TE-9120A
</t>
  </si>
  <si>
    <t>AUTOCLAVE FERLO 3</t>
  </si>
  <si>
    <t xml:space="preserve">
TE-9120B</t>
  </si>
  <si>
    <t>TI-9120A</t>
  </si>
  <si>
    <t>IRI-TER-9120</t>
  </si>
  <si>
    <t xml:space="preserve">TE-9130A
</t>
  </si>
  <si>
    <t>AUTOCLAVE FERLO 4</t>
  </si>
  <si>
    <t xml:space="preserve">
TE-9130B</t>
  </si>
  <si>
    <t>TI-9130A</t>
  </si>
  <si>
    <t>TER-6030</t>
  </si>
  <si>
    <t>TERMOMETRO</t>
  </si>
  <si>
    <t>ESTERILIZADOR 170g</t>
  </si>
  <si>
    <t>AUTOCLAVE BARRIQUAND 4</t>
  </si>
  <si>
    <t>75 a 135 °C</t>
  </si>
  <si>
    <t>76 a 134 °C</t>
  </si>
  <si>
    <t xml:space="preserve">TE-9140A
</t>
  </si>
  <si>
    <t>AUTOCLAVE FERLO 5</t>
  </si>
  <si>
    <t xml:space="preserve">
TE-9140B</t>
  </si>
  <si>
    <t>TI-9140A</t>
  </si>
  <si>
    <t xml:space="preserve">
TE-9250A
</t>
  </si>
  <si>
    <t>ESTERILIZADOR POUCH</t>
  </si>
  <si>
    <t>TE-9250B</t>
  </si>
  <si>
    <t>TI-9250A</t>
  </si>
  <si>
    <t>75 a 135 ◦C</t>
  </si>
  <si>
    <t>76 a 134 ◦C</t>
  </si>
  <si>
    <t>TE-9260A</t>
  </si>
  <si>
    <t>AUTOCLAVE FERLO 7</t>
  </si>
  <si>
    <t>35 a 135 °C</t>
  </si>
  <si>
    <t xml:space="preserve"> 0 a 150 ◦C</t>
  </si>
  <si>
    <t>TE-9260B</t>
  </si>
  <si>
    <t>TI-9260A</t>
  </si>
  <si>
    <t>TE-9270A</t>
  </si>
  <si>
    <t>TE-9270B</t>
  </si>
  <si>
    <t>TI-9270A</t>
  </si>
  <si>
    <t>TI-9270B</t>
  </si>
  <si>
    <t>TE-9280A</t>
  </si>
  <si>
    <t>TE-9280B</t>
  </si>
  <si>
    <t>TI-9280A</t>
  </si>
  <si>
    <t>REL-0005</t>
  </si>
  <si>
    <t>RELÓGIO</t>
  </si>
  <si>
    <t>RELÓGIO DIGITAL</t>
  </si>
  <si>
    <t>0 a 86400 s</t>
  </si>
  <si>
    <t>60 a 3600s</t>
  </si>
  <si>
    <t>s</t>
  </si>
  <si>
    <t>PH-0018</t>
  </si>
  <si>
    <t>PHMETRO</t>
  </si>
  <si>
    <t>LABORATÓRIO</t>
  </si>
  <si>
    <t>RECEBIMENTO MATERIAIS</t>
  </si>
  <si>
    <t xml:space="preserve">PHGAMETRO </t>
  </si>
  <si>
    <t xml:space="preserve"> PHMETRO</t>
  </si>
  <si>
    <t>0,00 .. 14,00 pH</t>
  </si>
  <si>
    <t>pH</t>
  </si>
  <si>
    <t>PH-0024</t>
  </si>
  <si>
    <t>ETA</t>
  </si>
  <si>
    <t>PHGAMETRO</t>
  </si>
  <si>
    <t>AUTOCLAVE FERLO 9</t>
  </si>
  <si>
    <t>ESTERILIZADOR RECART</t>
  </si>
  <si>
    <t>AUTOCLAVE FERLO 11</t>
  </si>
  <si>
    <t>0 a 150°C</t>
  </si>
  <si>
    <t>TT-3008</t>
  </si>
  <si>
    <t>TUNEL DE ESTERILIZAÇÃO 05</t>
  </si>
  <si>
    <t>IRI-TT-3008</t>
  </si>
  <si>
    <t>TT-3009</t>
  </si>
  <si>
    <t>INSTRUMENTO NOVO</t>
  </si>
  <si>
    <t>TI-3008</t>
  </si>
  <si>
    <t>TI-3009</t>
  </si>
  <si>
    <t>MOLHOS</t>
  </si>
  <si>
    <t>SONDA PH</t>
  </si>
  <si>
    <t>TE-21.2</t>
  </si>
  <si>
    <t>TT21</t>
  </si>
  <si>
    <t>98 a 125 °C</t>
  </si>
  <si>
    <t>TT25</t>
  </si>
  <si>
    <t>TE-55.2</t>
  </si>
  <si>
    <t>TT55</t>
  </si>
  <si>
    <t xml:space="preserve"> 10  a 45 ◦C</t>
  </si>
  <si>
    <t>TE-6000A</t>
  </si>
  <si>
    <t xml:space="preserve">AUTOCLAVE BARRIQUAND 1 </t>
  </si>
  <si>
    <t>TE-6000B</t>
  </si>
  <si>
    <t>TI-6000A</t>
  </si>
  <si>
    <t>TE-6040A</t>
  </si>
  <si>
    <t>AUTOCLAVE BARRIQUAND 5</t>
  </si>
  <si>
    <t>TE-6040B</t>
  </si>
  <si>
    <t>TI-6040A</t>
  </si>
  <si>
    <t>TI-6040B</t>
  </si>
  <si>
    <t xml:space="preserve">TE-6060A
</t>
  </si>
  <si>
    <t xml:space="preserve">
TE-6060B</t>
  </si>
  <si>
    <t xml:space="preserve">TE-6080A
</t>
  </si>
  <si>
    <t xml:space="preserve">TE-6090A
</t>
  </si>
  <si>
    <t>AUTOCLAVE FERLO 10</t>
  </si>
  <si>
    <t xml:space="preserve">
TE-6090B</t>
  </si>
  <si>
    <t xml:space="preserve">TE-6100A
</t>
  </si>
  <si>
    <t xml:space="preserve">
TE-6100B</t>
  </si>
  <si>
    <t>TE-6050A</t>
  </si>
  <si>
    <t>AUTOCLAVE BARRIQUAND 6</t>
  </si>
  <si>
    <t>TE-6050B</t>
  </si>
  <si>
    <t>TI-6050A</t>
  </si>
  <si>
    <t xml:space="preserve">TE-6070A
</t>
  </si>
  <si>
    <t>AUTOCLAVE FERLO 8</t>
  </si>
  <si>
    <t xml:space="preserve">
TE-6070B</t>
  </si>
  <si>
    <t>PH-0004</t>
  </si>
  <si>
    <t>PHIT-01</t>
  </si>
  <si>
    <t>UTILIDADES</t>
  </si>
  <si>
    <t>ETE</t>
  </si>
  <si>
    <t>GASÔMETRO</t>
  </si>
  <si>
    <t>PH-0001</t>
  </si>
  <si>
    <t>4 a 10pH</t>
  </si>
  <si>
    <t>PH-936</t>
  </si>
  <si>
    <t>MICROBIOLOGIA</t>
  </si>
  <si>
    <t>PH-0008</t>
  </si>
  <si>
    <t>3380-PH-001</t>
  </si>
  <si>
    <t>PH-0016</t>
  </si>
  <si>
    <t>PH-0017</t>
  </si>
  <si>
    <t>PH-0019</t>
  </si>
  <si>
    <t>PH-0026</t>
  </si>
  <si>
    <t>PH-0028</t>
  </si>
  <si>
    <t>PH-0029</t>
  </si>
  <si>
    <t>PH-0030</t>
  </si>
  <si>
    <t>GAB-0016</t>
  </si>
  <si>
    <t>CALIBRE DE FURO</t>
  </si>
  <si>
    <t>0,45 a 1,50mm</t>
  </si>
  <si>
    <t>mm</t>
  </si>
  <si>
    <t>GAB-0017</t>
  </si>
  <si>
    <t>GAB-0020</t>
  </si>
  <si>
    <t>1,5 a 3mm</t>
  </si>
  <si>
    <t>GAB-0021</t>
  </si>
  <si>
    <t>PH-0021</t>
  </si>
  <si>
    <t>REL-0001</t>
  </si>
  <si>
    <t>REL-0004</t>
  </si>
  <si>
    <t>TEMPERATURA DO PRODUTO</t>
  </si>
  <si>
    <t>0 a 200°C</t>
  </si>
  <si>
    <t>--</t>
  </si>
  <si>
    <t>TT-2A-B</t>
  </si>
  <si>
    <t>MACROPACK</t>
  </si>
  <si>
    <t>INJETOR DE VAPOR</t>
  </si>
  <si>
    <t>100 a 130°C</t>
  </si>
  <si>
    <t>100 a 130 ºC</t>
  </si>
  <si>
    <t>TT-2B-B</t>
  </si>
  <si>
    <t>TCL-2A-B</t>
  </si>
  <si>
    <t>INDICADOR DE TEMPERATURA DIGITAL</t>
  </si>
  <si>
    <t>0 a 250°C</t>
  </si>
  <si>
    <t>TCL-2B-B</t>
  </si>
  <si>
    <t>TCL-2B-A</t>
  </si>
  <si>
    <t>TE-E6020A</t>
  </si>
  <si>
    <t>TRANSMISSOR DE TEMPERATURA</t>
  </si>
  <si>
    <t>VOLPAK NOVA</t>
  </si>
  <si>
    <t>CIP</t>
  </si>
  <si>
    <t>CENTRAL CIP</t>
  </si>
  <si>
    <t>5 a 150 ◦C</t>
  </si>
  <si>
    <t>TI-A6009A</t>
  </si>
  <si>
    <t>ROTA A</t>
  </si>
  <si>
    <t>-50 a 150 ◦C</t>
  </si>
  <si>
    <t xml:space="preserve">5 a 150 ◦C </t>
  </si>
  <si>
    <t>TE-A6009A</t>
  </si>
  <si>
    <t>TE-6026A</t>
  </si>
  <si>
    <t>TE-6025A</t>
  </si>
  <si>
    <t xml:space="preserve">TRANSMISSOR DE TEMPERATURA </t>
  </si>
  <si>
    <t>TE-6023A</t>
  </si>
  <si>
    <t>TE-D6017A</t>
  </si>
  <si>
    <t>TE-6027A</t>
  </si>
  <si>
    <t>TE-C6014A</t>
  </si>
  <si>
    <t xml:space="preserve">0 a 150 ◦C </t>
  </si>
  <si>
    <t>TI-D6017A</t>
  </si>
  <si>
    <t>ROTA D</t>
  </si>
  <si>
    <t>TI-C6014A</t>
  </si>
  <si>
    <t>ROTA C</t>
  </si>
  <si>
    <t>TI-E6020A</t>
  </si>
  <si>
    <t>ROTA E</t>
  </si>
  <si>
    <t>TI-6026A</t>
  </si>
  <si>
    <t>TI-6025A</t>
  </si>
  <si>
    <t>TI-6027A</t>
  </si>
  <si>
    <t>TI-6023A</t>
  </si>
  <si>
    <t>CIT-6023A</t>
  </si>
  <si>
    <t>0 a 2000 mS/cm</t>
  </si>
  <si>
    <t>60 a 100 mS/cm</t>
  </si>
  <si>
    <t>mS/cm</t>
  </si>
  <si>
    <t>CONDUTIVÍMETRO</t>
  </si>
  <si>
    <t>CIT-6025A</t>
  </si>
  <si>
    <t>CIT-6026A</t>
  </si>
  <si>
    <t>µS/cm</t>
  </si>
  <si>
    <t>CIT-6027A</t>
  </si>
  <si>
    <t>FIT-A6009A</t>
  </si>
  <si>
    <t xml:space="preserve">0 a 70 m3
/h </t>
  </si>
  <si>
    <t>1 a 15 m3/h</t>
  </si>
  <si>
    <t>FI-A6009A</t>
  </si>
  <si>
    <t>INDICADOR DE VAZÃO</t>
  </si>
  <si>
    <t>FIT-C6014A</t>
  </si>
  <si>
    <t>FI-C6014A</t>
  </si>
  <si>
    <t>FIT-D6017A</t>
  </si>
  <si>
    <t xml:space="preserve">0 a 72 m3
/h </t>
  </si>
  <si>
    <t>FI-D6017A</t>
  </si>
  <si>
    <t>FIT-E6020A</t>
  </si>
  <si>
    <t>FI-E6020A</t>
  </si>
  <si>
    <t>TE-4800A</t>
  </si>
  <si>
    <t>TQ4800</t>
  </si>
  <si>
    <t>80 a 100 ◦C</t>
  </si>
  <si>
    <t>TE-4800B</t>
  </si>
  <si>
    <t>TQ4801</t>
  </si>
  <si>
    <t>TE-4803A</t>
  </si>
  <si>
    <t>TOLVA 17</t>
  </si>
  <si>
    <t>TE-4801A</t>
  </si>
  <si>
    <t>TE-4801B</t>
  </si>
  <si>
    <t>TE-4802A</t>
  </si>
  <si>
    <t>TE-4802B</t>
  </si>
  <si>
    <t>TQ4802</t>
  </si>
  <si>
    <t>TE-4900A</t>
  </si>
  <si>
    <t>TQ4900</t>
  </si>
  <si>
    <t>TE-4900B</t>
  </si>
  <si>
    <t>TE-4901A</t>
  </si>
  <si>
    <t>TQ4901</t>
  </si>
  <si>
    <t>TE-4901B</t>
  </si>
  <si>
    <t>TE-4902A</t>
  </si>
  <si>
    <t>TQ4902</t>
  </si>
  <si>
    <t>TE-4902B</t>
  </si>
  <si>
    <t>TE-4903A</t>
  </si>
  <si>
    <t>TOLVA 18</t>
  </si>
  <si>
    <t>TI-4800A</t>
  </si>
  <si>
    <t xml:space="preserve">80 a 100 ◦C </t>
  </si>
  <si>
    <t>TI-4800B</t>
  </si>
  <si>
    <t>TI-4801A</t>
  </si>
  <si>
    <t>TI-4801B</t>
  </si>
  <si>
    <t>TI-4802A</t>
  </si>
  <si>
    <t>TI-4802B</t>
  </si>
  <si>
    <t>TI-4803A</t>
  </si>
  <si>
    <t>TI-4900A</t>
  </si>
  <si>
    <t>TI-4900B</t>
  </si>
  <si>
    <t>TI-4901A</t>
  </si>
  <si>
    <t>TI-4901B</t>
  </si>
  <si>
    <t>TI-4902A</t>
  </si>
  <si>
    <t>TI-4902B</t>
  </si>
  <si>
    <t>TI-4903A</t>
  </si>
  <si>
    <t>PH-0023</t>
  </si>
  <si>
    <t>TACÔMETRO DIGITAL</t>
  </si>
  <si>
    <t>TACÔMETRO</t>
  </si>
  <si>
    <t>rpm</t>
  </si>
  <si>
    <t>PRODUTO ACABADO</t>
  </si>
  <si>
    <t>1900 a 10000</t>
  </si>
  <si>
    <t>ALMOXARIFADO</t>
  </si>
  <si>
    <t>DESENVASE</t>
  </si>
  <si>
    <t>INDICADOR DE TEMPERATURA DIGITAL
(MALHA RESISTENCIA)</t>
  </si>
  <si>
    <t>ENVASE RECART</t>
  </si>
  <si>
    <t>60 A 80 ºC</t>
  </si>
  <si>
    <t>TE-3600</t>
  </si>
  <si>
    <t>MESPACK 06</t>
  </si>
  <si>
    <t>-200 a 600◦C</t>
  </si>
  <si>
    <t>88 - 95 °C</t>
  </si>
  <si>
    <t>FT5-01</t>
  </si>
  <si>
    <t>0 a 20000L/h</t>
  </si>
  <si>
    <t>FI5-01</t>
  </si>
  <si>
    <t>TE-3100</t>
  </si>
  <si>
    <t>MESPACK 01</t>
  </si>
  <si>
    <t>IRI-TE-3100</t>
  </si>
  <si>
    <t>TE-3110</t>
  </si>
  <si>
    <t>MESPACK 10</t>
  </si>
  <si>
    <t>IRI-TE-3110</t>
  </si>
  <si>
    <t>TE-3200</t>
  </si>
  <si>
    <t>MESPACK 02</t>
  </si>
  <si>
    <t>IRI-TE-3200</t>
  </si>
  <si>
    <t>TE-3210</t>
  </si>
  <si>
    <t>MESPACK 11</t>
  </si>
  <si>
    <t>IRI-TE-3210</t>
  </si>
  <si>
    <t>TE-3300</t>
  </si>
  <si>
    <t>MESPACK 03</t>
  </si>
  <si>
    <t>TE-3310</t>
  </si>
  <si>
    <t>MESPACK 13</t>
  </si>
  <si>
    <t>IRI-TE-3310</t>
  </si>
  <si>
    <t>TE-3400</t>
  </si>
  <si>
    <t>MESPACK 04</t>
  </si>
  <si>
    <t>IRI-TE-3400</t>
  </si>
  <si>
    <t>TE-3500</t>
  </si>
  <si>
    <t>MESPACK 05</t>
  </si>
  <si>
    <t>IRI-TE-3500</t>
  </si>
  <si>
    <t>TE-3510</t>
  </si>
  <si>
    <t>MESPACK 12</t>
  </si>
  <si>
    <t>IRI-TE-3510</t>
  </si>
  <si>
    <t>TE-3610</t>
  </si>
  <si>
    <t>VOLPACK 15</t>
  </si>
  <si>
    <t>IRI-TE-3610</t>
  </si>
  <si>
    <t>TI-3600</t>
  </si>
  <si>
    <t>TE-3700</t>
  </si>
  <si>
    <t>MESPACK 07</t>
  </si>
  <si>
    <t>IRI-TE-3700</t>
  </si>
  <si>
    <t>TE-3710.1</t>
  </si>
  <si>
    <t>TE-3710</t>
  </si>
  <si>
    <t>VOLPACK 16</t>
  </si>
  <si>
    <t>IRI-TE-3710</t>
  </si>
  <si>
    <t>TE-3800</t>
  </si>
  <si>
    <t>MESPACK 08</t>
  </si>
  <si>
    <t>IRI-TE-3800</t>
  </si>
  <si>
    <t>TE-3900</t>
  </si>
  <si>
    <t>MESPACK 09</t>
  </si>
  <si>
    <t>IRI-TE-3900</t>
  </si>
  <si>
    <t>TI-3100</t>
  </si>
  <si>
    <t>IRI-TI-3100</t>
  </si>
  <si>
    <t>TI-3110</t>
  </si>
  <si>
    <t>IRI-TI-3110</t>
  </si>
  <si>
    <t>TI-3200</t>
  </si>
  <si>
    <t>IRI-TI-3200</t>
  </si>
  <si>
    <t>TI-3210</t>
  </si>
  <si>
    <t>IRI-TI-3210</t>
  </si>
  <si>
    <t>TI-3300</t>
  </si>
  <si>
    <t>TI-3310</t>
  </si>
  <si>
    <t>IRI-TI-3310</t>
  </si>
  <si>
    <t>TI-3400</t>
  </si>
  <si>
    <t>IRI-TI-3400</t>
  </si>
  <si>
    <t>TI-3500</t>
  </si>
  <si>
    <t>IRI-TI-3500</t>
  </si>
  <si>
    <t>TI-3510</t>
  </si>
  <si>
    <t>IRI-TI-3510</t>
  </si>
  <si>
    <t>ENVASE TETRA</t>
  </si>
  <si>
    <t>0 a 300 °C</t>
  </si>
  <si>
    <t>70 a 300 °C</t>
  </si>
  <si>
    <t>BANHO DE PERÓXIDO</t>
  </si>
  <si>
    <t>TI-3610</t>
  </si>
  <si>
    <t>IRI-TI-3610</t>
  </si>
  <si>
    <t>TI-3700</t>
  </si>
  <si>
    <t>IRI-TI-3700</t>
  </si>
  <si>
    <t>TI-3710</t>
  </si>
  <si>
    <t>IRI-TI-3710</t>
  </si>
  <si>
    <t>TIC-A200-04</t>
  </si>
  <si>
    <t>CONTROLADOR INDICADOR DE TEMPERATURA</t>
  </si>
  <si>
    <t>TBA 19 / LINHA 04</t>
  </si>
  <si>
    <t>TBA PRÉ-ESTERILIZAÇÃO</t>
  </si>
  <si>
    <t>-270 a 1.200 ◦C</t>
  </si>
  <si>
    <t>60 a 300 °C</t>
  </si>
  <si>
    <t>TIC-A200-06</t>
  </si>
  <si>
    <t>TBA 19 / LINHA 06</t>
  </si>
  <si>
    <t>TIC-A200-07</t>
  </si>
  <si>
    <t>TBA 19 / LINHA 07</t>
  </si>
  <si>
    <t>TIC-A200-09</t>
  </si>
  <si>
    <t>TBA 19 / LINHA 09</t>
  </si>
  <si>
    <t>TIC-A203-04</t>
  </si>
  <si>
    <t>SUPER AQUECIMENTO DE AR</t>
  </si>
  <si>
    <t>TIC-A203-06</t>
  </si>
  <si>
    <t>TIC-A203-07</t>
  </si>
  <si>
    <t>TIC-A203-09</t>
  </si>
  <si>
    <t>TIC-A205-04</t>
  </si>
  <si>
    <t>BARREIRA DE VAPOR</t>
  </si>
  <si>
    <t>TIC-A205-06</t>
  </si>
  <si>
    <t>TIC-A205-07</t>
  </si>
  <si>
    <t>TIC-A205-09</t>
  </si>
  <si>
    <t>TIC-A206-04</t>
  </si>
  <si>
    <t xml:space="preserve">BANHO DE PERÓXIDO </t>
  </si>
  <si>
    <t>TIC-A206-06</t>
  </si>
  <si>
    <t>TIC-A206-07</t>
  </si>
  <si>
    <t>TIC-A206-09</t>
  </si>
  <si>
    <t>TIC-A302-03</t>
  </si>
  <si>
    <t>TBA 3 / LINHA 03</t>
  </si>
  <si>
    <t>TIC-A305-03</t>
  </si>
  <si>
    <t>SUPER AQUECEDOR DE AR</t>
  </si>
  <si>
    <t>TIC-A306-03</t>
  </si>
  <si>
    <t>AQUECEDOR DE TUBO</t>
  </si>
  <si>
    <t xml:space="preserve"> 60 a 300 °C</t>
  </si>
  <si>
    <t>TERMOPAR TIPO K</t>
  </si>
  <si>
    <t>TE-MB004-04</t>
  </si>
  <si>
    <t>TE-MB004-06</t>
  </si>
  <si>
    <t>TE-MB004-07</t>
  </si>
  <si>
    <t>TE-MB004-09</t>
  </si>
  <si>
    <t>TE-MB027-03</t>
  </si>
  <si>
    <t>TE-MB039-03</t>
  </si>
  <si>
    <t>TE-MB039-04</t>
  </si>
  <si>
    <t>TE-MB039-06</t>
  </si>
  <si>
    <t>TE-MB039-07</t>
  </si>
  <si>
    <t>TE-MB039-09</t>
  </si>
  <si>
    <t>TE-MB040-04</t>
  </si>
  <si>
    <t>TE-MB040-06</t>
  </si>
  <si>
    <t>TE-MB040-07</t>
  </si>
  <si>
    <t>TE-MB040-09</t>
  </si>
  <si>
    <t>TE-MB044-03</t>
  </si>
  <si>
    <t>TE-MB050-04</t>
  </si>
  <si>
    <t>TE-MB050-06</t>
  </si>
  <si>
    <t>TE-MB050-07</t>
  </si>
  <si>
    <t>50 a 300 °C</t>
  </si>
  <si>
    <t>TE-MB050-09</t>
  </si>
  <si>
    <t>TI-3800</t>
  </si>
  <si>
    <t>IRI-TI-3800</t>
  </si>
  <si>
    <t>TI-3900</t>
  </si>
  <si>
    <t>IRI-TI-3900</t>
  </si>
  <si>
    <t>80 - 85 °C</t>
  </si>
  <si>
    <t>INDICADOR DE TEMPERATURA 
(MALHA RESISTENCIA)</t>
  </si>
  <si>
    <t>ENVASE  POUCH</t>
  </si>
  <si>
    <t>PREPARAÇÃO SALMOURA L1</t>
  </si>
  <si>
    <t>TEMPERATURA DA SALMOURA</t>
  </si>
  <si>
    <t>80 a 100°C</t>
  </si>
  <si>
    <t>TE-9201</t>
  </si>
  <si>
    <t>PREPARAÇÃO SALMOURA L2</t>
  </si>
  <si>
    <t>TE-8541</t>
  </si>
  <si>
    <t>ENVASE 170G</t>
  </si>
  <si>
    <t>ZILLI BELLINI 2</t>
  </si>
  <si>
    <t>TEMPERATURA SALMOURA</t>
  </si>
  <si>
    <t>87 - 92°C</t>
  </si>
  <si>
    <t>IRI-TE-8541</t>
  </si>
  <si>
    <t>87 a 92 ◦C</t>
  </si>
  <si>
    <t>IRI-TE-8542</t>
  </si>
  <si>
    <t>TE-8550</t>
  </si>
  <si>
    <t>PREPARAÇÃO SALMOURA</t>
  </si>
  <si>
    <t>70 - 90°C</t>
  </si>
  <si>
    <t>IRI-TE-8550</t>
  </si>
  <si>
    <t>TE-8560</t>
  </si>
  <si>
    <t>PREPAÇÃO CALDA</t>
  </si>
  <si>
    <t>IRI-TE-8560</t>
  </si>
  <si>
    <t>TE-9100</t>
  </si>
  <si>
    <t>IRI-TE-9100</t>
  </si>
  <si>
    <t>TE-9210</t>
  </si>
  <si>
    <t>MESPACK 1</t>
  </si>
  <si>
    <t>IRI-TE-9210</t>
  </si>
  <si>
    <t>TE-9300</t>
  </si>
  <si>
    <t>MESPACK 2</t>
  </si>
  <si>
    <t>80 A 100 ºC</t>
  </si>
  <si>
    <t>IRI-TE-9300</t>
  </si>
  <si>
    <t>TI-8541</t>
  </si>
  <si>
    <t>TI-9210</t>
  </si>
  <si>
    <t>TI-9300</t>
  </si>
  <si>
    <t xml:space="preserve">0 a 200 ◦C </t>
  </si>
  <si>
    <t>TIC-8542</t>
  </si>
  <si>
    <t>TIC-8550</t>
  </si>
  <si>
    <t>TIC-9200</t>
  </si>
  <si>
    <t xml:space="preserve">0 a 100 ◦C </t>
  </si>
  <si>
    <t>TIC-9201</t>
  </si>
  <si>
    <t>TIC-8560</t>
  </si>
  <si>
    <t>PREPARAÇÃO CALDA</t>
  </si>
  <si>
    <t>TERMÔMETRO DIGITAL</t>
  </si>
  <si>
    <t>TERMÔMETRO ESPETO</t>
  </si>
  <si>
    <t>-40 a 250°C</t>
  </si>
  <si>
    <t>BANCADA DE ANALISE</t>
  </si>
  <si>
    <t>TERMÔMETRO DE ESPETO DIGITAL</t>
  </si>
  <si>
    <t>20 a 100 ◦C</t>
  </si>
  <si>
    <t>INSTRUMENTOS COM FREQUENCIA ALTERADA</t>
  </si>
  <si>
    <t>CERTIFICADOS VÁLIDO SEMESTRAL</t>
  </si>
  <si>
    <t>PENDECIA CORREÇÃO DE PERIODICIDADE</t>
  </si>
  <si>
    <t>LOGÍSTICA</t>
  </si>
  <si>
    <t>INSTRUMENTAÇÃO</t>
  </si>
  <si>
    <t>BALANÇA</t>
  </si>
  <si>
    <t>CALDEIRAS</t>
  </si>
  <si>
    <t>SALA DE AUTOMAÇÃO</t>
  </si>
  <si>
    <t>PREPARAÇÃO  GERAL</t>
  </si>
  <si>
    <t>UHVS</t>
  </si>
  <si>
    <t>VOLPACK NOVA</t>
  </si>
  <si>
    <t>CASA DE BOMBAS</t>
  </si>
  <si>
    <t>COMPRESSORES</t>
  </si>
  <si>
    <t>PREPARAÇÃO DE MOLHOS</t>
  </si>
  <si>
    <t>VASO DE PRESSÃO</t>
  </si>
  <si>
    <t>BARRAGEM</t>
  </si>
  <si>
    <t>RECEB.  MATERIA PRIMA</t>
  </si>
  <si>
    <t>OUTROS</t>
  </si>
  <si>
    <t>EBE</t>
  </si>
  <si>
    <t>VOLPAK</t>
  </si>
  <si>
    <t>STOP GÁS</t>
  </si>
  <si>
    <t>SALA DA QUALIDADE</t>
  </si>
  <si>
    <t>BENEFICIAMENTO MILHO</t>
  </si>
  <si>
    <t>---</t>
  </si>
  <si>
    <t>RECART</t>
  </si>
  <si>
    <t>LAVOURA</t>
  </si>
  <si>
    <t xml:space="preserve">
 SUPORTY CALIBRAÇÕES
GRAMME METROLOGIA E QUALIDADE INDUSTRIAL EIRELLI
</t>
  </si>
  <si>
    <t>ANUAL</t>
  </si>
  <si>
    <r>
      <t xml:space="preserve">ETIQUETA 
</t>
    </r>
    <r>
      <rPr>
        <b/>
        <sz val="9"/>
        <color rgb="FFFF0000"/>
        <rFont val="Calibri"/>
        <family val="2"/>
      </rPr>
      <t>TAG</t>
    </r>
  </si>
  <si>
    <r>
      <rPr>
        <b/>
        <sz val="9"/>
        <color theme="1"/>
        <rFont val="Calibri"/>
        <family val="2"/>
      </rPr>
      <t>FAIXA</t>
    </r>
    <r>
      <rPr>
        <b/>
        <sz val="9"/>
        <color rgb="FFFF0000"/>
        <rFont val="Calibri"/>
        <family val="2"/>
      </rPr>
      <t xml:space="preserve">
RANGE</t>
    </r>
  </si>
  <si>
    <r>
      <rPr>
        <b/>
        <sz val="9"/>
        <color rgb="FF000000"/>
        <rFont val="Calibri"/>
        <family val="2"/>
      </rPr>
      <t xml:space="preserve">FAIXA DE USO
</t>
    </r>
    <r>
      <rPr>
        <b/>
        <sz val="9"/>
        <color rgb="FFFF0000"/>
        <rFont val="Calibri"/>
        <family val="2"/>
      </rPr>
      <t>RANGE OF USE</t>
    </r>
  </si>
  <si>
    <r>
      <rPr>
        <b/>
        <sz val="9"/>
        <color theme="1"/>
        <rFont val="Calibri"/>
        <family val="2"/>
      </rPr>
      <t xml:space="preserve">CORREÇÃO?
</t>
    </r>
    <r>
      <rPr>
        <b/>
        <sz val="9"/>
        <color rgb="FFFF0000"/>
        <rFont val="Calibri"/>
        <family val="2"/>
      </rPr>
      <t>CORRECTION</t>
    </r>
    <r>
      <rPr>
        <b/>
        <sz val="9"/>
        <color theme="1"/>
        <rFont val="Calibri"/>
        <family val="2"/>
      </rPr>
      <t xml:space="preserve">
</t>
    </r>
  </si>
  <si>
    <r>
      <t xml:space="preserve">N° PLANO 
</t>
    </r>
    <r>
      <rPr>
        <b/>
        <sz val="9"/>
        <color rgb="FFFF0000"/>
        <rFont val="Calibri"/>
        <family val="2"/>
      </rPr>
      <t>PLAN NUMBER</t>
    </r>
  </si>
  <si>
    <r>
      <rPr>
        <b/>
        <sz val="9"/>
        <color theme="1"/>
        <rFont val="Calibri"/>
        <family val="2"/>
      </rPr>
      <t xml:space="preserve">STATUS (DIAS) 
</t>
    </r>
    <r>
      <rPr>
        <b/>
        <sz val="9"/>
        <color rgb="FFFF0000"/>
        <rFont val="Calibri"/>
        <family val="2"/>
      </rPr>
      <t>STATUS (DAYS)</t>
    </r>
  </si>
  <si>
    <t>BALANÇA DIGITAL</t>
  </si>
  <si>
    <t>0 a 5kg</t>
  </si>
  <si>
    <t>0,020 a 5Kg</t>
  </si>
  <si>
    <t>PORTARIA 
157/2022</t>
  </si>
  <si>
    <t>kg</t>
  </si>
  <si>
    <t>BALANÇA  DIGITAL</t>
  </si>
  <si>
    <t>BANCADA DE ANÁLISE</t>
  </si>
  <si>
    <t>0 a 4100 g</t>
  </si>
  <si>
    <t>0,5 a 4000g</t>
  </si>
  <si>
    <t>g</t>
  </si>
  <si>
    <t>LABORATORIO</t>
  </si>
  <si>
    <t xml:space="preserve">MANôMETRO </t>
  </si>
  <si>
    <t>kgf/cm2</t>
  </si>
  <si>
    <t>22 a 350°C</t>
  </si>
  <si>
    <t xml:space="preserve">45 a 350 °C </t>
  </si>
  <si>
    <t>0  a 4 kgf/cm2</t>
  </si>
  <si>
    <t>0 a 4200 g</t>
  </si>
  <si>
    <t xml:space="preserve">0 a 7100 g </t>
  </si>
  <si>
    <t>5 a 7000g</t>
  </si>
  <si>
    <t>LINHA</t>
  </si>
  <si>
    <t>0 a 7100 g</t>
  </si>
  <si>
    <t>5 a 7000 g</t>
  </si>
  <si>
    <t xml:space="preserve"> LINHA 7(MESPACK 1000)</t>
  </si>
  <si>
    <t>LINHA 5 (M9 E M10)</t>
  </si>
  <si>
    <t>SALA DE PESO</t>
  </si>
  <si>
    <t>0 a 50Kg</t>
  </si>
  <si>
    <t xml:space="preserve">0,1 a 50Kg </t>
  </si>
  <si>
    <t xml:space="preserve">BALANÇA </t>
  </si>
  <si>
    <t>0 a 100g</t>
  </si>
  <si>
    <t>1 a 100g</t>
  </si>
  <si>
    <t>ANALIZADOR DE UMIDADE INFRAVERMELHO</t>
  </si>
  <si>
    <t>0 a 100 g</t>
  </si>
  <si>
    <t>ANALISADOR DE UMIDADE</t>
  </si>
  <si>
    <t>DECADA RESITIVA</t>
  </si>
  <si>
    <t xml:space="preserve">0,1 a 1000 Ω </t>
  </si>
  <si>
    <t>Ω</t>
  </si>
  <si>
    <t xml:space="preserve">ANALISADOR DE UMIDADE DIGITAL </t>
  </si>
  <si>
    <t xml:space="preserve">0 a 120 g </t>
  </si>
  <si>
    <t xml:space="preserve">1 a 120 g </t>
  </si>
  <si>
    <t>INDICADOR DE   NíVEL
(MALHA 4 a 20 mA)</t>
  </si>
  <si>
    <t xml:space="preserve"> CALDEIRA BIOMASSA</t>
  </si>
  <si>
    <t>0,0 a 100,0 %</t>
  </si>
  <si>
    <t>TRANSMISSOR DE NÍVEL</t>
  </si>
  <si>
    <t>FAN</t>
  </si>
  <si>
    <t>NÍVEL CALDEIRA</t>
  </si>
  <si>
    <t>0 a 100%</t>
  </si>
  <si>
    <t>0819/0260</t>
  </si>
  <si>
    <t>COOB TESTER</t>
  </si>
  <si>
    <t>112,8 mm</t>
  </si>
  <si>
    <t>0819/0288</t>
  </si>
  <si>
    <t>DISPOSITIVO DE COLUNA</t>
  </si>
  <si>
    <t>20 mm</t>
  </si>
  <si>
    <t>0819/0640</t>
  </si>
  <si>
    <t>GABARITO</t>
  </si>
  <si>
    <t xml:space="preserve">63 x 100 mm </t>
  </si>
  <si>
    <t>0919/0634</t>
  </si>
  <si>
    <t>CHAPA DE FORMATO</t>
  </si>
  <si>
    <t xml:space="preserve">125  X 125 mm </t>
  </si>
  <si>
    <t>121.12.20</t>
  </si>
  <si>
    <t>-38 A 420°C</t>
  </si>
  <si>
    <t>50 a 400 ◦C</t>
  </si>
  <si>
    <t>BANHO TERMICO BLOCO SECO DIGITAL</t>
  </si>
  <si>
    <t>43 A 300°C</t>
  </si>
  <si>
    <t>203.07-17</t>
  </si>
  <si>
    <t>CALIBRADOR DE PROCESSOS DIGITAL</t>
  </si>
  <si>
    <t>-200 a 850°C</t>
  </si>
  <si>
    <t xml:space="preserve">50,00  a 600,00 ◦C </t>
  </si>
  <si>
    <t>-35 a 140°C</t>
  </si>
  <si>
    <t xml:space="preserve">45 a 140 ◦C </t>
  </si>
  <si>
    <t xml:space="preserve">50 a 400 ◦C </t>
  </si>
  <si>
    <t>3370-BAL-001</t>
  </si>
  <si>
    <t>BALANÇA ANALÍTICA DIGITAL</t>
  </si>
  <si>
    <t>0,0000 a 210,0000 g</t>
  </si>
  <si>
    <t>0,01 a 210,0000 g</t>
  </si>
  <si>
    <t>2024-05620</t>
  </si>
  <si>
    <t>3380-BAL-008</t>
  </si>
  <si>
    <t>MULTICALIBRADOR DIGITAL</t>
  </si>
  <si>
    <t>mA</t>
  </si>
  <si>
    <t>AER-0001</t>
  </si>
  <si>
    <t>AERÔMETRO DE BAUMÉ</t>
  </si>
  <si>
    <t>AERÔMETRO DE BAUMÉ ANALÓGICO</t>
  </si>
  <si>
    <t>0 a 50 ºBe</t>
  </si>
  <si>
    <t>10 a 50 ºBe</t>
  </si>
  <si>
    <t>ºBe</t>
  </si>
  <si>
    <t>AER-0002</t>
  </si>
  <si>
    <t>0 a 30 Be</t>
  </si>
  <si>
    <t>6 a 30 Be</t>
  </si>
  <si>
    <t>AGITADOR MAGNETICO</t>
  </si>
  <si>
    <t>AG-0003</t>
  </si>
  <si>
    <t>AG-0006</t>
  </si>
  <si>
    <t>1310rpm</t>
  </si>
  <si>
    <t>AG-200</t>
  </si>
  <si>
    <t>0 a 199,999g</t>
  </si>
  <si>
    <t>0,001 a 190g</t>
  </si>
  <si>
    <t>min</t>
  </si>
  <si>
    <t>B110701736</t>
  </si>
  <si>
    <t>0 a 6Kg</t>
  </si>
  <si>
    <t>0,040 a 6Kg</t>
  </si>
  <si>
    <t>0,1 a 50 Kg</t>
  </si>
  <si>
    <t>BAL-0002A</t>
  </si>
  <si>
    <t>0 a 3000 g</t>
  </si>
  <si>
    <t>5 a 3000 g</t>
  </si>
  <si>
    <t>BAL-0003</t>
  </si>
  <si>
    <t>BAL-0005</t>
  </si>
  <si>
    <t>0,5 a a 4000g</t>
  </si>
  <si>
    <t>BAL-0006</t>
  </si>
  <si>
    <t>0 a 220,000g</t>
  </si>
  <si>
    <t>0,01 a 200g</t>
  </si>
  <si>
    <t>BAL-0008</t>
  </si>
  <si>
    <t>0 a 4100g</t>
  </si>
  <si>
    <t>BAL-0009</t>
  </si>
  <si>
    <t>0 a 210g</t>
  </si>
  <si>
    <t>BAL-0010</t>
  </si>
  <si>
    <t>0 a 4100,00 g</t>
  </si>
  <si>
    <t>BAL-0013</t>
  </si>
  <si>
    <t>0,5 a 4100g</t>
  </si>
  <si>
    <t>BAL-0014</t>
  </si>
  <si>
    <t>BAL-0015</t>
  </si>
  <si>
    <t>BAL-0017</t>
  </si>
  <si>
    <t>0,0 a 1000,0 kg</t>
  </si>
  <si>
    <t>BAL-0018</t>
  </si>
  <si>
    <t xml:space="preserve">1 a 50 kg </t>
  </si>
  <si>
    <t>BAL-0028</t>
  </si>
  <si>
    <t>1 a 50kg</t>
  </si>
  <si>
    <t>2023-09261</t>
  </si>
  <si>
    <t>BAL-0031</t>
  </si>
  <si>
    <t>BAL-0034</t>
  </si>
  <si>
    <t>BAL-0038</t>
  </si>
  <si>
    <t>BAL-0046</t>
  </si>
  <si>
    <t>0 a 150 kg</t>
  </si>
  <si>
    <t>BAL-0047</t>
  </si>
  <si>
    <t>BAL-0050</t>
  </si>
  <si>
    <t>0 a 4200g</t>
  </si>
  <si>
    <t>0,5 a 500g</t>
  </si>
  <si>
    <t>BAL-0052</t>
  </si>
  <si>
    <t>0 a 320g</t>
  </si>
  <si>
    <t>0,01 a 320g</t>
  </si>
  <si>
    <t>BAL-0053</t>
  </si>
  <si>
    <t xml:space="preserve"> 0 a 220 g</t>
  </si>
  <si>
    <t xml:space="preserve"> 0,01 a 220 g</t>
  </si>
  <si>
    <t>BAL-9211</t>
  </si>
  <si>
    <t>PESO CANECA 1</t>
  </si>
  <si>
    <t>0 a 3.100 g</t>
  </si>
  <si>
    <t>10 a 50g</t>
  </si>
  <si>
    <t>BAL-9212</t>
  </si>
  <si>
    <t>PESO CANECA 2</t>
  </si>
  <si>
    <t>BAL-9214</t>
  </si>
  <si>
    <t>PESO CANECA 4</t>
  </si>
  <si>
    <t>BAL-9215</t>
  </si>
  <si>
    <t>PESO CANECA 5</t>
  </si>
  <si>
    <t>BAL-9216</t>
  </si>
  <si>
    <t>PESO CANECA 6</t>
  </si>
  <si>
    <t>BAL-9217</t>
  </si>
  <si>
    <t>PESO CANECA 7</t>
  </si>
  <si>
    <t>BAL-9218</t>
  </si>
  <si>
    <t>PESO CANECA 8</t>
  </si>
  <si>
    <t>BAL-9221</t>
  </si>
  <si>
    <t>PESO CANECA 11</t>
  </si>
  <si>
    <t>BAL-9223</t>
  </si>
  <si>
    <t>PESO CANECA 13</t>
  </si>
  <si>
    <t>BAL-9224</t>
  </si>
  <si>
    <t>PESO CANECA 14</t>
  </si>
  <si>
    <t>BAL-9225</t>
  </si>
  <si>
    <t>PESO CANECA 15</t>
  </si>
  <si>
    <t>BAL-9226</t>
  </si>
  <si>
    <t>PESO CANECA 16</t>
  </si>
  <si>
    <t>PESO CANECA 17</t>
  </si>
  <si>
    <t>PESO CANECA 18</t>
  </si>
  <si>
    <t>BAL-9229</t>
  </si>
  <si>
    <t>PESO CANECA 19</t>
  </si>
  <si>
    <t>BAL-9230</t>
  </si>
  <si>
    <t>PESO CANECA 20</t>
  </si>
  <si>
    <t>BAL-9301</t>
  </si>
  <si>
    <t>BAL-9303</t>
  </si>
  <si>
    <t>PESO CANECA 3</t>
  </si>
  <si>
    <t>BAL-9304</t>
  </si>
  <si>
    <t>BAL-9305</t>
  </si>
  <si>
    <t>BAL-9306</t>
  </si>
  <si>
    <t>BAL-9307</t>
  </si>
  <si>
    <t>BAL-9308</t>
  </si>
  <si>
    <t>BAL-9311</t>
  </si>
  <si>
    <t>BAL-9312</t>
  </si>
  <si>
    <t>PESO CANECA 12</t>
  </si>
  <si>
    <t>BAL-9313</t>
  </si>
  <si>
    <t>BAL-9315</t>
  </si>
  <si>
    <t>BAL-9316</t>
  </si>
  <si>
    <t>BAL-9317</t>
  </si>
  <si>
    <t>BAL-9319</t>
  </si>
  <si>
    <t>2023-13585</t>
  </si>
  <si>
    <t>BAL-9320</t>
  </si>
  <si>
    <t>10 mm</t>
  </si>
  <si>
    <t>BM-0001</t>
  </si>
  <si>
    <t>BANHO MARIA</t>
  </si>
  <si>
    <t>20 a 120 ◦C</t>
  </si>
  <si>
    <t>40 a 95 °C</t>
  </si>
  <si>
    <t>BM-0002</t>
  </si>
  <si>
    <t>30 a 100 ◦C</t>
  </si>
  <si>
    <t>40 a 90 °C</t>
  </si>
  <si>
    <t>BM-0003</t>
  </si>
  <si>
    <t>90 a 100 ◦C</t>
  </si>
  <si>
    <t>BURE-0002</t>
  </si>
  <si>
    <t>BURETA DIGITAL</t>
  </si>
  <si>
    <t>BURETA</t>
  </si>
  <si>
    <t>0 a 50 mL</t>
  </si>
  <si>
    <t>10 a 50 mL</t>
  </si>
  <si>
    <t>ml</t>
  </si>
  <si>
    <t>BURE-0013</t>
  </si>
  <si>
    <t>BURE-0018</t>
  </si>
  <si>
    <t>2024-08265</t>
  </si>
  <si>
    <t>BURE-0022</t>
  </si>
  <si>
    <t>CA-0001</t>
  </si>
  <si>
    <t>CHAPA AQUECEDORA</t>
  </si>
  <si>
    <t>20 a 300 ◦C</t>
  </si>
  <si>
    <t>300 ◦C</t>
  </si>
  <si>
    <t>CF-0002</t>
  </si>
  <si>
    <t>CENTRÍFUGA</t>
  </si>
  <si>
    <t>CENTRIFUGA</t>
  </si>
  <si>
    <t>0 a 20500 RPM</t>
  </si>
  <si>
    <t>CORT-0001</t>
  </si>
  <si>
    <t xml:space="preserve">GABARITO DE CORTE </t>
  </si>
  <si>
    <t>in</t>
  </si>
  <si>
    <t>CRONÔMETRO</t>
  </si>
  <si>
    <t>0 a 3600 s</t>
  </si>
  <si>
    <t>720 a 3600s</t>
  </si>
  <si>
    <t>CRON-0023</t>
  </si>
  <si>
    <t>CONSISTÔMETRO</t>
  </si>
  <si>
    <t>0 a 23 cm</t>
  </si>
  <si>
    <t>4,5 a 23 cm</t>
  </si>
  <si>
    <t>cm</t>
  </si>
  <si>
    <t>CSC-0011</t>
  </si>
  <si>
    <t>CSC-0012</t>
  </si>
  <si>
    <t>CONSISTOMETRO</t>
  </si>
  <si>
    <t>0 a 23cm</t>
  </si>
  <si>
    <t>4,5  23cm</t>
  </si>
  <si>
    <t>0a 23 cm</t>
  </si>
  <si>
    <t xml:space="preserve">INSTRUMENTO NOVO
</t>
  </si>
  <si>
    <t>2024-08055</t>
  </si>
  <si>
    <t>CSC-0016</t>
  </si>
  <si>
    <t>CSC-0019</t>
  </si>
  <si>
    <t>DENS-0001</t>
  </si>
  <si>
    <t xml:space="preserve">DENSÍMETRO </t>
  </si>
  <si>
    <t>DENSIMETRO</t>
  </si>
  <si>
    <t>1,000 a  1,500 g/mL</t>
  </si>
  <si>
    <t>1,100 a  1,500 g/mL</t>
  </si>
  <si>
    <t>g/mL</t>
  </si>
  <si>
    <t>DENS-0005</t>
  </si>
  <si>
    <t>DENSÍMETRO</t>
  </si>
  <si>
    <t>DENSÍMETRO ANALÓGICO</t>
  </si>
  <si>
    <t>gm/L</t>
  </si>
  <si>
    <t>DENS-0006</t>
  </si>
  <si>
    <t>EF-0001</t>
  </si>
  <si>
    <t>ESTUFA</t>
  </si>
  <si>
    <t>110 a 150°C</t>
  </si>
  <si>
    <t>EF-0002</t>
  </si>
  <si>
    <t xml:space="preserve">-50 a 250 ◦C </t>
  </si>
  <si>
    <t>50 a  150°C</t>
  </si>
  <si>
    <t>EF-0003</t>
  </si>
  <si>
    <t xml:space="preserve">28 a 43 °C </t>
  </si>
  <si>
    <t>EF-0004</t>
  </si>
  <si>
    <t>50 a 170°C</t>
  </si>
  <si>
    <t>EF-0005</t>
  </si>
  <si>
    <t>20  a 60°C</t>
  </si>
  <si>
    <t>33 A 37°C</t>
  </si>
  <si>
    <t>2024-08602</t>
  </si>
  <si>
    <t>EF-0006</t>
  </si>
  <si>
    <t>2024-08603</t>
  </si>
  <si>
    <t>EPC-0001</t>
  </si>
  <si>
    <t>ESPECTROFOTOMETRO</t>
  </si>
  <si>
    <t>nm</t>
  </si>
  <si>
    <t>ESC-0001</t>
  </si>
  <si>
    <t>ESCALA</t>
  </si>
  <si>
    <t>ESCALA GRADUADA</t>
  </si>
  <si>
    <t>0 a 500 mm</t>
  </si>
  <si>
    <t>100 a 500 mm</t>
  </si>
  <si>
    <t>ESC-0002</t>
  </si>
  <si>
    <t>0 a 1500 mm</t>
  </si>
  <si>
    <t>0 a 30cm</t>
  </si>
  <si>
    <t>6 a 30cm</t>
  </si>
  <si>
    <t>ESC-0008</t>
  </si>
  <si>
    <t>ESP-0001</t>
  </si>
  <si>
    <t>GABARITO FIXO PARA CORTE</t>
  </si>
  <si>
    <t>ESPATULA DE CORTE</t>
  </si>
  <si>
    <t>100 x 250 mm</t>
  </si>
  <si>
    <t>EST-0003</t>
  </si>
  <si>
    <t>25 a 100 °C</t>
  </si>
  <si>
    <t>FI-4800A</t>
  </si>
  <si>
    <t>CUBOS</t>
  </si>
  <si>
    <t>0 a 25000 kg/h</t>
  </si>
  <si>
    <t xml:space="preserve">kg/h </t>
  </si>
  <si>
    <t>FI-4800B</t>
  </si>
  <si>
    <t>POLPA</t>
  </si>
  <si>
    <t>FI-4800C</t>
  </si>
  <si>
    <t>SUCO</t>
  </si>
  <si>
    <t>FI-4800D</t>
  </si>
  <si>
    <t>REFOGA</t>
  </si>
  <si>
    <t>0 a 9000 kg/h</t>
  </si>
  <si>
    <t>FI-4800E</t>
  </si>
  <si>
    <t>AMIDO</t>
  </si>
  <si>
    <t>FIT-4800E</t>
  </si>
  <si>
    <t>0 .. 999999 kg</t>
  </si>
  <si>
    <t>100 a 300 kg</t>
  </si>
  <si>
    <t>FIT-4800A</t>
  </si>
  <si>
    <t>300 a 1000 kg</t>
  </si>
  <si>
    <t>FIT-4800B</t>
  </si>
  <si>
    <t>FIT-4800D</t>
  </si>
  <si>
    <t>FIT-4800C</t>
  </si>
  <si>
    <t>500 a 1500 kg</t>
  </si>
  <si>
    <t>FIT-4800F</t>
  </si>
  <si>
    <t>SPRAY BALL</t>
  </si>
  <si>
    <t>200 a 600 kg</t>
  </si>
  <si>
    <t>FI-4800F</t>
  </si>
  <si>
    <t>FI-4900A</t>
  </si>
  <si>
    <t>FI-4900B</t>
  </si>
  <si>
    <t>FI-4900C</t>
  </si>
  <si>
    <t>FI-4900D</t>
  </si>
  <si>
    <t>0 a 10000 kg/h</t>
  </si>
  <si>
    <t>FI-4900E</t>
  </si>
  <si>
    <t>FI-4900F</t>
  </si>
  <si>
    <t>FIT-4900A</t>
  </si>
  <si>
    <t>0 a 999999 kg</t>
  </si>
  <si>
    <t xml:space="preserve">300 a 1000 kg </t>
  </si>
  <si>
    <t>FIT-4900B</t>
  </si>
  <si>
    <t>100 a 300kg</t>
  </si>
  <si>
    <t>FIT-4900C</t>
  </si>
  <si>
    <t>500 a 1500kg</t>
  </si>
  <si>
    <t>FIT-4900D</t>
  </si>
  <si>
    <t>FIT-4900E</t>
  </si>
  <si>
    <t>FIT-4900F</t>
  </si>
  <si>
    <t>200 a 600kg</t>
  </si>
  <si>
    <t>GAB-0001A</t>
  </si>
  <si>
    <t>CÁLIBRE DE FOLGA</t>
  </si>
  <si>
    <t>0,05 a 1mm</t>
  </si>
  <si>
    <t>GAU-0001</t>
  </si>
  <si>
    <t>GAUSSÍMETRO</t>
  </si>
  <si>
    <t xml:space="preserve">-20000 a 20000 G </t>
  </si>
  <si>
    <t>-10000 a 10000G</t>
  </si>
  <si>
    <t>x</t>
  </si>
  <si>
    <t>G</t>
  </si>
  <si>
    <t>GRAN-0002</t>
  </si>
  <si>
    <t>PENEIRA GRANULOMETRIA</t>
  </si>
  <si>
    <t>1,18 mm</t>
  </si>
  <si>
    <t>GRAN-0004</t>
  </si>
  <si>
    <t>µm</t>
  </si>
  <si>
    <t>GRAN-0005</t>
  </si>
  <si>
    <t>GRAN-0006</t>
  </si>
  <si>
    <t>GRAN-0007</t>
  </si>
  <si>
    <t>GRAN-0008</t>
  </si>
  <si>
    <t>GRAN-0009</t>
  </si>
  <si>
    <t>4 mm</t>
  </si>
  <si>
    <t>GRAN-0010</t>
  </si>
  <si>
    <t>GRAN-0011</t>
  </si>
  <si>
    <t>1,4 mm</t>
  </si>
  <si>
    <t>GRAN-0012</t>
  </si>
  <si>
    <t>GRAN-0013</t>
  </si>
  <si>
    <t>2,36 mm</t>
  </si>
  <si>
    <t>GRAN-0016</t>
  </si>
  <si>
    <t>8 mm</t>
  </si>
  <si>
    <t>GRAN-0017</t>
  </si>
  <si>
    <t>9,5 mm</t>
  </si>
  <si>
    <t>GRAN-0018</t>
  </si>
  <si>
    <t>GRAN-0020</t>
  </si>
  <si>
    <t>GRAN-0021</t>
  </si>
  <si>
    <t>GRAN-0022</t>
  </si>
  <si>
    <t>5,6 mm</t>
  </si>
  <si>
    <t>GRAN-0023</t>
  </si>
  <si>
    <t>6,3 mm</t>
  </si>
  <si>
    <t>GRAN-0024</t>
  </si>
  <si>
    <t>4,75 mm</t>
  </si>
  <si>
    <t>GRAN-0025</t>
  </si>
  <si>
    <t>GRAN-0026</t>
  </si>
  <si>
    <t>GRAN-0027</t>
  </si>
  <si>
    <t>GRAN-0029</t>
  </si>
  <si>
    <t>1,4mm</t>
  </si>
  <si>
    <t>2024-08654</t>
  </si>
  <si>
    <t>GRAN-0031</t>
  </si>
  <si>
    <t>6,5 mm</t>
  </si>
  <si>
    <t>GRAN-0032</t>
  </si>
  <si>
    <t>5,1 mm</t>
  </si>
  <si>
    <t>GRAN-0033</t>
  </si>
  <si>
    <t>6,75mm</t>
  </si>
  <si>
    <t>GRAN-0035</t>
  </si>
  <si>
    <t>9mm</t>
  </si>
  <si>
    <t>GRAN-0036</t>
  </si>
  <si>
    <t>GRAN-0037</t>
  </si>
  <si>
    <t>GRAN-0038</t>
  </si>
  <si>
    <t>GRAN-0039</t>
  </si>
  <si>
    <t>6mm</t>
  </si>
  <si>
    <t>GRAN-0041</t>
  </si>
  <si>
    <t>2 mm</t>
  </si>
  <si>
    <t>2024-06959</t>
  </si>
  <si>
    <t>GUI-0001</t>
  </si>
  <si>
    <t>GUILHOTINA</t>
  </si>
  <si>
    <t>0 a 150 mm</t>
  </si>
  <si>
    <t>20 a 150 mm</t>
  </si>
  <si>
    <t>HOM-0001</t>
  </si>
  <si>
    <t>HOMOGENEIZADOR DE POLPA</t>
  </si>
  <si>
    <t>HOMOGENEIZADOR</t>
  </si>
  <si>
    <t>HOMOGENIZADOR DE POLPA</t>
  </si>
  <si>
    <t xml:space="preserve"> 0 .. 180 s</t>
  </si>
  <si>
    <t>30 a 180 s</t>
  </si>
  <si>
    <t>HOM-0002</t>
  </si>
  <si>
    <t xml:space="preserve"> 0 a 999min</t>
  </si>
  <si>
    <t>10 a 50min</t>
  </si>
  <si>
    <t>HOM-0003</t>
  </si>
  <si>
    <t>INCUBADORA DIGITAL</t>
  </si>
  <si>
    <t>20 a 60°C</t>
  </si>
  <si>
    <t>20 a 25°C</t>
  </si>
  <si>
    <t>LI-0002</t>
  </si>
  <si>
    <t>CALDEIRA AALBORG</t>
  </si>
  <si>
    <t>INDICADOR DE NÍVEL</t>
  </si>
  <si>
    <t>LIC-4004</t>
  </si>
  <si>
    <t>INDICADOR DE   NíVEL (MALHA 4 a 20 mA)</t>
  </si>
  <si>
    <t>TANQUE PULMÃO -  4004</t>
  </si>
  <si>
    <t>NÍVEL DO PRODUTO NO TANQUE</t>
  </si>
  <si>
    <t>LIC-4104</t>
  </si>
  <si>
    <t>TANQUE PULMÃO -  4104</t>
  </si>
  <si>
    <t>LIC-4204</t>
  </si>
  <si>
    <t>TANQUE PULMÃO - 4204</t>
  </si>
  <si>
    <t>LIC-4304</t>
  </si>
  <si>
    <t>TANQUE PULMÃO - 4304</t>
  </si>
  <si>
    <t>LIC-4404</t>
  </si>
  <si>
    <t>TANQUE PULMÃO - 4404</t>
  </si>
  <si>
    <t>LIC-4504</t>
  </si>
  <si>
    <t>TANQUE PULMÃO - 4504</t>
  </si>
  <si>
    <t>LIT-0002</t>
  </si>
  <si>
    <t>LIT-4004</t>
  </si>
  <si>
    <t>mmH2O</t>
  </si>
  <si>
    <t>LIT-4104</t>
  </si>
  <si>
    <t>LIT-4204</t>
  </si>
  <si>
    <t>LIT-4304</t>
  </si>
  <si>
    <t>LIT-4404</t>
  </si>
  <si>
    <t>LIT-4504</t>
  </si>
  <si>
    <t>LT-01B</t>
  </si>
  <si>
    <t>MAN-0001-LB</t>
  </si>
  <si>
    <t>MANÔMETRO</t>
  </si>
  <si>
    <t>MANOMETRO</t>
  </si>
  <si>
    <t xml:space="preserve"> 0 a 3,0  kgf/cm²</t>
  </si>
  <si>
    <t>kgf/cm²</t>
  </si>
  <si>
    <t>MAN-0002-LB</t>
  </si>
  <si>
    <t xml:space="preserve"> 0 a 3,0 kgf/cm2</t>
  </si>
  <si>
    <t>MICROAMPERIMETRO</t>
  </si>
  <si>
    <t>0 a  50 µA</t>
  </si>
  <si>
    <t>µA</t>
  </si>
  <si>
    <t>MCA-0003</t>
  </si>
  <si>
    <t>2024-07548</t>
  </si>
  <si>
    <t>MD-0001</t>
  </si>
  <si>
    <t>BALANÇA MEDIDORA DE DENSIDADE</t>
  </si>
  <si>
    <t>MEDIDOR DE DENSIDADE</t>
  </si>
  <si>
    <t>BALAN ¸CA MEDIDORA DE DENSIDADE DIGITAL</t>
  </si>
  <si>
    <t>1 a 100 g</t>
  </si>
  <si>
    <t>MDE-0001</t>
  </si>
  <si>
    <t>MEDIDOR DE ESPESSURA</t>
  </si>
  <si>
    <t>0 a 10mm</t>
  </si>
  <si>
    <t>1 a 10mm</t>
  </si>
  <si>
    <t>MDE-0002</t>
  </si>
  <si>
    <t>MDS-0001</t>
  </si>
  <si>
    <t>MEDIDOR DE CONCENTRAÇÃO DE SAL</t>
  </si>
  <si>
    <t>0 a 10%</t>
  </si>
  <si>
    <t>1 a 10%</t>
  </si>
  <si>
    <t>MIC-0001</t>
  </si>
  <si>
    <t>MICRÔMETRO</t>
  </si>
  <si>
    <t>0 a 13 mm</t>
  </si>
  <si>
    <t>1 a 13 mm</t>
  </si>
  <si>
    <t>MIC-0002</t>
  </si>
  <si>
    <t>0 a 25 mm</t>
  </si>
  <si>
    <t>2,5 a 25 mm</t>
  </si>
  <si>
    <t>MICROMETRO RECRAVAÇÂO DE LATAS ANALÔOGICO</t>
  </si>
  <si>
    <t>MIC-0018</t>
  </si>
  <si>
    <t>MIC-0019</t>
  </si>
  <si>
    <t>MIC-0022</t>
  </si>
  <si>
    <t>MIC-0024</t>
  </si>
  <si>
    <t>2024-05673</t>
  </si>
  <si>
    <t>MUF-0001</t>
  </si>
  <si>
    <t>MUFLA</t>
  </si>
  <si>
    <t xml:space="preserve">300,0 a 1.200,0 ◦C   </t>
  </si>
  <si>
    <t>480 a 520°C</t>
  </si>
  <si>
    <t>PAQUÍMETRO</t>
  </si>
  <si>
    <t>PAQ-0003</t>
  </si>
  <si>
    <t>GABARITO INTERNO</t>
  </si>
  <si>
    <t>20 a 35 cm</t>
  </si>
  <si>
    <t>23 a 35 cm</t>
  </si>
  <si>
    <t>PAQ-0004</t>
  </si>
  <si>
    <t>12 a 20 cm</t>
  </si>
  <si>
    <t>13 a 20 cm</t>
  </si>
  <si>
    <t>PAQ-0005</t>
  </si>
  <si>
    <t>35 a 65 cm</t>
  </si>
  <si>
    <t>PAQUÍMETRO DIGITAL</t>
  </si>
  <si>
    <t>0 a 200mm</t>
  </si>
  <si>
    <t>1 a 200mm</t>
  </si>
  <si>
    <t>PAQUIMETRO</t>
  </si>
  <si>
    <t>0 a 200 mm</t>
  </si>
  <si>
    <t>1 a 200 mm</t>
  </si>
  <si>
    <t>1 a 150 mm</t>
  </si>
  <si>
    <t>PAQ-0064</t>
  </si>
  <si>
    <t>LABORATORIO RECEBIMENTO DE MATERIAIS</t>
  </si>
  <si>
    <t>2024-04602</t>
  </si>
  <si>
    <t>PAQ-0041</t>
  </si>
  <si>
    <t>2024-04597</t>
  </si>
  <si>
    <t>PAQ-0084</t>
  </si>
  <si>
    <t>PAQ-0086</t>
  </si>
  <si>
    <t>PAQ-0092</t>
  </si>
  <si>
    <t>PAQ-0093</t>
  </si>
  <si>
    <t>PAQ-0099</t>
  </si>
  <si>
    <t>PI-0001</t>
  </si>
  <si>
    <t>MANÔMETRO ANALÓGICO</t>
  </si>
  <si>
    <t>0 a 28 kgf/cm2</t>
  </si>
  <si>
    <t xml:space="preserve">8 a 13 kgf/cm2 </t>
  </si>
  <si>
    <t>PI-0002</t>
  </si>
  <si>
    <t>MANOVACUÔETRO</t>
  </si>
  <si>
    <t>-1 a 28 bar</t>
  </si>
  <si>
    <t>-0,5 a 28 bar</t>
  </si>
  <si>
    <t>2024-03540</t>
  </si>
  <si>
    <t>bar</t>
  </si>
  <si>
    <t>PI-0003</t>
  </si>
  <si>
    <t>PRENSA</t>
  </si>
  <si>
    <t>0 a 6 bar</t>
  </si>
  <si>
    <t>2 a 4,5 bar</t>
  </si>
  <si>
    <t>PRESSÃO DA FORNALHA</t>
  </si>
  <si>
    <t>PRESSÃO DA AUTOCLAVE</t>
  </si>
  <si>
    <t>0 a 3 bar</t>
  </si>
  <si>
    <t>0 a 10 kgf/cm2</t>
  </si>
  <si>
    <t>PI-0201A</t>
  </si>
  <si>
    <t xml:space="preserve">PULMÃO DE AR </t>
  </si>
  <si>
    <t xml:space="preserve"> AUTOCLAVES 170G</t>
  </si>
  <si>
    <t>0 a 14 kgf/cm2</t>
  </si>
  <si>
    <t>0 a 9 kgf/cm²</t>
  </si>
  <si>
    <t>2024-08634</t>
  </si>
  <si>
    <t xml:space="preserve">kgf/cm2 </t>
  </si>
  <si>
    <t>0 a 9 Kgf/Cm2</t>
  </si>
  <si>
    <t>PI-0201C</t>
  </si>
  <si>
    <t>0 a 15 kgf/cm2</t>
  </si>
  <si>
    <t>0 a 9 kgf/cm2</t>
  </si>
  <si>
    <t>2024-08636</t>
  </si>
  <si>
    <t>PI-0202</t>
  </si>
  <si>
    <t>PULMÃO DE AR 
TQ-AR-02-02 CAT III</t>
  </si>
  <si>
    <t xml:space="preserve">DEPOSITO DE ERVILHA </t>
  </si>
  <si>
    <t>2024-08640</t>
  </si>
  <si>
    <t>PI-02B</t>
  </si>
  <si>
    <t>INDICADOR DE PRESSÃO
(MALHA 4 a 20 mA)</t>
  </si>
  <si>
    <t>0 a 25 kgf/cm²</t>
  </si>
  <si>
    <t>PI-03A</t>
  </si>
  <si>
    <t>-20,00 a 20,00 mmca</t>
  </si>
  <si>
    <t>mmca</t>
  </si>
  <si>
    <t>PI-0701</t>
  </si>
  <si>
    <t>PULMÃO DE AR 
 (TQ-AR-07-01 CAT III)</t>
  </si>
  <si>
    <t xml:space="preserve">CEREAIS 2 KG </t>
  </si>
  <si>
    <t>2024-08641</t>
  </si>
  <si>
    <t>PI-1601</t>
  </si>
  <si>
    <t>PULMÃO DE AR 
TQ-AR-16-01 CAT IV</t>
  </si>
  <si>
    <t xml:space="preserve">PALETIZAÇÃO   </t>
  </si>
  <si>
    <t>2024-08642</t>
  </si>
  <si>
    <t>PI-1801</t>
  </si>
  <si>
    <t>PULMÃO DE AR 
TQ-AR-18-01 CAT III</t>
  </si>
  <si>
    <t xml:space="preserve">CALDEIRA DE BIOMASSA </t>
  </si>
  <si>
    <t>2024-08643</t>
  </si>
  <si>
    <t>PI-1901</t>
  </si>
  <si>
    <t>PULMÃO DE AR
TQ-AR-18-01 CAT III</t>
  </si>
  <si>
    <t>PLATAFORMA TETRAPAK</t>
  </si>
  <si>
    <t xml:space="preserve">2024-08647
</t>
  </si>
  <si>
    <t>PI-1902</t>
  </si>
  <si>
    <t>DEPOSITO DE EMBALAGEM LATA</t>
  </si>
  <si>
    <t>2024-08637</t>
  </si>
  <si>
    <t>PI-1903</t>
  </si>
  <si>
    <t>RESERVATORIO NOVO CATCHUP</t>
  </si>
  <si>
    <t>2024-08638</t>
  </si>
  <si>
    <t>PI-1904</t>
  </si>
  <si>
    <t>RESERVATORIO NOVO  DESENVASE</t>
  </si>
  <si>
    <t>2024-08646</t>
  </si>
  <si>
    <t>PI-1905</t>
  </si>
  <si>
    <t>RESERVATORIO ANTIGA ETA</t>
  </si>
  <si>
    <t>2024-08639</t>
  </si>
  <si>
    <t>PI-3000</t>
  </si>
  <si>
    <t>BANCADA DE ANÁLISE (Mespack 1 e 2)</t>
  </si>
  <si>
    <t>0  a 10 bar</t>
  </si>
  <si>
    <t>2024-07802</t>
  </si>
  <si>
    <t>PI-3002</t>
  </si>
  <si>
    <t>BANCADA DE ANÁLISE (Mespack  3 e 4)</t>
  </si>
  <si>
    <t>2024-07542</t>
  </si>
  <si>
    <t>PI-3004</t>
  </si>
  <si>
    <t>BANCADA DE ANÁLISE (Mespack 5 e 6)</t>
  </si>
  <si>
    <t>PI-3006</t>
  </si>
  <si>
    <t>BANCADA DE ANÁLISE (Mespack 7 e 8)</t>
  </si>
  <si>
    <t>2024-07544</t>
  </si>
  <si>
    <t>PI-3008</t>
  </si>
  <si>
    <t>BANCADA DE ANÁLISE (Mespack 9 e 10)</t>
  </si>
  <si>
    <t>2024-07799</t>
  </si>
  <si>
    <t>PI-3010</t>
  </si>
  <si>
    <t>BANCADA DE ANÁLISE (Mespack 10 e 13)</t>
  </si>
  <si>
    <t>2024-07800</t>
  </si>
  <si>
    <t>PI-3012</t>
  </si>
  <si>
    <t>BANCADA DE ANÁLISE (Mespack 11 e12)</t>
  </si>
  <si>
    <t>2024-07803</t>
  </si>
  <si>
    <t>PI-3610</t>
  </si>
  <si>
    <t>BANCADA DE ANÁLISE  VOLPACK 1</t>
  </si>
  <si>
    <t>PI-3710</t>
  </si>
  <si>
    <t>BANCADA DE ANÁLISE VOLPACK 2</t>
  </si>
  <si>
    <t>-1 a 5 bar</t>
  </si>
  <si>
    <t>0 a  3 kgf/cm²</t>
  </si>
  <si>
    <t>PI-6031</t>
  </si>
  <si>
    <t>0 a 4 bar</t>
  </si>
  <si>
    <t>PI-6041.1</t>
  </si>
  <si>
    <t>0 a 3 kgf/cm2</t>
  </si>
  <si>
    <t>PI-6051</t>
  </si>
  <si>
    <t>0 a 3 kgf/cm</t>
  </si>
  <si>
    <t>PI-6060A</t>
  </si>
  <si>
    <t>PI-6060B</t>
  </si>
  <si>
    <t>PI-6061</t>
  </si>
  <si>
    <t>PI-6070A</t>
  </si>
  <si>
    <t>PI-6070B</t>
  </si>
  <si>
    <t>PI-6071</t>
  </si>
  <si>
    <t>PI-6080A</t>
  </si>
  <si>
    <t>PI-6080B</t>
  </si>
  <si>
    <t>PI-6081</t>
  </si>
  <si>
    <t>PI-6090A</t>
  </si>
  <si>
    <t>PI-6090B</t>
  </si>
  <si>
    <t>PI-6091</t>
  </si>
  <si>
    <t>PI-6100A</t>
  </si>
  <si>
    <t>PI-6100B</t>
  </si>
  <si>
    <t>PI-6101</t>
  </si>
  <si>
    <t>PI-8257</t>
  </si>
  <si>
    <t>MANOMETRO ANALÂ OGICO</t>
  </si>
  <si>
    <t>0 a 10 bar</t>
  </si>
  <si>
    <t>PI-9050</t>
  </si>
  <si>
    <t>0 a 20 kgf/cm</t>
  </si>
  <si>
    <t>PI-9060</t>
  </si>
  <si>
    <t>INDICADOR DE PRESSÃO DIGITAL</t>
  </si>
  <si>
    <t>0 a 16bar</t>
  </si>
  <si>
    <t>PI-9100A</t>
  </si>
  <si>
    <t>PI-9100B</t>
  </si>
  <si>
    <t>0 a 6000mbar</t>
  </si>
  <si>
    <t>mbar</t>
  </si>
  <si>
    <t>PI-9101</t>
  </si>
  <si>
    <t>PI-9110A</t>
  </si>
  <si>
    <t>PI-9110B</t>
  </si>
  <si>
    <t>PI-9111</t>
  </si>
  <si>
    <t>PI-9120A</t>
  </si>
  <si>
    <t>PI-9120B</t>
  </si>
  <si>
    <t>PI-9121</t>
  </si>
  <si>
    <t>PI-9130A</t>
  </si>
  <si>
    <t>PI-9130B</t>
  </si>
  <si>
    <t>PI-9131</t>
  </si>
  <si>
    <t>PI-9140A</t>
  </si>
  <si>
    <t>PI-9140B</t>
  </si>
  <si>
    <t>PI-9141</t>
  </si>
  <si>
    <t>PI-9200A</t>
  </si>
  <si>
    <t>BANCADA DE ANÁLISE POUCH 1</t>
  </si>
  <si>
    <t>PI-9250A</t>
  </si>
  <si>
    <t>PI-9250B</t>
  </si>
  <si>
    <t>PI-9251</t>
  </si>
  <si>
    <t>PI-9260A</t>
  </si>
  <si>
    <t>PI-9260B</t>
  </si>
  <si>
    <t>PI-9261</t>
  </si>
  <si>
    <t>PI-9270A</t>
  </si>
  <si>
    <t>PI-9270B</t>
  </si>
  <si>
    <t>PI-9271</t>
  </si>
  <si>
    <t>PI-9280A</t>
  </si>
  <si>
    <t>PI-9280B</t>
  </si>
  <si>
    <t>PI-9281</t>
  </si>
  <si>
    <t>PQF-0001</t>
  </si>
  <si>
    <t>PÁQUIMETRO DE PROFUNDIDADE (D)</t>
  </si>
  <si>
    <t>PAQU´IMETRO DE PROFUNDIDADE DIGITAL</t>
  </si>
  <si>
    <t>PQF-0002</t>
  </si>
  <si>
    <t>PQF-0003</t>
  </si>
  <si>
    <t>PQF-0004</t>
  </si>
  <si>
    <t>REDOXÍMETRO DIGITAL</t>
  </si>
  <si>
    <t>-2000 .. 2000 mV</t>
  </si>
  <si>
    <t>-400 a 400 mV</t>
  </si>
  <si>
    <t>mV</t>
  </si>
  <si>
    <t>PR-0002</t>
  </si>
  <si>
    <t>REDOX´IMETRO DIGITAL</t>
  </si>
  <si>
    <t>0 a 22pH</t>
  </si>
  <si>
    <t>2024-05700</t>
  </si>
  <si>
    <t>Ph</t>
  </si>
  <si>
    <t>PRESSOSTATO</t>
  </si>
  <si>
    <t>PS-9060</t>
  </si>
  <si>
    <t>PS-9061</t>
  </si>
  <si>
    <t>PS-9072</t>
  </si>
  <si>
    <t>11,8 bar - Abre contato
12,8 bar - Fecha contato</t>
  </si>
  <si>
    <t>PT-0002</t>
  </si>
  <si>
    <t>TRANSMISSOR DE PRESSÃO</t>
  </si>
  <si>
    <t>PRESSÃO VAPOR</t>
  </si>
  <si>
    <t>8 a 13 bar</t>
  </si>
  <si>
    <t>PT-0003</t>
  </si>
  <si>
    <t>PRESSÃO FORNALHA</t>
  </si>
  <si>
    <t>-5 a 5 mbar</t>
  </si>
  <si>
    <t>PT-02B</t>
  </si>
  <si>
    <t>PT-03A</t>
  </si>
  <si>
    <t>PT-6030</t>
  </si>
  <si>
    <t>PT-6040</t>
  </si>
  <si>
    <t>PT-6041</t>
  </si>
  <si>
    <t>PT-6050</t>
  </si>
  <si>
    <t>PT-6051</t>
  </si>
  <si>
    <t>PT-6060</t>
  </si>
  <si>
    <t>PT-6070</t>
  </si>
  <si>
    <t>PT-6071</t>
  </si>
  <si>
    <t>PT-6080</t>
  </si>
  <si>
    <t>PT-6081</t>
  </si>
  <si>
    <t>PT-6090</t>
  </si>
  <si>
    <t>PT-6100</t>
  </si>
  <si>
    <t>PT-9060</t>
  </si>
  <si>
    <t>0 a 16 bar</t>
  </si>
  <si>
    <t>PT-9100</t>
  </si>
  <si>
    <t>PT-9110</t>
  </si>
  <si>
    <t>PT-9120</t>
  </si>
  <si>
    <t>PT-9130</t>
  </si>
  <si>
    <t>PT-9140</t>
  </si>
  <si>
    <t>PT-9250</t>
  </si>
  <si>
    <t>PT-9260</t>
  </si>
  <si>
    <t>PT-9270</t>
  </si>
  <si>
    <t>PT-9280</t>
  </si>
  <si>
    <t>REFRATÔMETRO</t>
  </si>
  <si>
    <t>5 a 30 ºBx</t>
  </si>
  <si>
    <t>ºBx</t>
  </si>
  <si>
    <t>RF-0003</t>
  </si>
  <si>
    <t>REFRATOMETRO DIGITAL</t>
  </si>
  <si>
    <t>0 a 100°Bx</t>
  </si>
  <si>
    <t>5 a 30 ºbrix</t>
  </si>
  <si>
    <t>RF-0010</t>
  </si>
  <si>
    <t>REFRATOMETRO ANALÔOGICO</t>
  </si>
  <si>
    <t>0 a 32 ºBx</t>
  </si>
  <si>
    <t>58 a 90 ºBx</t>
  </si>
  <si>
    <t>RF-0012</t>
  </si>
  <si>
    <t>60 °Bx</t>
  </si>
  <si>
    <t>RF-0013</t>
  </si>
  <si>
    <t>REFRATÔMETRO  ANALÔGICO</t>
  </si>
  <si>
    <t>RF-0014</t>
  </si>
  <si>
    <t>REFRATOMETRO</t>
  </si>
  <si>
    <t>0 a 100 °brix</t>
  </si>
  <si>
    <t>°Bx</t>
  </si>
  <si>
    <t>RF-0015</t>
  </si>
  <si>
    <t>RF-0016</t>
  </si>
  <si>
    <t>REFRATOMETTRO ANALÔGICO</t>
  </si>
  <si>
    <t>RF-0017</t>
  </si>
  <si>
    <t>RF-0019</t>
  </si>
  <si>
    <t>REFRATOMETRO ANALOGICO</t>
  </si>
  <si>
    <t>RF-0021</t>
  </si>
  <si>
    <t>0..100 ºBx</t>
  </si>
  <si>
    <t>2024-07214</t>
  </si>
  <si>
    <t>RF-0022</t>
  </si>
  <si>
    <t>REFRATÔMETRO PORTATIL</t>
  </si>
  <si>
    <t>0a 85 °Bx</t>
  </si>
  <si>
    <t>5 a 60 °Bx</t>
  </si>
  <si>
    <t>RF-0023</t>
  </si>
  <si>
    <t>0 a 100 °Bx</t>
  </si>
  <si>
    <t>5  a 30 °Bx</t>
  </si>
  <si>
    <t>RF-0025</t>
  </si>
  <si>
    <t>0 a 32 °Bx</t>
  </si>
  <si>
    <t>5 a 30 °Bx</t>
  </si>
  <si>
    <t>TCL-0004</t>
  </si>
  <si>
    <t>ENTRADA FLASH COOLER</t>
  </si>
  <si>
    <t>90 a 130°C</t>
  </si>
  <si>
    <t>TCL-001A</t>
  </si>
  <si>
    <t>CABEÇA A</t>
  </si>
  <si>
    <t>CABEÇA B</t>
  </si>
  <si>
    <t>TCL-002A</t>
  </si>
  <si>
    <t>TCL-003B</t>
  </si>
  <si>
    <t>TCL-004B</t>
  </si>
  <si>
    <t>TCL-005A</t>
  </si>
  <si>
    <t>TCL-005B</t>
  </si>
  <si>
    <t>100 a 150°C</t>
  </si>
  <si>
    <t>TCL-122B</t>
  </si>
  <si>
    <t>ENTRADA HOLDING</t>
  </si>
  <si>
    <t>TE-8001</t>
  </si>
  <si>
    <t>TE-8011</t>
  </si>
  <si>
    <t>ENTRADA DE PRODUTO - CABEÇA A</t>
  </si>
  <si>
    <t>TE-8012</t>
  </si>
  <si>
    <t>BARREIRA DE VAPOR (FLANGE) - CABEÇA A</t>
  </si>
  <si>
    <t>TE-8013</t>
  </si>
  <si>
    <t>CÂMARA ASSÉPTICA - CABEÇA A</t>
  </si>
  <si>
    <t>TE-8014</t>
  </si>
  <si>
    <t>BARREIRA DE VAPOR (ÊMBOLO) - CABEÇA A</t>
  </si>
  <si>
    <t>TE-8015</t>
  </si>
  <si>
    <t>SAIDA  RESFRIAMENTO</t>
  </si>
  <si>
    <t>40 - 130°C</t>
  </si>
  <si>
    <t>TE-8021</t>
  </si>
  <si>
    <t>ENTRADA DE PRODUTO - CABEÇA B</t>
  </si>
  <si>
    <t>TE-8022</t>
  </si>
  <si>
    <t>BARREIRA DE VAPOR (FLANGE) - CABEÇA B</t>
  </si>
  <si>
    <t>TE-8023</t>
  </si>
  <si>
    <t>CÂMARA ASSÉPTICA - CABEÇA B</t>
  </si>
  <si>
    <t>TE-8024</t>
  </si>
  <si>
    <t>BARREIRA DE VAPOR (ÊMBOLO) - CABEÇA B</t>
  </si>
  <si>
    <t>PI-8100</t>
  </si>
  <si>
    <t>PASTERURIZADOR</t>
  </si>
  <si>
    <t>TE-8100</t>
  </si>
  <si>
    <t>TE-8101</t>
  </si>
  <si>
    <t>40  a 130 ◦C</t>
  </si>
  <si>
    <t>TE-8102</t>
  </si>
  <si>
    <t>TE-8103</t>
  </si>
  <si>
    <t>TE-8200</t>
  </si>
  <si>
    <t>POLPA TROPICAL</t>
  </si>
  <si>
    <t>TE-8201</t>
  </si>
  <si>
    <t>TE-8211</t>
  </si>
  <si>
    <t>TE-8212</t>
  </si>
  <si>
    <t>TE-8213.1</t>
  </si>
  <si>
    <t>TE-8213</t>
  </si>
  <si>
    <t>TE-8214</t>
  </si>
  <si>
    <t>TE-8215</t>
  </si>
  <si>
    <t>TE-8221</t>
  </si>
  <si>
    <t>TE-8222</t>
  </si>
  <si>
    <t>TE-8223</t>
  </si>
  <si>
    <t>TE-8224</t>
  </si>
  <si>
    <t>TER-0020</t>
  </si>
  <si>
    <t>TERMÔMETRO INFRAVERMLEHO DIGITAL</t>
  </si>
  <si>
    <t>-30 a  550°C</t>
  </si>
  <si>
    <t>80 a 200°C</t>
  </si>
  <si>
    <t>TER-0021</t>
  </si>
  <si>
    <t>0 a 900 ◦C</t>
  </si>
  <si>
    <t>80 a 280°C</t>
  </si>
  <si>
    <t>2024-06719</t>
  </si>
  <si>
    <t>TER-0022</t>
  </si>
  <si>
    <t>TERMOMETRO DIGITAL</t>
  </si>
  <si>
    <t>TI-01B</t>
  </si>
  <si>
    <t>0 a 300°C</t>
  </si>
  <si>
    <t>TI-02</t>
  </si>
  <si>
    <t>TANQUE REATOR</t>
  </si>
  <si>
    <t>0 a 50 ◦C</t>
  </si>
  <si>
    <t>2024-08624</t>
  </si>
  <si>
    <t>TI-03B</t>
  </si>
  <si>
    <t>TI-03D</t>
  </si>
  <si>
    <t>TI-04B</t>
  </si>
  <si>
    <t>TI-1100A</t>
  </si>
  <si>
    <t>TANQUE FORMULAÇÃO - TQ 1100</t>
  </si>
  <si>
    <t>TI-1100B</t>
  </si>
  <si>
    <t>TI-1200A</t>
  </si>
  <si>
    <t>TANQUE FORMULAÇÃO - TQ 1200</t>
  </si>
  <si>
    <t>TI-1200B</t>
  </si>
  <si>
    <t>TI-1300A</t>
  </si>
  <si>
    <t>TANQUE FORMULAÇÃO - TQ 1300</t>
  </si>
  <si>
    <t>TI-1300B</t>
  </si>
  <si>
    <t>TI-1400A</t>
  </si>
  <si>
    <t>TANQUE FORMULAÇÃO - TQ 1400</t>
  </si>
  <si>
    <t>TI-1400B</t>
  </si>
  <si>
    <t>TI-1401A</t>
  </si>
  <si>
    <t>TANQUE FORMULAÇÃO - TQ 1401</t>
  </si>
  <si>
    <t>TI-1401B</t>
  </si>
  <si>
    <t>TI-1500A</t>
  </si>
  <si>
    <t>TANQUE FORMULAÇÃO - TQ 1500</t>
  </si>
  <si>
    <t>TI-1500B</t>
  </si>
  <si>
    <t>TI-1600A</t>
  </si>
  <si>
    <t>TI-1600B</t>
  </si>
  <si>
    <t>TANQUE FORMULAÇÃO - TQ 1600</t>
  </si>
  <si>
    <t>TI-5001A</t>
  </si>
  <si>
    <t>TANQUE FORMULAÇÃO - TQ 5001</t>
  </si>
  <si>
    <t>TI-5001B</t>
  </si>
  <si>
    <t>TI-5002A</t>
  </si>
  <si>
    <t>TANQUE FORMULAÇÃO - TQ 5002</t>
  </si>
  <si>
    <t>TI-5002B</t>
  </si>
  <si>
    <t>TI-5003A</t>
  </si>
  <si>
    <t>TANQUE FORMULAÇÃO - TQ 5003</t>
  </si>
  <si>
    <t>TI-5003B</t>
  </si>
  <si>
    <t>TI-5201A</t>
  </si>
  <si>
    <t>TANQUE FORMULAÇÃO - TQ 5201</t>
  </si>
  <si>
    <t>TI-5201B</t>
  </si>
  <si>
    <t>TI-5202A</t>
  </si>
  <si>
    <t>TANQUE FORMULAÇÃO - TQ 5202</t>
  </si>
  <si>
    <t>TI-5202B</t>
  </si>
  <si>
    <t>TI-5401A</t>
  </si>
  <si>
    <t>TANQUE FORMULAÇÃO - TQ 5401</t>
  </si>
  <si>
    <t>TI-5401B</t>
  </si>
  <si>
    <t>TI-5402A</t>
  </si>
  <si>
    <t>TANQUE FORMULAÇÃO - TQ 5402</t>
  </si>
  <si>
    <t>TI-5402B</t>
  </si>
  <si>
    <t>TI-8100</t>
  </si>
  <si>
    <t>TI-8101</t>
  </si>
  <si>
    <t>TI-8102</t>
  </si>
  <si>
    <t>TI-8103</t>
  </si>
  <si>
    <t>TI-8200</t>
  </si>
  <si>
    <t>TI-8201</t>
  </si>
  <si>
    <t>TI-8211</t>
  </si>
  <si>
    <t>TI-8212</t>
  </si>
  <si>
    <t>TI-8213</t>
  </si>
  <si>
    <t>TI-8214</t>
  </si>
  <si>
    <t>TI-8215</t>
  </si>
  <si>
    <t>TI-8221</t>
  </si>
  <si>
    <t>TI-8222</t>
  </si>
  <si>
    <t>TI-8223</t>
  </si>
  <si>
    <t>TI-8224</t>
  </si>
  <si>
    <t>TRE-0002</t>
  </si>
  <si>
    <t>TRENA (A)</t>
  </si>
  <si>
    <t>0 a 3.000 mm</t>
  </si>
  <si>
    <t>100 a 3000 mm</t>
  </si>
  <si>
    <t>TRE-0003</t>
  </si>
  <si>
    <t>TT-0002</t>
  </si>
  <si>
    <t>TRANSMISSOR DE TEMPERATURA  + PT-100 3 FIOS (OHM´S PARA 4-20 mA)</t>
  </si>
  <si>
    <t>35 a 299 ◦C</t>
  </si>
  <si>
    <t>TT-0005</t>
  </si>
  <si>
    <t>90 a 130 ºC</t>
  </si>
  <si>
    <t>TT-04</t>
  </si>
  <si>
    <t>TT-005B</t>
  </si>
  <si>
    <t>TT-01B</t>
  </si>
  <si>
    <t>60 a 300 ◦C</t>
  </si>
  <si>
    <t>TT-02</t>
  </si>
  <si>
    <t xml:space="preserve"> INDICADOR  TEMPERATURA</t>
  </si>
  <si>
    <t>2024-08688</t>
  </si>
  <si>
    <t>TT-03D</t>
  </si>
  <si>
    <t>TT-04B</t>
  </si>
  <si>
    <t>TT-07</t>
  </si>
  <si>
    <t>TT-1100A</t>
  </si>
  <si>
    <t>TT-1100B</t>
  </si>
  <si>
    <t>TT-111</t>
  </si>
  <si>
    <t>TT-1200A</t>
  </si>
  <si>
    <t>TT-1200B</t>
  </si>
  <si>
    <t>TT-122B</t>
  </si>
  <si>
    <t>TT-1300A</t>
  </si>
  <si>
    <t>TT-1300B</t>
  </si>
  <si>
    <t>TT-1400A</t>
  </si>
  <si>
    <t>TT-1400B</t>
  </si>
  <si>
    <t>TT-1401A</t>
  </si>
  <si>
    <t>TT-1401B</t>
  </si>
  <si>
    <t>TT-1500A</t>
  </si>
  <si>
    <t>TT-1500B</t>
  </si>
  <si>
    <t>TT-1600A</t>
  </si>
  <si>
    <t>TT-1600B</t>
  </si>
  <si>
    <t>TT-5001A</t>
  </si>
  <si>
    <t>TT-5001B</t>
  </si>
  <si>
    <t>TT-5002A</t>
  </si>
  <si>
    <t>TT-5002B</t>
  </si>
  <si>
    <t>TT-5003A</t>
  </si>
  <si>
    <t>TT-5003B</t>
  </si>
  <si>
    <t>TT-5201A</t>
  </si>
  <si>
    <t>TT-5201B</t>
  </si>
  <si>
    <t>TT-5202A</t>
  </si>
  <si>
    <t>TT-5202B</t>
  </si>
  <si>
    <t>TT-5401A</t>
  </si>
  <si>
    <t>TT-5401B</t>
  </si>
  <si>
    <t>TT-5402A</t>
  </si>
  <si>
    <t>TT-5402B</t>
  </si>
  <si>
    <t>TUB-0001</t>
  </si>
  <si>
    <t>TURBIDIMETRO</t>
  </si>
  <si>
    <t>VACUÔMETRO</t>
  </si>
  <si>
    <t xml:space="preserve"> -760 a 0 mmHg </t>
  </si>
  <si>
    <t>-400 a 0 mmHg</t>
  </si>
  <si>
    <t>mmHg</t>
  </si>
  <si>
    <t>VAC-0011</t>
  </si>
  <si>
    <t>VAC-0013</t>
  </si>
  <si>
    <t>VAC-0017</t>
  </si>
  <si>
    <t>-760 a 0 mmHg</t>
  </si>
  <si>
    <t>-400 a 0mmHg</t>
  </si>
  <si>
    <t>VAC-0088</t>
  </si>
  <si>
    <t>VACUOMETRO ANALÂOGICO</t>
  </si>
  <si>
    <t xml:space="preserve"> -380 a 0 mmHg</t>
  </si>
  <si>
    <t>VAC-0089</t>
  </si>
  <si>
    <t>VAC-0090</t>
  </si>
  <si>
    <t>VAC-0091</t>
  </si>
  <si>
    <t>VAC-0092</t>
  </si>
  <si>
    <t>VAC-0093</t>
  </si>
  <si>
    <t>VISC-0001</t>
  </si>
  <si>
    <t>BANHO TERMOSTATICO DE VISCOSIDADE</t>
  </si>
  <si>
    <t>VISC-001</t>
  </si>
  <si>
    <t>VISCOSIMETRO</t>
  </si>
  <si>
    <t>100 a 600000,0  mPa.s</t>
  </si>
  <si>
    <t>mPa.s</t>
  </si>
  <si>
    <t>WIT-1100A</t>
  </si>
  <si>
    <t>TRANSMISSOR  DE PESO</t>
  </si>
  <si>
    <t>TANQUE FORMULAÇÃO REFOGA - TQ 1100</t>
  </si>
  <si>
    <t>BALANÇA DE TANQUE</t>
  </si>
  <si>
    <t>0 - 2.500 kg</t>
  </si>
  <si>
    <t>300 a 1500 kg</t>
  </si>
  <si>
    <t>WIT-1200A</t>
  </si>
  <si>
    <t>TANQUE FORMULAÇÃO REFOGA- TQ 1200</t>
  </si>
  <si>
    <t>WIT-1300A</t>
  </si>
  <si>
    <t>TANQUE FORMULAÇÃO REFOGA - TQ 1300</t>
  </si>
  <si>
    <t>WIT-1400A</t>
  </si>
  <si>
    <t>TANQUE FORMULAÇÃO REFOGA - TQ 1400</t>
  </si>
  <si>
    <t>WIT-1401A</t>
  </si>
  <si>
    <t>WIT-1500A</t>
  </si>
  <si>
    <t>TANQUE FORMULAÇÃO - TQ 1500 VOLPACK NOVA</t>
  </si>
  <si>
    <t>WIT-1600A</t>
  </si>
  <si>
    <t>WIT-4001A</t>
  </si>
  <si>
    <t>TRANSMISSOR INDICADOR DE PESO</t>
  </si>
  <si>
    <t>TANQUE FORMULAÇÃO - TQ 4001A</t>
  </si>
  <si>
    <t>WIT-4002A</t>
  </si>
  <si>
    <t>TANQUE FORMULAÇÃO - TQ 4002A</t>
  </si>
  <si>
    <t>WIT-4101A</t>
  </si>
  <si>
    <t>TANQUE FORMULAÇÃO - TQ 4101A</t>
  </si>
  <si>
    <t>WIT-4102A</t>
  </si>
  <si>
    <t>TANQUE FORMULAÇÃO - TQ 4102A</t>
  </si>
  <si>
    <t>WIT-4103A</t>
  </si>
  <si>
    <t>TANQUE FORMULAÇÃO - TQ 4103A</t>
  </si>
  <si>
    <t>WIT-4201A</t>
  </si>
  <si>
    <t>TANQUE FORMULAÇÃO - TQ 4201A</t>
  </si>
  <si>
    <t>0 a 2.500 kg</t>
  </si>
  <si>
    <t>300 a 1500kg</t>
  </si>
  <si>
    <t>WIT-4202A</t>
  </si>
  <si>
    <t>TANQUE FORMULAÇÃO - TQ 4202A</t>
  </si>
  <si>
    <t>WIT-4301A</t>
  </si>
  <si>
    <t>TANQUE FORMULAÇÃO - TQ 4301A</t>
  </si>
  <si>
    <t>WIT-4302A</t>
  </si>
  <si>
    <t>TANQUE FORMULAÇÃO - TQ 4302A</t>
  </si>
  <si>
    <t>WIT-4401A</t>
  </si>
  <si>
    <t>TANQUE FORMULAÇÃO - TQ 4401A</t>
  </si>
  <si>
    <t>WIT-4402A</t>
  </si>
  <si>
    <t>TANQUE FORMULAÇÃO - TQ 4402A</t>
  </si>
  <si>
    <t>WIT-4501A</t>
  </si>
  <si>
    <t>TANQUE FORMULAÇÃO - TQ 4501A</t>
  </si>
  <si>
    <t>WIT-4502A</t>
  </si>
  <si>
    <t>TANQUE FORMULAÇÃO - TQ 4502A</t>
  </si>
  <si>
    <t>WIT-4602A</t>
  </si>
  <si>
    <t>TANQUE FORMULAÇÃO - TQ 4602A</t>
  </si>
  <si>
    <t>WIT-4701A</t>
  </si>
  <si>
    <t>TANQUE FORMULAÇÃO - TQ 4701A</t>
  </si>
  <si>
    <t>WIT-4702A</t>
  </si>
  <si>
    <t>TANQUE FORMULAÇÃO - TQ 4702A</t>
  </si>
  <si>
    <t>WIT-5001A</t>
  </si>
  <si>
    <t>WIT-5002A</t>
  </si>
  <si>
    <t>WIT-5003A</t>
  </si>
  <si>
    <t>WIT-5201A</t>
  </si>
  <si>
    <t>WIT-5202A</t>
  </si>
  <si>
    <t>WIT-5401A</t>
  </si>
  <si>
    <t>WIT-5402A</t>
  </si>
  <si>
    <t>ENVASE A</t>
  </si>
  <si>
    <t>ENVASE B</t>
  </si>
  <si>
    <t>WIT-8200</t>
  </si>
  <si>
    <t>WIT-8201</t>
  </si>
  <si>
    <t>BAL-0060</t>
  </si>
  <si>
    <t>BALANÇA RODOVIÁRIA</t>
  </si>
  <si>
    <t>SAIDA</t>
  </si>
  <si>
    <t>0 a  22000Kg</t>
  </si>
  <si>
    <t>TOLEDO</t>
  </si>
  <si>
    <t>BAL-0061</t>
  </si>
  <si>
    <t>ENTRADA</t>
  </si>
  <si>
    <t>IV2500</t>
  </si>
  <si>
    <t>REL-0007</t>
  </si>
  <si>
    <t>2024-08027</t>
  </si>
  <si>
    <t>REL-0008</t>
  </si>
  <si>
    <t>2024-08028</t>
  </si>
  <si>
    <t>REL-0009</t>
  </si>
  <si>
    <t>2024-08315</t>
  </si>
  <si>
    <t>CLO-0001</t>
  </si>
  <si>
    <t>CLORIMETRO DIGITAL</t>
  </si>
  <si>
    <t>0,00  a 5,00 mg/L</t>
  </si>
  <si>
    <t>1 a 4,00 mg/L</t>
  </si>
  <si>
    <t>TCL-0021</t>
  </si>
  <si>
    <t xml:space="preserve">TRANSFERENCIA HOLDING PARA FLASH COOLER </t>
  </si>
  <si>
    <t>TT-0021</t>
  </si>
  <si>
    <t>TRANSFERENCIA HOLDING PARA FLASH COOLER</t>
  </si>
  <si>
    <t>PI-0008</t>
  </si>
  <si>
    <t>ENTRADA FILTRO DE VAPOR</t>
  </si>
  <si>
    <t>PI-0007</t>
  </si>
  <si>
    <t>SAÍDA FILTRO DE VAPOR</t>
  </si>
  <si>
    <t>0 a 20 bar</t>
  </si>
  <si>
    <t>2024-09359</t>
  </si>
  <si>
    <t>BTV-0001</t>
  </si>
  <si>
    <t>BANHO TERMOSTATICO PARA VISCOSIDADE</t>
  </si>
  <si>
    <t>0°C a 120°C
0,0 A 999,9 s</t>
  </si>
  <si>
    <t>2024-09666</t>
  </si>
  <si>
    <t>0 a 300ºC</t>
  </si>
  <si>
    <t>BURE-0023</t>
  </si>
  <si>
    <t>BURE-0024</t>
  </si>
  <si>
    <t>2024-09797</t>
  </si>
  <si>
    <t>2024-09798</t>
  </si>
  <si>
    <t>RF-0024</t>
  </si>
  <si>
    <t>2024-09888</t>
  </si>
  <si>
    <t>TI-9100</t>
  </si>
  <si>
    <t>IRI-TI-9100</t>
  </si>
  <si>
    <t>2024-09354</t>
  </si>
  <si>
    <t>2024-09353</t>
  </si>
  <si>
    <t>2024-09422</t>
  </si>
  <si>
    <t>TI-3710.1</t>
  </si>
  <si>
    <t>2024-09424</t>
  </si>
  <si>
    <t>2024-09452</t>
  </si>
  <si>
    <t>2024-09454</t>
  </si>
  <si>
    <t>2024-09360</t>
  </si>
  <si>
    <t>2024-10204</t>
  </si>
  <si>
    <t>2024-10208</t>
  </si>
  <si>
    <t>2024-10214</t>
  </si>
  <si>
    <t>2024-10228</t>
  </si>
  <si>
    <t>2024-10220</t>
  </si>
  <si>
    <t>2024-10419</t>
  </si>
  <si>
    <t>2024-10209</t>
  </si>
  <si>
    <t>2024-10275</t>
  </si>
  <si>
    <t>2024-10449</t>
  </si>
  <si>
    <t>WIT-4601A</t>
  </si>
  <si>
    <t>TANQUE FORMULAÇÃO - TQ 4601A</t>
  </si>
  <si>
    <t>2024-10205</t>
  </si>
  <si>
    <t>2024-10207</t>
  </si>
  <si>
    <t>TRM-0001</t>
  </si>
  <si>
    <t>2024-10271</t>
  </si>
  <si>
    <t>TRM-0003</t>
  </si>
  <si>
    <t>2024-10250</t>
  </si>
  <si>
    <t>BAL-9220</t>
  </si>
  <si>
    <t>BAL-9222</t>
  </si>
  <si>
    <t>2022-11011</t>
  </si>
  <si>
    <t>2024-10170</t>
  </si>
  <si>
    <t>2024-10171</t>
  </si>
  <si>
    <t>2024-10175</t>
  </si>
  <si>
    <t>2024-10176</t>
  </si>
  <si>
    <t>2024-10177</t>
  </si>
  <si>
    <t>2024-10178</t>
  </si>
  <si>
    <t>2024-10179</t>
  </si>
  <si>
    <t>2024-10180</t>
  </si>
  <si>
    <t>2024-10181</t>
  </si>
  <si>
    <t>2024-10182</t>
  </si>
  <si>
    <t>2024-10183</t>
  </si>
  <si>
    <t>2024-10184</t>
  </si>
  <si>
    <t>2024-10185</t>
  </si>
  <si>
    <t>2024-10186</t>
  </si>
  <si>
    <t>2024-10187</t>
  </si>
  <si>
    <t>2024-10188</t>
  </si>
  <si>
    <t>2024-10189</t>
  </si>
  <si>
    <t>2024-10190</t>
  </si>
  <si>
    <t>2024-10191</t>
  </si>
  <si>
    <t>2024-10192</t>
  </si>
  <si>
    <t>2024-10193</t>
  </si>
  <si>
    <t>2024-10194</t>
  </si>
  <si>
    <t>2024-10195</t>
  </si>
  <si>
    <t>2024-10196</t>
  </si>
  <si>
    <t>2024-10197</t>
  </si>
  <si>
    <t>2024-10199</t>
  </si>
  <si>
    <t>BAL-9318</t>
  </si>
  <si>
    <t>2022-11032</t>
  </si>
  <si>
    <t>2024-10198</t>
  </si>
  <si>
    <t>GAB-0019</t>
  </si>
  <si>
    <t>GAB-0018</t>
  </si>
  <si>
    <t>CSC-0018</t>
  </si>
  <si>
    <t>2024-10672</t>
  </si>
  <si>
    <t>1,3770 a 1,4535 n</t>
  </si>
  <si>
    <t>1,3815 a 1,4425 n</t>
  </si>
  <si>
    <t>n</t>
  </si>
  <si>
    <t>RF-0027</t>
  </si>
  <si>
    <t>0 a  650°C</t>
  </si>
  <si>
    <t>2024-10172</t>
  </si>
  <si>
    <t>2024-10174</t>
  </si>
  <si>
    <t>2024-10201</t>
  </si>
  <si>
    <t>20 a 160 ◦C</t>
  </si>
  <si>
    <t>70 a 160 ◦C</t>
  </si>
  <si>
    <t>30 a 160 ◦C</t>
  </si>
  <si>
    <t>PAQ-0105</t>
  </si>
  <si>
    <t>2024-10675</t>
  </si>
  <si>
    <t>2024-10210</t>
  </si>
  <si>
    <t>2024-10891</t>
  </si>
  <si>
    <t>2024-10892</t>
  </si>
  <si>
    <t>2024-10223</t>
  </si>
  <si>
    <t>0,45 a 1,5mm</t>
  </si>
  <si>
    <t>-30 a  650°C</t>
  </si>
  <si>
    <t>30 a 95°C</t>
  </si>
  <si>
    <t>2024-10819</t>
  </si>
  <si>
    <t>2024-10276</t>
  </si>
  <si>
    <t>TER-0177</t>
  </si>
  <si>
    <t>TER-0179</t>
  </si>
  <si>
    <t>TER-0186</t>
  </si>
  <si>
    <t>2024-11528</t>
  </si>
  <si>
    <t>2024-11499</t>
  </si>
  <si>
    <t>2024-11531</t>
  </si>
  <si>
    <t>2024-11522</t>
  </si>
  <si>
    <t>2024-11523</t>
  </si>
  <si>
    <t>2024-11546</t>
  </si>
  <si>
    <t>2024-11550</t>
  </si>
  <si>
    <t>2024-11592</t>
  </si>
  <si>
    <t>2024-11594</t>
  </si>
  <si>
    <t>2024-11530</t>
  </si>
  <si>
    <t>2024-11529</t>
  </si>
  <si>
    <t>2024-11524</t>
  </si>
  <si>
    <t>2024-11547</t>
  </si>
  <si>
    <t>2024-11548</t>
  </si>
  <si>
    <t>2024-11549</t>
  </si>
  <si>
    <t>2024-11527</t>
  </si>
  <si>
    <t>2024-11526</t>
  </si>
  <si>
    <t>2024-11551</t>
  </si>
  <si>
    <t>2024-11596</t>
  </si>
  <si>
    <t>2024-11595</t>
  </si>
  <si>
    <t>2024-11593</t>
  </si>
  <si>
    <t>2024-11514</t>
  </si>
  <si>
    <t>2024-11481</t>
  </si>
  <si>
    <t>2024-11473</t>
  </si>
  <si>
    <t>2024-11468</t>
  </si>
  <si>
    <t>2024-11477</t>
  </si>
  <si>
    <t>2024-11470</t>
  </si>
  <si>
    <t>2024-11487</t>
  </si>
  <si>
    <t>2024-11472</t>
  </si>
  <si>
    <t>2024-11490</t>
  </si>
  <si>
    <t>2024-11489</t>
  </si>
  <si>
    <t>2024-11475</t>
  </si>
  <si>
    <t>2024-11482</t>
  </si>
  <si>
    <t>2024-11485</t>
  </si>
  <si>
    <t>2024-11479</t>
  </si>
  <si>
    <t>2024-11486</t>
  </si>
  <si>
    <t>2024-11480</t>
  </si>
  <si>
    <t>2024-11471</t>
  </si>
  <si>
    <t>2024-11476</t>
  </si>
  <si>
    <t>2024-11500</t>
  </si>
  <si>
    <t>2024-11511</t>
  </si>
  <si>
    <t>2024-11517</t>
  </si>
  <si>
    <t>2024-11516</t>
  </si>
  <si>
    <t>2024-11535</t>
  </si>
  <si>
    <t>2024-11915</t>
  </si>
  <si>
    <t>2024-11598</t>
  </si>
  <si>
    <t>2024-11545</t>
  </si>
  <si>
    <t>2024-11544</t>
  </si>
  <si>
    <t>2024-11599</t>
  </si>
  <si>
    <t>2024-11461</t>
  </si>
  <si>
    <t>2024-11460</t>
  </si>
  <si>
    <t>2024-11450</t>
  </si>
  <si>
    <t>2024-11462</t>
  </si>
  <si>
    <t>2024-11458</t>
  </si>
  <si>
    <t>2024-11605</t>
  </si>
  <si>
    <t>2024-11446</t>
  </si>
  <si>
    <t>2024-11447</t>
  </si>
  <si>
    <t>2024-11449</t>
  </si>
  <si>
    <t>2024-11451</t>
  </si>
  <si>
    <t>2024-11463</t>
  </si>
  <si>
    <t>2024-11452</t>
  </si>
  <si>
    <t>2024-11454</t>
  </si>
  <si>
    <t>2024-11453</t>
  </si>
  <si>
    <t>2024-11455</t>
  </si>
  <si>
    <t>2024-11456</t>
  </si>
  <si>
    <t>AUTOCLAVE</t>
  </si>
  <si>
    <t>2024-11502</t>
  </si>
  <si>
    <t>2024-11448</t>
  </si>
  <si>
    <t>2024-10224</t>
  </si>
  <si>
    <t>0 a 150 °C</t>
  </si>
  <si>
    <t>2025-00361</t>
  </si>
  <si>
    <t>PAQ-0001</t>
  </si>
  <si>
    <t>2025-00064</t>
  </si>
  <si>
    <t>2025-00032</t>
  </si>
  <si>
    <t>2025-00033</t>
  </si>
  <si>
    <t>2025-00362</t>
  </si>
  <si>
    <t>2025-00036</t>
  </si>
  <si>
    <t>2025-00458</t>
  </si>
  <si>
    <t>2025-00084</t>
  </si>
  <si>
    <t>2025-00085</t>
  </si>
  <si>
    <t>BURE-0017</t>
  </si>
  <si>
    <t>2025-00431</t>
  </si>
  <si>
    <t>2025-00622</t>
  </si>
  <si>
    <t>2025-00621</t>
  </si>
  <si>
    <t>2025-00360</t>
  </si>
  <si>
    <t xml:space="preserve">2025-00031
</t>
  </si>
  <si>
    <t>2025-00054</t>
  </si>
  <si>
    <t>BAL-0048</t>
  </si>
  <si>
    <t>2025-0034</t>
  </si>
  <si>
    <t>2025-00947</t>
  </si>
  <si>
    <t>2025-00035</t>
  </si>
  <si>
    <t>2025-00065</t>
  </si>
  <si>
    <t>2025-00086</t>
  </si>
  <si>
    <t>2025-00945</t>
  </si>
  <si>
    <t>AGP-0001</t>
  </si>
  <si>
    <t>AGITADOR PARA PENEIRAS GRANULOMETRICAS</t>
  </si>
  <si>
    <t>1 a 30min</t>
  </si>
  <si>
    <t>1 a 15min</t>
  </si>
  <si>
    <t>2025-00723</t>
  </si>
  <si>
    <t>2025-00724</t>
  </si>
  <si>
    <t>0 a 120°C
0 a 1000s</t>
  </si>
  <si>
    <t>20 a 40 °c
200 a 1000s</t>
  </si>
  <si>
    <t>TE-20.2</t>
  </si>
  <si>
    <t>TE-25.4</t>
  </si>
  <si>
    <t>2025-01143</t>
  </si>
  <si>
    <t>2025-01144</t>
  </si>
  <si>
    <t>2025-01145</t>
  </si>
  <si>
    <t>2025-01146</t>
  </si>
  <si>
    <t>2025-01147</t>
  </si>
  <si>
    <t>2025-01148</t>
  </si>
  <si>
    <t>2025-01149</t>
  </si>
  <si>
    <t>2025-01150</t>
  </si>
  <si>
    <t>2025-01084</t>
  </si>
  <si>
    <t>2025-01085</t>
  </si>
  <si>
    <t>2025-01086</t>
  </si>
  <si>
    <t>PI-6040A</t>
  </si>
  <si>
    <t>PI-6040B</t>
  </si>
  <si>
    <t>2025-01096</t>
  </si>
  <si>
    <t>2025-01087</t>
  </si>
  <si>
    <t>2025-01088</t>
  </si>
  <si>
    <t>2025-01089</t>
  </si>
  <si>
    <t>2025-01090</t>
  </si>
  <si>
    <t>2025-01091</t>
  </si>
  <si>
    <t>2025-01092</t>
  </si>
  <si>
    <t>2025-01093</t>
  </si>
  <si>
    <t>2025-01094</t>
  </si>
  <si>
    <t>2025-01095</t>
  </si>
  <si>
    <t>2025-01097</t>
  </si>
  <si>
    <t>2025-01098</t>
  </si>
  <si>
    <t>2025-01254</t>
  </si>
  <si>
    <t>2025-01255</t>
  </si>
  <si>
    <t>2025-01256</t>
  </si>
  <si>
    <t>2025-01257</t>
  </si>
  <si>
    <t>2025-01258</t>
  </si>
  <si>
    <t>2025-01259</t>
  </si>
  <si>
    <t>2025-01260</t>
  </si>
  <si>
    <t>2025-01261</t>
  </si>
  <si>
    <t>2025-01262</t>
  </si>
  <si>
    <t>2025-01263</t>
  </si>
  <si>
    <t>2025-01264</t>
  </si>
  <si>
    <t>2025-01265</t>
  </si>
  <si>
    <t>2025-01266</t>
  </si>
  <si>
    <t>2025-01267</t>
  </si>
  <si>
    <t>2025-01120</t>
  </si>
  <si>
    <t>2025-01121</t>
  </si>
  <si>
    <t>2025-01152</t>
  </si>
  <si>
    <t>2025-01122</t>
  </si>
  <si>
    <t>2025-01123</t>
  </si>
  <si>
    <t>2025-01153</t>
  </si>
  <si>
    <t>2025-01124</t>
  </si>
  <si>
    <t>2025-01125</t>
  </si>
  <si>
    <t>2025-01154</t>
  </si>
  <si>
    <t>2025-01126</t>
  </si>
  <si>
    <t>2025-01127</t>
  </si>
  <si>
    <t>2025-01155</t>
  </si>
  <si>
    <t>2025-01128</t>
  </si>
  <si>
    <t>2025-01129</t>
  </si>
  <si>
    <t>2025-01156</t>
  </si>
  <si>
    <t>2025-01130</t>
  </si>
  <si>
    <t>2025-01131</t>
  </si>
  <si>
    <t>2025-01157</t>
  </si>
  <si>
    <t>2025-01132</t>
  </si>
  <si>
    <t>2025-01133</t>
  </si>
  <si>
    <t>2025-01158</t>
  </si>
  <si>
    <t>2025-01134</t>
  </si>
  <si>
    <t>2025-01135</t>
  </si>
  <si>
    <t>2025-01159</t>
  </si>
  <si>
    <t>2025-01136</t>
  </si>
  <si>
    <t>2025-01137</t>
  </si>
  <si>
    <t>2025-01160</t>
  </si>
  <si>
    <t>2025-01268</t>
  </si>
  <si>
    <t>2025-01269</t>
  </si>
  <si>
    <t>2025-01270</t>
  </si>
  <si>
    <t>2025-01271</t>
  </si>
  <si>
    <t>2025-01272</t>
  </si>
  <si>
    <t>2025-01273</t>
  </si>
  <si>
    <t>2025-01274</t>
  </si>
  <si>
    <t>2025-01275</t>
  </si>
  <si>
    <t>2025-01276</t>
  </si>
  <si>
    <t>2025-01516</t>
  </si>
  <si>
    <t>2025-01058</t>
  </si>
  <si>
    <t>2025-01165</t>
  </si>
  <si>
    <t>2025-00037</t>
  </si>
  <si>
    <t>0  a 6 bar</t>
  </si>
  <si>
    <t>2025-01142</t>
  </si>
  <si>
    <t>PI-6000A</t>
  </si>
  <si>
    <t>PI-6000B</t>
  </si>
  <si>
    <t>2025-01099</t>
  </si>
  <si>
    <t>PI-6001</t>
  </si>
  <si>
    <t>PI-6030A</t>
  </si>
  <si>
    <t>PI-6030B</t>
  </si>
  <si>
    <t>2025-01100</t>
  </si>
  <si>
    <t>PI-6050A</t>
  </si>
  <si>
    <t>PI-6050B</t>
  </si>
  <si>
    <t>2025-01101</t>
  </si>
  <si>
    <t>2025-01946</t>
  </si>
  <si>
    <t>2025-01947</t>
  </si>
  <si>
    <t>2025-01055</t>
  </si>
  <si>
    <t>2025-01174</t>
  </si>
  <si>
    <t>2025-01056</t>
  </si>
  <si>
    <t>CND-0001</t>
  </si>
  <si>
    <t>IRI-TT-3009</t>
  </si>
  <si>
    <t>IRI-TI-3009</t>
  </si>
  <si>
    <t>2025-01280</t>
  </si>
  <si>
    <t>2025-01253</t>
  </si>
  <si>
    <t>2025-01251</t>
  </si>
  <si>
    <t>2025-01163</t>
  </si>
  <si>
    <t>2025-01057</t>
  </si>
  <si>
    <t>TER-0019</t>
  </si>
  <si>
    <t>TERMÔMETRO INFRAVERMELHO DIGITAL</t>
  </si>
  <si>
    <t>2025-01202</t>
  </si>
  <si>
    <t>-50 .. 200 °C</t>
  </si>
  <si>
    <t>40 .. 95 °C</t>
  </si>
  <si>
    <t>TER-0132</t>
  </si>
  <si>
    <t>-40 .. 250 °C</t>
  </si>
  <si>
    <t>20 .. 100 °C</t>
  </si>
  <si>
    <t>02200000286M</t>
  </si>
  <si>
    <t>2025-01162</t>
  </si>
  <si>
    <t>0 .. 200000 mS/cm</t>
  </si>
  <si>
    <t>80 .. 150 °C</t>
  </si>
  <si>
    <t>ºc</t>
  </si>
  <si>
    <t>2025-02352</t>
  </si>
  <si>
    <t>2025-02353</t>
  </si>
  <si>
    <t>2025-02354</t>
  </si>
  <si>
    <t>2025-02355</t>
  </si>
  <si>
    <t>2025-02356</t>
  </si>
  <si>
    <t>2025-02357</t>
  </si>
  <si>
    <t>2025-02346</t>
  </si>
  <si>
    <t>2025-02347</t>
  </si>
  <si>
    <t>2025-02349</t>
  </si>
  <si>
    <t>2025-02350</t>
  </si>
  <si>
    <t>2025-02351</t>
  </si>
  <si>
    <t>2025-02336</t>
  </si>
  <si>
    <t>2025-02580</t>
  </si>
  <si>
    <t>TE-8500</t>
  </si>
  <si>
    <t>TE-8510</t>
  </si>
  <si>
    <t>TE-8520</t>
  </si>
  <si>
    <t>TE-8540</t>
  </si>
  <si>
    <t>SELEÇÃO DE CEREAIS</t>
  </si>
  <si>
    <t>TI-8510</t>
  </si>
  <si>
    <t>TI-8520</t>
  </si>
  <si>
    <t>TI-8530</t>
  </si>
  <si>
    <t>CUBA (BT)  1</t>
  </si>
  <si>
    <t>CUBA (BT)  2</t>
  </si>
  <si>
    <t xml:space="preserve">CUBA (BT)  3 </t>
  </si>
  <si>
    <t>CUBA (BT)  4</t>
  </si>
  <si>
    <t>CUBA (BT)  5</t>
  </si>
  <si>
    <t>LINHA 1</t>
  </si>
  <si>
    <t>LINHA 2</t>
  </si>
  <si>
    <t>LINHA 3</t>
  </si>
  <si>
    <t>LINHA 4</t>
  </si>
  <si>
    <t>LINHA 5</t>
  </si>
  <si>
    <t>65 A 85ºC</t>
  </si>
  <si>
    <t>-200 a 600ºC</t>
  </si>
  <si>
    <t>INDICADOR DE TEMPERATURA</t>
  </si>
  <si>
    <t>2025-02348</t>
  </si>
  <si>
    <t>TI-8500</t>
  </si>
  <si>
    <t>TEMORRESISTENCIA PT-100</t>
  </si>
  <si>
    <t>TE-8530</t>
  </si>
  <si>
    <t>TER-0187</t>
  </si>
  <si>
    <t>TER-0195</t>
  </si>
  <si>
    <t>2025-03301</t>
  </si>
  <si>
    <t>2025-03300</t>
  </si>
  <si>
    <t>2025-03299</t>
  </si>
  <si>
    <t>TI-8540</t>
  </si>
  <si>
    <t>VISC-0003</t>
  </si>
  <si>
    <t>1000 a 10000mPa-s</t>
  </si>
  <si>
    <t>2025-03812</t>
  </si>
  <si>
    <t>2025-03572</t>
  </si>
  <si>
    <t>2025-03684</t>
  </si>
  <si>
    <t>AG-0005</t>
  </si>
  <si>
    <t>1200rpm</t>
  </si>
  <si>
    <t xml:space="preserve">2025-03818
</t>
  </si>
  <si>
    <t>2025-03653</t>
  </si>
  <si>
    <t>2025-03568</t>
  </si>
  <si>
    <t>2025-03569</t>
  </si>
  <si>
    <t>2025-03570</t>
  </si>
  <si>
    <t>2025-03571</t>
  </si>
  <si>
    <t>2025-03573</t>
  </si>
  <si>
    <t>2025-03698</t>
  </si>
  <si>
    <t>2025-03699</t>
  </si>
  <si>
    <t>2025-03700</t>
  </si>
  <si>
    <t>2025-03701</t>
  </si>
  <si>
    <t>2025-03702</t>
  </si>
  <si>
    <t>2025-03887</t>
  </si>
  <si>
    <t>ROTA  C</t>
  </si>
  <si>
    <t>0 a 160ºC</t>
  </si>
  <si>
    <t>CONDUTIVÍMETRO DIGITAL</t>
  </si>
  <si>
    <t>2025-03685</t>
  </si>
  <si>
    <t>SALA DE FRACIONAMENTO</t>
  </si>
  <si>
    <t>2025-03587</t>
  </si>
  <si>
    <t>2025-03680</t>
  </si>
  <si>
    <t>2025-03650</t>
  </si>
  <si>
    <t>2025-03588</t>
  </si>
  <si>
    <t>2025-04096</t>
  </si>
  <si>
    <t>2025-04099</t>
  </si>
  <si>
    <t>2025-03574</t>
  </si>
  <si>
    <t>2025-03580</t>
  </si>
  <si>
    <t>2025-03575</t>
  </si>
  <si>
    <t>2025-03576</t>
  </si>
  <si>
    <t>2025-03577</t>
  </si>
  <si>
    <t>2025-03578</t>
  </si>
  <si>
    <t>2025-03579</t>
  </si>
  <si>
    <t>2025-03556</t>
  </si>
  <si>
    <t>2025-03561</t>
  </si>
  <si>
    <t>2025-03566</t>
  </si>
  <si>
    <t>2025-03567</t>
  </si>
  <si>
    <t>2025-03560</t>
  </si>
  <si>
    <t>2025-03559</t>
  </si>
  <si>
    <t>2025-03551</t>
  </si>
  <si>
    <t>2025-03553</t>
  </si>
  <si>
    <t>2025-03554</t>
  </si>
  <si>
    <t>2025-03552</t>
  </si>
  <si>
    <t>BURE-0007</t>
  </si>
  <si>
    <t>0 .. 50 mL</t>
  </si>
  <si>
    <t>10 .. 50 mL</t>
  </si>
  <si>
    <t>2025-03558</t>
  </si>
  <si>
    <t>ICAVI</t>
  </si>
  <si>
    <t>PSH-1001</t>
  </si>
  <si>
    <t>PT-3001</t>
  </si>
  <si>
    <t>TE-3000A</t>
  </si>
  <si>
    <t>0 a 1.200 ◦C</t>
  </si>
  <si>
    <t>TE-3001A</t>
  </si>
  <si>
    <t>0 a 450◦C</t>
  </si>
  <si>
    <t>TE-3002A</t>
  </si>
  <si>
    <t>TE-3003A</t>
  </si>
  <si>
    <t>TE-3004A</t>
  </si>
  <si>
    <t>TE-3006A</t>
  </si>
  <si>
    <t>TI-3000A</t>
  </si>
  <si>
    <t>TI-3001A</t>
  </si>
  <si>
    <t>TI-3002A</t>
  </si>
  <si>
    <t>TI-3003A</t>
  </si>
  <si>
    <t>TI-3004A</t>
  </si>
  <si>
    <t>LI-1001</t>
  </si>
  <si>
    <t>INDICADOR DE NÍVEL
(MALHA 4 a 20 mA)</t>
  </si>
  <si>
    <t>0 .. 100 %</t>
  </si>
  <si>
    <t>PIT-3001</t>
  </si>
  <si>
    <t>PI-1001</t>
  </si>
  <si>
    <t>0 a 30 bar</t>
  </si>
  <si>
    <t>ºC</t>
  </si>
  <si>
    <t>2025-03582</t>
  </si>
  <si>
    <t>2025-04472</t>
  </si>
  <si>
    <t>2025-04474</t>
  </si>
  <si>
    <t>2025-04462</t>
  </si>
  <si>
    <t>2025-04463</t>
  </si>
  <si>
    <t>2025-04464</t>
  </si>
  <si>
    <t>2025-04465</t>
  </si>
  <si>
    <t>2025-04466</t>
  </si>
  <si>
    <t>2025-04467</t>
  </si>
  <si>
    <t>2025-03635</t>
  </si>
  <si>
    <t>2025-03636</t>
  </si>
  <si>
    <t>2025-03637</t>
  </si>
  <si>
    <t>2025-03638</t>
  </si>
  <si>
    <t>2025-03639</t>
  </si>
  <si>
    <t>2025-03641</t>
  </si>
  <si>
    <t>2025-03642</t>
  </si>
  <si>
    <t>2025-03651</t>
  </si>
  <si>
    <t>2025-03654</t>
  </si>
  <si>
    <t>PI-9100</t>
  </si>
  <si>
    <t>PI-8542</t>
  </si>
  <si>
    <t>PI-8541</t>
  </si>
  <si>
    <t>RINSSER</t>
  </si>
  <si>
    <t>LATA 1,7KG</t>
  </si>
  <si>
    <t>ZB3</t>
  </si>
  <si>
    <t>ZB2</t>
  </si>
  <si>
    <t xml:space="preserve">2025-03555
</t>
  </si>
  <si>
    <t>2025-03734</t>
  </si>
  <si>
    <t>2025-03735</t>
  </si>
  <si>
    <t>2025-03736</t>
  </si>
  <si>
    <t>2025-03737</t>
  </si>
  <si>
    <t>2025-03738</t>
  </si>
  <si>
    <t>2025-03740</t>
  </si>
  <si>
    <t>2025-03739</t>
  </si>
  <si>
    <t>2025-03727</t>
  </si>
  <si>
    <t>2025-03604</t>
  </si>
  <si>
    <t>2025-03612</t>
  </si>
  <si>
    <t>2025-03613</t>
  </si>
  <si>
    <t>0 a 21 kgf/cm</t>
  </si>
  <si>
    <t>2025-03581</t>
  </si>
  <si>
    <t>15 .. 1000 µS/cm</t>
  </si>
  <si>
    <t xml:space="preserve"> 10 a 45 ◦C</t>
  </si>
  <si>
    <t>2025-03585</t>
  </si>
  <si>
    <t>2025-03586</t>
  </si>
  <si>
    <t>2024-10173</t>
  </si>
  <si>
    <t>R-2889/25</t>
  </si>
  <si>
    <t>R-2883/25</t>
  </si>
  <si>
    <t>E-2886/25</t>
  </si>
  <si>
    <t>R-2885/25</t>
  </si>
  <si>
    <t>R-2884/25</t>
  </si>
  <si>
    <t>R-2887/25</t>
  </si>
  <si>
    <t>R-2888/25</t>
  </si>
  <si>
    <t>R-2881/25</t>
  </si>
  <si>
    <t>R-2880/25</t>
  </si>
  <si>
    <t>R-2882/5</t>
  </si>
  <si>
    <t>BAL-0062</t>
  </si>
  <si>
    <t>BAL-0063</t>
  </si>
  <si>
    <t>2025-03681</t>
  </si>
  <si>
    <t>0 a 40 bar</t>
  </si>
  <si>
    <t>0 a 8400 kg/h</t>
  </si>
  <si>
    <t>2025-04686</t>
  </si>
  <si>
    <t>2025-04794</t>
  </si>
  <si>
    <t>2025-04670</t>
  </si>
  <si>
    <t>2025-04460</t>
  </si>
  <si>
    <t>250 a 450 ◦C</t>
  </si>
  <si>
    <t>220 a 300◦C</t>
  </si>
  <si>
    <t>110 a 190◦C</t>
  </si>
  <si>
    <t>2025-04504</t>
  </si>
  <si>
    <t>0 a 15kgf/cm²</t>
  </si>
  <si>
    <t>0 a 3kgf/cm²</t>
  </si>
  <si>
    <t>2025-04503</t>
  </si>
  <si>
    <t>0 a 7kgf/cm²</t>
  </si>
  <si>
    <t>2025-03741</t>
  </si>
  <si>
    <t>TÚNEL 1</t>
  </si>
  <si>
    <t>MESPACK 1 e 2</t>
  </si>
  <si>
    <t>0 A 11000g</t>
  </si>
  <si>
    <t>VOLPACK</t>
  </si>
  <si>
    <t>10 a 9400g</t>
  </si>
  <si>
    <t>2025-04712</t>
  </si>
  <si>
    <t>2025-04713</t>
  </si>
  <si>
    <t>2025-04787</t>
  </si>
  <si>
    <t>2025-04733</t>
  </si>
  <si>
    <t>PI-0001.1</t>
  </si>
  <si>
    <t>2025-04708</t>
  </si>
  <si>
    <t>2025-04800</t>
  </si>
  <si>
    <t>2025-04801</t>
  </si>
  <si>
    <t>2025-04803</t>
  </si>
  <si>
    <t>2025-04804</t>
  </si>
  <si>
    <t>2025-05172</t>
  </si>
  <si>
    <t>2025-04802</t>
  </si>
  <si>
    <t>0 a 130°C</t>
  </si>
  <si>
    <t>BAL-0049</t>
  </si>
  <si>
    <t>2025-04714</t>
  </si>
  <si>
    <t>2025-04720</t>
  </si>
  <si>
    <t>2025-04709</t>
  </si>
  <si>
    <t>2025-04672</t>
  </si>
  <si>
    <t>PAQ-0083</t>
  </si>
  <si>
    <t>2025-04715</t>
  </si>
  <si>
    <t>0 a 3000 L/min</t>
  </si>
  <si>
    <t>2025-05171</t>
  </si>
  <si>
    <t>2025-04734</t>
  </si>
  <si>
    <t>2025-04735</t>
  </si>
  <si>
    <t>2025-04736</t>
  </si>
  <si>
    <t>2025-04737</t>
  </si>
  <si>
    <t>2025-04739</t>
  </si>
  <si>
    <t>2025-04738</t>
  </si>
  <si>
    <t>2025-04740</t>
  </si>
  <si>
    <t>2025-04741</t>
  </si>
  <si>
    <t>2025-04742</t>
  </si>
  <si>
    <t>2025-04743</t>
  </si>
  <si>
    <t>2025-04744</t>
  </si>
  <si>
    <t>2025-04745</t>
  </si>
  <si>
    <t>2025-04746</t>
  </si>
  <si>
    <t>2025-04691</t>
  </si>
  <si>
    <t>2025-04692</t>
  </si>
  <si>
    <t>2025-04693</t>
  </si>
  <si>
    <t>2025-04694</t>
  </si>
  <si>
    <t>2025-04695</t>
  </si>
  <si>
    <t>2025-04696</t>
  </si>
  <si>
    <t>2025-04679</t>
  </si>
  <si>
    <t>BAL-0064</t>
  </si>
  <si>
    <t>1 .. 50 kg</t>
  </si>
  <si>
    <t>2025-05177</t>
  </si>
  <si>
    <t>2025-04676</t>
  </si>
  <si>
    <t>2025-05496</t>
  </si>
  <si>
    <t>2025-04699</t>
  </si>
  <si>
    <t>2025-04700</t>
  </si>
  <si>
    <t>2025-04701</t>
  </si>
  <si>
    <t>2025-04704</t>
  </si>
  <si>
    <t>2025-04705</t>
  </si>
  <si>
    <t>2025-04702</t>
  </si>
  <si>
    <t>2025-04703</t>
  </si>
  <si>
    <t>2025-04707</t>
  </si>
  <si>
    <t>2025-05490</t>
  </si>
  <si>
    <t>2025-05491</t>
  </si>
  <si>
    <t>2025-05492</t>
  </si>
  <si>
    <t>2025-05497</t>
  </si>
  <si>
    <t>2025-05498</t>
  </si>
  <si>
    <t>2025-04697</t>
  </si>
  <si>
    <t>2025-05493</t>
  </si>
  <si>
    <t>2025-05494</t>
  </si>
  <si>
    <t>2025-04698</t>
  </si>
  <si>
    <t>2025-04763</t>
  </si>
  <si>
    <t>2025-04747</t>
  </si>
  <si>
    <t>2025-04748</t>
  </si>
  <si>
    <t>2025-04749</t>
  </si>
  <si>
    <t>2025-04750</t>
  </si>
  <si>
    <t>2025-04751</t>
  </si>
  <si>
    <t>20255-04752</t>
  </si>
  <si>
    <t>2025-04767</t>
  </si>
  <si>
    <t>2025-04753</t>
  </si>
  <si>
    <t>2025-04754</t>
  </si>
  <si>
    <t>2025-04755</t>
  </si>
  <si>
    <t>2025-04756</t>
  </si>
  <si>
    <t>2025-04758</t>
  </si>
  <si>
    <t>2025-04765</t>
  </si>
  <si>
    <t>2025-04759</t>
  </si>
  <si>
    <t>2025-04757</t>
  </si>
  <si>
    <t>2025-04760</t>
  </si>
  <si>
    <t>2025-04761</t>
  </si>
  <si>
    <t>2025-04762</t>
  </si>
  <si>
    <t>2025-04766</t>
  </si>
  <si>
    <t>2025-05617</t>
  </si>
  <si>
    <t>2025-05616</t>
  </si>
  <si>
    <t>2025-05619</t>
  </si>
  <si>
    <t>2025-05618</t>
  </si>
  <si>
    <t>2025-05502</t>
  </si>
  <si>
    <t>2025-05501</t>
  </si>
  <si>
    <t>2025-05503</t>
  </si>
  <si>
    <t>2025-05504</t>
  </si>
  <si>
    <t>2025-05615</t>
  </si>
  <si>
    <t>2025-04788</t>
  </si>
  <si>
    <t>2025-05613</t>
  </si>
  <si>
    <t>2025-05614</t>
  </si>
  <si>
    <t>2025-04732</t>
  </si>
  <si>
    <t>2025-04789</t>
  </si>
  <si>
    <t>2025-04790</t>
  </si>
  <si>
    <t>2025-05499</t>
  </si>
  <si>
    <t>2025-05611</t>
  </si>
  <si>
    <t>2025-05612</t>
  </si>
  <si>
    <t>2025-05505</t>
  </si>
  <si>
    <t>2025-05506</t>
  </si>
  <si>
    <t>2025-05507</t>
  </si>
  <si>
    <t>2025-05508</t>
  </si>
  <si>
    <t>TT-03B.1</t>
  </si>
  <si>
    <t>WIT-9000</t>
  </si>
  <si>
    <t>TRANSMISSOR DE PESO</t>
  </si>
  <si>
    <t>50 .. 350 kg</t>
  </si>
  <si>
    <t>WIT-9001</t>
  </si>
  <si>
    <t>2025-04806</t>
  </si>
  <si>
    <t>2025-04681</t>
  </si>
  <si>
    <t>2025-04783</t>
  </si>
  <si>
    <t>2025-04784</t>
  </si>
  <si>
    <t>PI-0006</t>
  </si>
  <si>
    <t>MANOMETRO ANALOGICO</t>
  </si>
  <si>
    <t>0 a 20 kgf/cm²</t>
  </si>
  <si>
    <t>2025-04786</t>
  </si>
  <si>
    <t>TIT-6060</t>
  </si>
  <si>
    <t>0 .. 150°C</t>
  </si>
  <si>
    <t>TIT-6080</t>
  </si>
  <si>
    <t>TIT-6040</t>
  </si>
  <si>
    <t>TIT-6050</t>
  </si>
  <si>
    <t>TIT-6090</t>
  </si>
  <si>
    <t>2025-04728</t>
  </si>
  <si>
    <t>2025-04677</t>
  </si>
  <si>
    <t>2025-05495</t>
  </si>
  <si>
    <t>20255-05500</t>
  </si>
  <si>
    <t>TT-003B</t>
  </si>
  <si>
    <t>2025-05998</t>
  </si>
  <si>
    <t>WIT-8000</t>
  </si>
  <si>
    <t>WIT-8001</t>
  </si>
  <si>
    <t>TI-8011</t>
  </si>
  <si>
    <t>0 .. 250°C</t>
  </si>
  <si>
    <t>90 .. 130 °C</t>
  </si>
  <si>
    <t>TI-8012</t>
  </si>
  <si>
    <t>0 .. 250 °C</t>
  </si>
  <si>
    <t>TI-8013</t>
  </si>
  <si>
    <t>TI-8014</t>
  </si>
  <si>
    <t>TI-8021</t>
  </si>
  <si>
    <t>TI-8022</t>
  </si>
  <si>
    <t>TI-8023</t>
  </si>
  <si>
    <t>TI-8024</t>
  </si>
  <si>
    <t>2025-06040</t>
  </si>
  <si>
    <t>2025-06041</t>
  </si>
  <si>
    <t>2025-06042</t>
  </si>
  <si>
    <t>2025-06043</t>
  </si>
  <si>
    <t>2025-06044</t>
  </si>
  <si>
    <t>2025-06000</t>
  </si>
  <si>
    <t>2025-06045</t>
  </si>
  <si>
    <t>2025-06046</t>
  </si>
  <si>
    <t>2025-06047</t>
  </si>
  <si>
    <t>2025-06048</t>
  </si>
  <si>
    <t>2025-06049</t>
  </si>
  <si>
    <t>2025-06050</t>
  </si>
  <si>
    <t>2025-06051</t>
  </si>
  <si>
    <t>2025-06052</t>
  </si>
  <si>
    <t>2025-06023</t>
  </si>
  <si>
    <t>2025-06024</t>
  </si>
  <si>
    <t>2025-06074</t>
  </si>
  <si>
    <t>2025-06075</t>
  </si>
  <si>
    <t>2025-06076</t>
  </si>
  <si>
    <t>2025-06077</t>
  </si>
  <si>
    <t>2025-06078</t>
  </si>
  <si>
    <t>2025-06001</t>
  </si>
  <si>
    <t>2025-06003</t>
  </si>
  <si>
    <t>2025-06065</t>
  </si>
  <si>
    <t>2025-06067</t>
  </si>
  <si>
    <t>2025-06068</t>
  </si>
  <si>
    <t>2025-06069</t>
  </si>
  <si>
    <t>RF-0005</t>
  </si>
  <si>
    <t>2025-06104</t>
  </si>
  <si>
    <t>2025-06105</t>
  </si>
  <si>
    <t>2025-06027</t>
  </si>
  <si>
    <t>2025-06087</t>
  </si>
  <si>
    <t>2025-06113</t>
  </si>
  <si>
    <t>2025-06055</t>
  </si>
  <si>
    <t>2025-06057</t>
  </si>
  <si>
    <t>2025-06070</t>
  </si>
  <si>
    <t>2025-06071</t>
  </si>
  <si>
    <t>2025-06072</t>
  </si>
  <si>
    <t>2025-06073</t>
  </si>
  <si>
    <t>PAQ-0085</t>
  </si>
  <si>
    <t>2025-06085</t>
  </si>
  <si>
    <t>75 .. 135 °C</t>
  </si>
  <si>
    <t>2025-05610</t>
  </si>
  <si>
    <t>PRESSÃO INTERNA</t>
  </si>
  <si>
    <t>2025-04805</t>
  </si>
  <si>
    <t>AUTOCLAVE FERLO 6</t>
  </si>
  <si>
    <t>2025-05622</t>
  </si>
  <si>
    <t>IRI-TER-9140</t>
  </si>
  <si>
    <t>IRI-TE-9250B</t>
  </si>
  <si>
    <t>IRI-TE-9260A</t>
  </si>
  <si>
    <t>IRI-TE-9260B</t>
  </si>
  <si>
    <t>IRI-TE-9270A</t>
  </si>
  <si>
    <t>IRI-TE-9270B</t>
  </si>
  <si>
    <t>IRI-TE-9280A</t>
  </si>
  <si>
    <t>IRI-TE-9280B</t>
  </si>
  <si>
    <t>IRI-TE-21</t>
  </si>
  <si>
    <t>IRI-TE-20</t>
  </si>
  <si>
    <t>IRI-TE-55</t>
  </si>
  <si>
    <t>IRI-TE-6000A</t>
  </si>
  <si>
    <t>IRI-TE-6000B</t>
  </si>
  <si>
    <t>IRI-TE-6040B</t>
  </si>
  <si>
    <t>IRI-TE-6050B</t>
  </si>
  <si>
    <t>IRI-TE-25</t>
  </si>
  <si>
    <t>IRI-TER-9260</t>
  </si>
  <si>
    <t>IRI-TER-9280</t>
  </si>
  <si>
    <t>IRI-TER-0132</t>
  </si>
  <si>
    <t>IRI-TI-9100A</t>
  </si>
  <si>
    <t>IRI-TI-9100B</t>
  </si>
  <si>
    <t>IRI-TI-9110A</t>
  </si>
  <si>
    <t>IRI-TI-9110B</t>
  </si>
  <si>
    <t>IRI-TI-9120A</t>
  </si>
  <si>
    <t>IRI-TI-9120B</t>
  </si>
  <si>
    <t>IRI-TI-9130A</t>
  </si>
  <si>
    <t>IRI-TI-9130B</t>
  </si>
  <si>
    <t>IRI-TI-9140A</t>
  </si>
  <si>
    <t>IRI-TI-9140B</t>
  </si>
  <si>
    <t>IRI-TI-9250A</t>
  </si>
  <si>
    <t>IRI-TI-9250B</t>
  </si>
  <si>
    <t>IRI-TI-9260A</t>
  </si>
  <si>
    <t>IRI-TI-9260B</t>
  </si>
  <si>
    <t>IRI-TI-9270A</t>
  </si>
  <si>
    <t>IRI-TI-9270B</t>
  </si>
  <si>
    <t>IRI-TI-9280A</t>
  </si>
  <si>
    <t>IRI-TI-9280B</t>
  </si>
  <si>
    <t>IRI-TI-6040A</t>
  </si>
  <si>
    <t>IRI-TI-6040B</t>
  </si>
  <si>
    <t>IRI-TI-6080A</t>
  </si>
  <si>
    <t>IRI-TI-6080B</t>
  </si>
  <si>
    <t>IRI-TI-6090A</t>
  </si>
  <si>
    <t>IRI-TI-6090B</t>
  </si>
  <si>
    <t>IRI-TI-6100A</t>
  </si>
  <si>
    <t>IRI-TI-6100B</t>
  </si>
  <si>
    <t>IRI-TI-6070A</t>
  </si>
  <si>
    <t>IRI-TI-6070B</t>
  </si>
  <si>
    <t>IRI-TT-21</t>
  </si>
  <si>
    <t>IRI-TT-20</t>
  </si>
  <si>
    <t>IRI-TT-25</t>
  </si>
  <si>
    <t>IRI-TT55</t>
  </si>
  <si>
    <t>ENTRADA DE PASTEURIZAÇÃO</t>
  </si>
  <si>
    <t>FI-001</t>
  </si>
  <si>
    <t xml:space="preserve">INDICADOR DE VAZÃO </t>
  </si>
  <si>
    <t>0 a 18m³/h</t>
  </si>
  <si>
    <t>2025-06002</t>
  </si>
  <si>
    <t>P25-34885-1</t>
  </si>
  <si>
    <t>P25-34886-1</t>
  </si>
  <si>
    <t>2025-06115</t>
  </si>
  <si>
    <t>TI-8115</t>
  </si>
  <si>
    <t>0 .. 200 °C</t>
  </si>
  <si>
    <t>TE-8115</t>
  </si>
  <si>
    <t>-200 .. 600 °C</t>
  </si>
  <si>
    <t>2025-06066</t>
  </si>
  <si>
    <t>2025-06096</t>
  </si>
  <si>
    <t>SAÍDA RESFRIAMENTO</t>
  </si>
  <si>
    <t>2025-06406</t>
  </si>
  <si>
    <t>2025-06408</t>
  </si>
  <si>
    <t>2025-06407</t>
  </si>
  <si>
    <t>PIT-653</t>
  </si>
  <si>
    <t>0 .. 10 bar</t>
  </si>
  <si>
    <t>PI-653</t>
  </si>
  <si>
    <t>2025-06409</t>
  </si>
  <si>
    <t>2025-06410</t>
  </si>
  <si>
    <t xml:space="preserve"> NÍVEL</t>
  </si>
  <si>
    <t>2025-06106</t>
  </si>
  <si>
    <t>2025-05620</t>
  </si>
  <si>
    <t>IRI-REL-0005</t>
  </si>
  <si>
    <t>IRI-PH0024</t>
  </si>
  <si>
    <t>IRI-4935</t>
  </si>
  <si>
    <t>IRI-4733</t>
  </si>
  <si>
    <t>IRI-FT5-01</t>
  </si>
  <si>
    <t>IRI-FI5-01</t>
  </si>
  <si>
    <t>IRI-LIT-0003</t>
  </si>
  <si>
    <t>IRI-BAL-0018</t>
  </si>
  <si>
    <t>IRI-CSC-0012</t>
  </si>
  <si>
    <t>IRI-GAU-0001</t>
  </si>
  <si>
    <t>IRI-MD-0001</t>
  </si>
  <si>
    <t>IRI-MDS-0001</t>
  </si>
  <si>
    <t>IRI-MIC-0022</t>
  </si>
  <si>
    <t>IRI-PAQ-0083</t>
  </si>
  <si>
    <t>IRI-PAQ-0084</t>
  </si>
  <si>
    <t>IRI-PI-6001</t>
  </si>
  <si>
    <t>IRI-PI-6031</t>
  </si>
  <si>
    <t>IRI-PI-6051</t>
  </si>
  <si>
    <t>IRI-PI-6060A</t>
  </si>
  <si>
    <t>IRI-PI-6060B</t>
  </si>
  <si>
    <t>IRI-PI-6061</t>
  </si>
  <si>
    <t>IRI-PI-6070A</t>
  </si>
  <si>
    <t>IRI-PI-6070B</t>
  </si>
  <si>
    <t>IRI-PI-6071</t>
  </si>
  <si>
    <t>IRI-PI-6080A</t>
  </si>
  <si>
    <t>IRI-PI-6080B</t>
  </si>
  <si>
    <t>IRI-PI-6081</t>
  </si>
  <si>
    <t>IRI-PI-6090A</t>
  </si>
  <si>
    <t>IRI-PI-6090B</t>
  </si>
  <si>
    <t>IRI-PI-6091</t>
  </si>
  <si>
    <t>IRI-PI-6100A</t>
  </si>
  <si>
    <t>IRI-PI-6100B</t>
  </si>
  <si>
    <t>IRI-PI-6101</t>
  </si>
  <si>
    <t>IRI-PI-9100A</t>
  </si>
  <si>
    <t>IRI-PI-9100B</t>
  </si>
  <si>
    <t>IRI-PI-9101</t>
  </si>
  <si>
    <t>IRI-PI-9110A</t>
  </si>
  <si>
    <t>IRI-PI-9110B</t>
  </si>
  <si>
    <t>IRI-PI-9111</t>
  </si>
  <si>
    <t>IRI-PI-9120A</t>
  </si>
  <si>
    <t>IRI-PI-9120B</t>
  </si>
  <si>
    <t>IRI-PI-9121</t>
  </si>
  <si>
    <t>IRI-PI-9130A</t>
  </si>
  <si>
    <t>IRI-PI-9130B</t>
  </si>
  <si>
    <t>IRI-PI-9131</t>
  </si>
  <si>
    <t>IRI-PI-9140A</t>
  </si>
  <si>
    <t>IRI-PI-9140B</t>
  </si>
  <si>
    <t>IRI-PI-9141</t>
  </si>
  <si>
    <t>IRI-PI-9250A</t>
  </si>
  <si>
    <t>IRI-PI-9250B</t>
  </si>
  <si>
    <t>IRI-PI-9251</t>
  </si>
  <si>
    <t>IRI-PI-9260A</t>
  </si>
  <si>
    <t>IRI-PI-9260B</t>
  </si>
  <si>
    <t>IRI-PI-9261</t>
  </si>
  <si>
    <t>IRI-PI-9270A</t>
  </si>
  <si>
    <t>IRI-PI-9270B</t>
  </si>
  <si>
    <t>IRI-PI-9271</t>
  </si>
  <si>
    <t>IRI-PI-9280A</t>
  </si>
  <si>
    <t>IRI-PI-9280B</t>
  </si>
  <si>
    <t>IRI-PI-9281</t>
  </si>
  <si>
    <t>IRI-PS-0001</t>
  </si>
  <si>
    <t>IRI-PT-0002</t>
  </si>
  <si>
    <t>IRI-PT-0003</t>
  </si>
  <si>
    <t>IRI-PT-6030</t>
  </si>
  <si>
    <t>IRI-PT-6040</t>
  </si>
  <si>
    <t>IRI-PT-6041</t>
  </si>
  <si>
    <t>IRI-PT-6050</t>
  </si>
  <si>
    <t>IRI-PT-6051</t>
  </si>
  <si>
    <t>IRI-PT-6060</t>
  </si>
  <si>
    <t>IRI-PT-6070</t>
  </si>
  <si>
    <t>IRI-PT-6071</t>
  </si>
  <si>
    <t>IRI-PT-6080</t>
  </si>
  <si>
    <t>IRI-PT-6081</t>
  </si>
  <si>
    <t>IRI-PT-6090</t>
  </si>
  <si>
    <t>IRI-PT-9100</t>
  </si>
  <si>
    <t>IRI-PT-9110</t>
  </si>
  <si>
    <t>IRI-PT-9120</t>
  </si>
  <si>
    <t>IRI-PT-9130</t>
  </si>
  <si>
    <t>IRI-PT-9140</t>
  </si>
  <si>
    <t>IRI-PT-9250</t>
  </si>
  <si>
    <t>IRI-PT-9260</t>
  </si>
  <si>
    <t>IRI-PT-9280</t>
  </si>
  <si>
    <t>IRI-RF-0023</t>
  </si>
  <si>
    <t>IRI-TT-0002</t>
  </si>
  <si>
    <t>IRI-WIT4401A</t>
  </si>
  <si>
    <t>IRI-IV2500</t>
  </si>
  <si>
    <t>IRI-CLO-0001</t>
  </si>
  <si>
    <t>IRI-TT-4001</t>
  </si>
  <si>
    <t>IRI-TI-4102</t>
  </si>
  <si>
    <t>IRI-TT-4102</t>
  </si>
  <si>
    <t>IRI-TT-4104</t>
  </si>
  <si>
    <t>IRI-TI-4104</t>
  </si>
  <si>
    <t>IRI-TT-4201</t>
  </si>
  <si>
    <t>IRI-TT-4204</t>
  </si>
  <si>
    <t>IRI-REL-0004</t>
  </si>
  <si>
    <t>IRI-TEE6020A</t>
  </si>
  <si>
    <t>IRI-TIA6009A</t>
  </si>
  <si>
    <t>IRI-TEA6009A</t>
  </si>
  <si>
    <t>IRI-TE6026A</t>
  </si>
  <si>
    <t>IRI-TE6025A</t>
  </si>
  <si>
    <t>IRI-TE6023A</t>
  </si>
  <si>
    <t>IRI-TED6017A</t>
  </si>
  <si>
    <t>IRI-TE6027A</t>
  </si>
  <si>
    <t>IRI-TEC6014A</t>
  </si>
  <si>
    <t>IRI-TID6017A</t>
  </si>
  <si>
    <t>IRI-TIC6014A</t>
  </si>
  <si>
    <t>IRI-TIE6020A</t>
  </si>
  <si>
    <t>IRI-TI6026A</t>
  </si>
  <si>
    <t>IRI-TI6025A</t>
  </si>
  <si>
    <t>IRI-TI6027A</t>
  </si>
  <si>
    <t>IRI-TI6023A</t>
  </si>
  <si>
    <t>IRI-CIT6023A</t>
  </si>
  <si>
    <t>IRI-CIT6025A</t>
  </si>
  <si>
    <t>IRI-CIT6026A</t>
  </si>
  <si>
    <t>IRI-CIT6027A</t>
  </si>
  <si>
    <t>IRI-FITA6009</t>
  </si>
  <si>
    <t>IRI-FIA6009A</t>
  </si>
  <si>
    <t>IRI-FITC6014</t>
  </si>
  <si>
    <t>IRI-FIC6014A</t>
  </si>
  <si>
    <t>IRI-FITD6017</t>
  </si>
  <si>
    <t>IRI-FID6017A</t>
  </si>
  <si>
    <t>IRI-FITE6020</t>
  </si>
  <si>
    <t>IRI-FIE6020A</t>
  </si>
  <si>
    <t>IRI-LIC-4004</t>
  </si>
  <si>
    <t>IRI-LIC-4104</t>
  </si>
  <si>
    <t>IRI-LIC-4204</t>
  </si>
  <si>
    <t>IRI-LIC-4304</t>
  </si>
  <si>
    <t>IRI-LIC-4404</t>
  </si>
  <si>
    <t>IRI-LIC-4504</t>
  </si>
  <si>
    <t>IRI-LIT-4004</t>
  </si>
  <si>
    <t>IRI-LIT-4104</t>
  </si>
  <si>
    <t>IRI-LIT-4204</t>
  </si>
  <si>
    <t>IRI-LIT-4304</t>
  </si>
  <si>
    <t>IRI-LIT-4404</t>
  </si>
  <si>
    <t>IRI-LIT-4504</t>
  </si>
  <si>
    <t>IRI-TI-1100A</t>
  </si>
  <si>
    <t>IRI-TI-1100B</t>
  </si>
  <si>
    <t>IRI-TI-1200A</t>
  </si>
  <si>
    <t>IRI-TI-1200B</t>
  </si>
  <si>
    <t>IRI-TI-1300A</t>
  </si>
  <si>
    <t>IRI-TI-1300B</t>
  </si>
  <si>
    <t>IRI-TI-1400A</t>
  </si>
  <si>
    <t>IRI-TI-1400B</t>
  </si>
  <si>
    <t>IRI-TI-1401A</t>
  </si>
  <si>
    <t>IRI-TI-1401B</t>
  </si>
  <si>
    <t>IRI-TI-1500A</t>
  </si>
  <si>
    <t>IRI-TI-1500B</t>
  </si>
  <si>
    <t>IRI-TI-1600A</t>
  </si>
  <si>
    <t>IRI-TI-1600B</t>
  </si>
  <si>
    <t>IRI-TI-5001A</t>
  </si>
  <si>
    <t>IRI-TI-5001B</t>
  </si>
  <si>
    <t>IRI-TI-5002B</t>
  </si>
  <si>
    <t>IRI-TI-5003A</t>
  </si>
  <si>
    <t>IRI-TI-5201A</t>
  </si>
  <si>
    <t>IRI-TI-5201B</t>
  </si>
  <si>
    <t>IRI-TI-5202A</t>
  </si>
  <si>
    <t>IRI-TI-5401A</t>
  </si>
  <si>
    <t>IRI-TI-5401B</t>
  </si>
  <si>
    <t>IRI-TI-5402A</t>
  </si>
  <si>
    <t>IRI-TI-5402B</t>
  </si>
  <si>
    <t>IRI-TT-1100A</t>
  </si>
  <si>
    <t>IRI-TT-1100B</t>
  </si>
  <si>
    <t>IRI-TT-1200A</t>
  </si>
  <si>
    <t>IRI-TT-1200B</t>
  </si>
  <si>
    <t>IRI-TT-1300A</t>
  </si>
  <si>
    <t>IRI-TT-1300B</t>
  </si>
  <si>
    <t>IRI-TT-1400A</t>
  </si>
  <si>
    <t>IRI-TT-1400B</t>
  </si>
  <si>
    <t>IRI-TT-1401A</t>
  </si>
  <si>
    <t>IRI-TT-1401B</t>
  </si>
  <si>
    <t>IRI-TT-1500A</t>
  </si>
  <si>
    <t>IRI-TT-1500B</t>
  </si>
  <si>
    <t>IRI-TT-1600A</t>
  </si>
  <si>
    <t>IRI-TT-1600B</t>
  </si>
  <si>
    <t>IRI-TT-5001A</t>
  </si>
  <si>
    <t>IRI-TT-5001B</t>
  </si>
  <si>
    <t>IRI-TT-5002A</t>
  </si>
  <si>
    <t>IRI-TT-5002B</t>
  </si>
  <si>
    <t>IRI-TT-5003A</t>
  </si>
  <si>
    <t>IRI-TT-5003B</t>
  </si>
  <si>
    <t>IRI-TT-520IA</t>
  </si>
  <si>
    <t>IRI-TT-520IB</t>
  </si>
  <si>
    <t>IRI-TT-5202A</t>
  </si>
  <si>
    <t>IRI-TT-5202B</t>
  </si>
  <si>
    <t>IRI-TT-5401A</t>
  </si>
  <si>
    <t>IRI-TT-5401B</t>
  </si>
  <si>
    <t>IRI-TT-5402A</t>
  </si>
  <si>
    <t>IRI-TT-5402B</t>
  </si>
  <si>
    <t>AG-0002</t>
  </si>
  <si>
    <t>1310 rpm</t>
  </si>
  <si>
    <t>2025-06022</t>
  </si>
  <si>
    <r>
      <t xml:space="preserve">N° CERTIFICADO 
</t>
    </r>
    <r>
      <rPr>
        <b/>
        <sz val="9"/>
        <color rgb="FFFF0000"/>
        <rFont val="Calibri"/>
        <family val="2"/>
      </rPr>
      <t>CERTIFICATE NUMBER</t>
    </r>
  </si>
  <si>
    <t>2025-06029</t>
  </si>
  <si>
    <t>2025-06028</t>
  </si>
  <si>
    <t>2025-06033</t>
  </si>
  <si>
    <t>2025-06034</t>
  </si>
  <si>
    <t>2025-06082</t>
  </si>
  <si>
    <t>2025-06102</t>
  </si>
  <si>
    <t>2025-06035</t>
  </si>
  <si>
    <t>2025-06101</t>
  </si>
  <si>
    <t>2025-06030</t>
  </si>
  <si>
    <t>2025-06058</t>
  </si>
  <si>
    <t>PH-0031</t>
  </si>
  <si>
    <t>2025-06031</t>
  </si>
  <si>
    <t>2025-06060</t>
  </si>
  <si>
    <t>IRITICA20007</t>
  </si>
  <si>
    <t>IRITICA20009</t>
  </si>
  <si>
    <t>IRITICA20037</t>
  </si>
  <si>
    <t>IRITICA20039</t>
  </si>
  <si>
    <t>IRITICA20057</t>
  </si>
  <si>
    <t>IRITICA20059</t>
  </si>
  <si>
    <t>IRITEMB04007</t>
  </si>
  <si>
    <t>IRITEMB04009</t>
  </si>
  <si>
    <t>IRITEMB05007</t>
  </si>
  <si>
    <t>IRI-GAB0016</t>
  </si>
  <si>
    <t>IRI-GAB0017</t>
  </si>
  <si>
    <t>IRI-GAB0020</t>
  </si>
  <si>
    <t>IRITEMB02703</t>
  </si>
  <si>
    <t>IRITEMB03903</t>
  </si>
  <si>
    <t>IRITEMB04403</t>
  </si>
  <si>
    <t>IRITICA20067</t>
  </si>
  <si>
    <t>IRITICA20069</t>
  </si>
  <si>
    <t>IRITEMB00407</t>
  </si>
  <si>
    <t>IRITEMB00409</t>
  </si>
  <si>
    <t>IRITEMB03907</t>
  </si>
  <si>
    <t>IRITEMB03909</t>
  </si>
  <si>
    <t>IRITEMB05009</t>
  </si>
  <si>
    <t>IRI-TE4800B</t>
  </si>
  <si>
    <t>IRI-TE4801A</t>
  </si>
  <si>
    <t>IRI-TE4801B</t>
  </si>
  <si>
    <t>IRI-TE-4802A</t>
  </si>
  <si>
    <t>IRI-TE-4802B</t>
  </si>
  <si>
    <t>IRI-TE4900A</t>
  </si>
  <si>
    <t>IRI-TE-4900B</t>
  </si>
  <si>
    <t>IRI-TE-4901A</t>
  </si>
  <si>
    <t>IRI-TE-4901B</t>
  </si>
  <si>
    <t>IRI-TE-4902A</t>
  </si>
  <si>
    <t>IRI-TE-4902B</t>
  </si>
  <si>
    <t>IRI-TI-4800A</t>
  </si>
  <si>
    <t>IRI-TI-4800B</t>
  </si>
  <si>
    <t>IRI-TI4801A</t>
  </si>
  <si>
    <t>IRI-TI4801B</t>
  </si>
  <si>
    <t>IRI-TI4802A</t>
  </si>
  <si>
    <t>IRI-TI4802B</t>
  </si>
  <si>
    <t>IRI-TI4900A</t>
  </si>
  <si>
    <t>IRI-TI4900B</t>
  </si>
  <si>
    <t>IRI-TI4901A</t>
  </si>
  <si>
    <t>IRI-TI4901B</t>
  </si>
  <si>
    <t>IRI-TI4902A</t>
  </si>
  <si>
    <t>IRI-TI4902B</t>
  </si>
  <si>
    <t>IRITICA20004</t>
  </si>
  <si>
    <t>IRITICA20006</t>
  </si>
  <si>
    <t>IRITICA20034</t>
  </si>
  <si>
    <t>IRITICA20036</t>
  </si>
  <si>
    <t>IRITICA20054</t>
  </si>
  <si>
    <t>IRITICA20056</t>
  </si>
  <si>
    <t>IRITICA20064</t>
  </si>
  <si>
    <t>IRITICA20066</t>
  </si>
  <si>
    <t>IRI-TIC-A302</t>
  </si>
  <si>
    <t>IRI-TIC-A305</t>
  </si>
  <si>
    <t>IRI-TIC-A306</t>
  </si>
  <si>
    <t>IRITEMB00404</t>
  </si>
  <si>
    <t>IRITEMB00406</t>
  </si>
  <si>
    <t>IRITEMB03904</t>
  </si>
  <si>
    <t>IRITEMB03906</t>
  </si>
  <si>
    <t>IRITEMB04004</t>
  </si>
  <si>
    <t>IRITEMB04006</t>
  </si>
  <si>
    <t>IRITEMB05004</t>
  </si>
  <si>
    <t>IRITEMB05006</t>
  </si>
  <si>
    <t>IRI-TE-4803A</t>
  </si>
  <si>
    <t>IRI-TE-4903A</t>
  </si>
  <si>
    <t>IRI-TI-4803A</t>
  </si>
  <si>
    <t>IRI-TI4903A</t>
  </si>
  <si>
    <t>IRI-TE-9200</t>
  </si>
  <si>
    <t>IRI-TI-8541</t>
  </si>
  <si>
    <t>IRI-TIC-8542</t>
  </si>
  <si>
    <t>IRI-TIC-9200</t>
  </si>
  <si>
    <t>IRI-PH-0023</t>
  </si>
  <si>
    <t>IRI-TE-3600</t>
  </si>
  <si>
    <t>IRI-TI-3600</t>
  </si>
  <si>
    <t>IRI-TE-9201</t>
  </si>
  <si>
    <t>IRI-TI-9210</t>
  </si>
  <si>
    <t>IRI-TI-9300</t>
  </si>
  <si>
    <t>IRI-TIC-9201</t>
  </si>
  <si>
    <t>IRI-GAB0021</t>
  </si>
  <si>
    <t>IRI-GRAN-031</t>
  </si>
  <si>
    <t>IRI-GRAN-003</t>
  </si>
  <si>
    <t>IRI-GRAN-035</t>
  </si>
  <si>
    <t>IRI-GRAN-039</t>
  </si>
  <si>
    <t>IRI-BAL-0015</t>
  </si>
  <si>
    <t>IRI-PI-0002</t>
  </si>
  <si>
    <t>IRI-FIC4900A</t>
  </si>
  <si>
    <t>IRI-FIC4900B</t>
  </si>
  <si>
    <t>IRI-FIC4900C</t>
  </si>
  <si>
    <t>IRI-FIC4900D</t>
  </si>
  <si>
    <t>IRI-FIC4900F</t>
  </si>
  <si>
    <t>IRI-FIC4900E</t>
  </si>
  <si>
    <t>IRI-FIT4900A</t>
  </si>
  <si>
    <t>IRI-FIT4900B</t>
  </si>
  <si>
    <t>IRI-FIT4900C</t>
  </si>
  <si>
    <t>IRI-FIT4900D</t>
  </si>
  <si>
    <t>IRI-FIT4900E</t>
  </si>
  <si>
    <t>IRI-WIT4602A</t>
  </si>
  <si>
    <t>IRI-WIT4701A</t>
  </si>
  <si>
    <t>IRI-WIT4702A</t>
  </si>
  <si>
    <t>IRI-WIT4101A</t>
  </si>
  <si>
    <t>IRI-WIT4102A</t>
  </si>
  <si>
    <t>IRI-WIT4501A</t>
  </si>
  <si>
    <t>IRI-TE-8011</t>
  </si>
  <si>
    <t>IRI-TE-8012</t>
  </si>
  <si>
    <t>IRI-TE-8013</t>
  </si>
  <si>
    <t>IRI-TE-8014</t>
  </si>
  <si>
    <t>IRI-TE-8021</t>
  </si>
  <si>
    <t>IRI-TE-8022</t>
  </si>
  <si>
    <t>IRI-TE-8023</t>
  </si>
  <si>
    <t>IRI-TE-8024</t>
  </si>
  <si>
    <t>IRI-12427408</t>
  </si>
  <si>
    <t>IRI-386899</t>
  </si>
  <si>
    <t>IRI-EPC-0001</t>
  </si>
  <si>
    <t>IRI-HOM-0002</t>
  </si>
  <si>
    <t>IRI-HOM-0003</t>
  </si>
  <si>
    <t>IRI-WIT4002A</t>
  </si>
  <si>
    <t>IRI-WIT4103A</t>
  </si>
  <si>
    <t>IRI-WIT4202A</t>
  </si>
  <si>
    <t>IRI-PI-9050</t>
  </si>
  <si>
    <t>IRI-PS-9060</t>
  </si>
  <si>
    <t>IRI-PS-9061</t>
  </si>
  <si>
    <t>IRI-BURE0022</t>
  </si>
  <si>
    <t>IRI-PT-9060</t>
  </si>
  <si>
    <t>IRI-TT-3000</t>
  </si>
  <si>
    <t>IRI-TI3000</t>
  </si>
  <si>
    <t>IRI-TT-3002</t>
  </si>
  <si>
    <t>IRI-TI3002</t>
  </si>
  <si>
    <t>IRI-TI3004</t>
  </si>
  <si>
    <t>IRI-TT-3006</t>
  </si>
  <si>
    <t>IRI-TI3006</t>
  </si>
  <si>
    <t>IRI-TT-3010</t>
  </si>
  <si>
    <t>IRI-TI3010</t>
  </si>
  <si>
    <t>IRI-TT-3012</t>
  </si>
  <si>
    <t>IRI-TI-3012</t>
  </si>
  <si>
    <t>IRI-TI-3008</t>
  </si>
  <si>
    <t>IRI-PH-936</t>
  </si>
  <si>
    <t>IRI-18090388</t>
  </si>
  <si>
    <t>IRI-PH-0019</t>
  </si>
  <si>
    <t>IRI-GAB-0018</t>
  </si>
  <si>
    <t>IRI-GAB-0019</t>
  </si>
  <si>
    <t>IRI-1640983</t>
  </si>
  <si>
    <t>IRI-LI-01B</t>
  </si>
  <si>
    <t>IRI-CRON-023</t>
  </si>
  <si>
    <t>IRI-DENS0005</t>
  </si>
  <si>
    <t>IRI-DENS0006</t>
  </si>
  <si>
    <t>IRI-HOM-0001</t>
  </si>
  <si>
    <t>IRI-LT-01B</t>
  </si>
  <si>
    <t>IRI-PAQ-0064</t>
  </si>
  <si>
    <t>IRI-PAQ-0099</t>
  </si>
  <si>
    <t>IRI-PI-0006</t>
  </si>
  <si>
    <t>IRI-PI-02B</t>
  </si>
  <si>
    <t>IRI-PI-03A</t>
  </si>
  <si>
    <t>IRI-PI-9200A</t>
  </si>
  <si>
    <t>IRI-PQF0003</t>
  </si>
  <si>
    <t>IRI-PQF0004</t>
  </si>
  <si>
    <t>IRI-PS9072</t>
  </si>
  <si>
    <t>IRI-PT-02B</t>
  </si>
  <si>
    <t>IRI-PT-03A</t>
  </si>
  <si>
    <t>IRI-TE-8102</t>
  </si>
  <si>
    <t>IRI-TE-8103</t>
  </si>
  <si>
    <t>IRI-TE-8200</t>
  </si>
  <si>
    <t>IRI-TE-8201</t>
  </si>
  <si>
    <t>IRI-TE-8211</t>
  </si>
  <si>
    <t>IRI-TE-8212</t>
  </si>
  <si>
    <t>IRI-TE-8213</t>
  </si>
  <si>
    <t>IRI-TE-8214</t>
  </si>
  <si>
    <t>IRI-TE-8215</t>
  </si>
  <si>
    <t>IRI-TE-8221</t>
  </si>
  <si>
    <t>IRI-TE-8222</t>
  </si>
  <si>
    <t>IRI-TE-8223</t>
  </si>
  <si>
    <t>IRI-TE-8224</t>
  </si>
  <si>
    <t>IRI-TER-0020</t>
  </si>
  <si>
    <t>IRI-TI-01B</t>
  </si>
  <si>
    <t>IRI-TI-03B</t>
  </si>
  <si>
    <t>IRI-TI-03D</t>
  </si>
  <si>
    <t>IRI-TI-04B</t>
  </si>
  <si>
    <t>IRI-TI-8211</t>
  </si>
  <si>
    <t>IRI-TI-8212</t>
  </si>
  <si>
    <t>IRI-TI-8213</t>
  </si>
  <si>
    <t>IRI-TI-8221</t>
  </si>
  <si>
    <t>IRI-TI-8222</t>
  </si>
  <si>
    <t>IRI-TI-8223</t>
  </si>
  <si>
    <t>IRI-TI-8224</t>
  </si>
  <si>
    <t>IRI-TT-01B</t>
  </si>
  <si>
    <t>IRI-TT-03D</t>
  </si>
  <si>
    <t>IRI-TT-04B</t>
  </si>
  <si>
    <t>IRI-VAC-0090</t>
  </si>
  <si>
    <t>IRI-VAC-0091</t>
  </si>
  <si>
    <t>IRI-VAC-0092</t>
  </si>
  <si>
    <t>IRI-VAC-0093</t>
  </si>
  <si>
    <t>IRI-WIT4402A</t>
  </si>
  <si>
    <t>IRI-BAL-0060</t>
  </si>
  <si>
    <t>IRI-BAL-0061</t>
  </si>
  <si>
    <t>IRI-TER-0177</t>
  </si>
  <si>
    <t>IRI-TER-0179</t>
  </si>
  <si>
    <t>IRI-TER-0186</t>
  </si>
  <si>
    <t>IRI-FT5-03</t>
  </si>
  <si>
    <t>IRI-FI5-03</t>
  </si>
  <si>
    <t>IRI-TE-2001</t>
  </si>
  <si>
    <t>IRI-TI-2001</t>
  </si>
  <si>
    <t>IRI-TE-2002</t>
  </si>
  <si>
    <t>IRI-TI-2002</t>
  </si>
  <si>
    <t>IRI-TI-2003</t>
  </si>
  <si>
    <t>IRI-TI-2004</t>
  </si>
  <si>
    <t>IRI-FT1-01</t>
  </si>
  <si>
    <t>IRI-PH-0004</t>
  </si>
  <si>
    <t>IRI-PH-0008</t>
  </si>
  <si>
    <t>IRI-3380PH01</t>
  </si>
  <si>
    <t>IRI-PH-0016</t>
  </si>
  <si>
    <t>IRI-PH-0017</t>
  </si>
  <si>
    <t>IRI-PH-0026</t>
  </si>
  <si>
    <t>IRI-REL-0001</t>
  </si>
  <si>
    <t>IRI-PH-0021</t>
  </si>
  <si>
    <t>IRI-TI-8200</t>
  </si>
  <si>
    <t>IRI-TI-8201</t>
  </si>
  <si>
    <t>IRI-TI-8215</t>
  </si>
  <si>
    <t>IRI-WIT-8200</t>
  </si>
  <si>
    <t>IRI-WIT-8201</t>
  </si>
  <si>
    <t>IRI-BAL-0028</t>
  </si>
  <si>
    <t>IRI-BAL-0031</t>
  </si>
  <si>
    <t>IRI-BAL-0034</t>
  </si>
  <si>
    <t>IRI-BAL-0038</t>
  </si>
  <si>
    <t>IRI-TE-8100</t>
  </si>
  <si>
    <t>IRI-TE-8101</t>
  </si>
  <si>
    <t>IRI-3370BAL1</t>
  </si>
  <si>
    <t>IRI-BAL-0053</t>
  </si>
  <si>
    <t>IRI-BM-0003</t>
  </si>
  <si>
    <t>IRI-CA-0001</t>
  </si>
  <si>
    <t>IRI-MUF-0001</t>
  </si>
  <si>
    <t>IRI-PR-0001</t>
  </si>
  <si>
    <t>IRI-RF-0003</t>
  </si>
  <si>
    <t>IRI-AG-0003</t>
  </si>
  <si>
    <t>IRI-MIC-0024</t>
  </si>
  <si>
    <t>IRI-PAQ-0092</t>
  </si>
  <si>
    <t>IRI-WIT4302A</t>
  </si>
  <si>
    <t>IRI-WIT5001A</t>
  </si>
  <si>
    <t>IRI-WIT5201A</t>
  </si>
  <si>
    <t>IRI-WIT5202A</t>
  </si>
  <si>
    <t>IRI-BAL-0052</t>
  </si>
  <si>
    <t>IRI-RF-0022</t>
  </si>
  <si>
    <t>IRI-WIT1300A</t>
  </si>
  <si>
    <t>IRI-WIT1401A</t>
  </si>
  <si>
    <t>IRI-WIT1100A</t>
  </si>
  <si>
    <t>IRI-WIT1200A</t>
  </si>
  <si>
    <t>IRI-WIT1400A</t>
  </si>
  <si>
    <t>IRI-WIT1500A</t>
  </si>
  <si>
    <t>IRI-WIT1600A</t>
  </si>
  <si>
    <t>IRI-WIT4301A</t>
  </si>
  <si>
    <t>IRI-WIT5002A</t>
  </si>
  <si>
    <t>IRI-WIT5003A</t>
  </si>
  <si>
    <t>IRI-WIT5401A</t>
  </si>
  <si>
    <t>IRI-WIT5402A</t>
  </si>
  <si>
    <t>IRI-TI-8100</t>
  </si>
  <si>
    <t>IRI-TI-8101</t>
  </si>
  <si>
    <t>IRI-MIC-0018</t>
  </si>
  <si>
    <t>IRI-PAQ-0093</t>
  </si>
  <si>
    <t>IRI-PR-0002</t>
  </si>
  <si>
    <t>IRI-WIT4001A</t>
  </si>
  <si>
    <t>2025-06980</t>
  </si>
  <si>
    <t>2025-06981</t>
  </si>
  <si>
    <t>2025-06983</t>
  </si>
  <si>
    <t>2025-06982</t>
  </si>
  <si>
    <t>TT-4402A</t>
  </si>
  <si>
    <t>TT-4402B</t>
  </si>
  <si>
    <t>TT-4404A</t>
  </si>
  <si>
    <t>TT-4404B</t>
  </si>
  <si>
    <t>TT-4501A</t>
  </si>
  <si>
    <t>TT-4501B</t>
  </si>
  <si>
    <t>TT-4504A</t>
  </si>
  <si>
    <t>TT-4504B</t>
  </si>
  <si>
    <t>FQI8101</t>
  </si>
  <si>
    <t>2025-05623</t>
  </si>
  <si>
    <t>PIT-03</t>
  </si>
  <si>
    <t>-1 .. 10 bar</t>
  </si>
  <si>
    <t>-0,5 .. 2 bar</t>
  </si>
  <si>
    <t>2025-05179</t>
  </si>
  <si>
    <t>IRI-TT-4601A</t>
  </si>
  <si>
    <t>IRI-TI-4601A</t>
  </si>
  <si>
    <t>IRI-TT-4601B</t>
  </si>
  <si>
    <t>IRI-TI-4601B</t>
  </si>
  <si>
    <t>IRI-TT-4602A</t>
  </si>
  <si>
    <t>IRI-TI-4602A</t>
  </si>
  <si>
    <t>IRI-TT-4602B</t>
  </si>
  <si>
    <t>IRI-TT-4604A</t>
  </si>
  <si>
    <t>IRI-TI-4604A</t>
  </si>
  <si>
    <t>IRI-TT-4701A</t>
  </si>
  <si>
    <t>IRI-TI-4701A</t>
  </si>
  <si>
    <t>IRI-TT-4701B</t>
  </si>
  <si>
    <t>IRI-TI-4701B</t>
  </si>
  <si>
    <t>IRI-TT-4702A</t>
  </si>
  <si>
    <t>IRI-TI-4702A</t>
  </si>
  <si>
    <t>IRI-TT-4702B</t>
  </si>
  <si>
    <t>IRI-TI-4702B</t>
  </si>
  <si>
    <t>IRI-TT-4704A</t>
  </si>
  <si>
    <t>IRI-TI-4704A</t>
  </si>
  <si>
    <t>IRI-TT-TT42</t>
  </si>
  <si>
    <t>IRI-TE-44MM</t>
  </si>
  <si>
    <t>IRI-TT-TT44M</t>
  </si>
  <si>
    <t>IRI-TE-45</t>
  </si>
  <si>
    <t>IRI-TT-TT45</t>
  </si>
  <si>
    <t>IRI-PH-0001</t>
  </si>
  <si>
    <t>IRI-PH-0028</t>
  </si>
  <si>
    <t>IRI-PH-0029</t>
  </si>
  <si>
    <t>IRI-PH-0030</t>
  </si>
  <si>
    <t>IRI-1823813</t>
  </si>
  <si>
    <t>IRI-FI-8100</t>
  </si>
  <si>
    <t>IRI-GRAN-041</t>
  </si>
  <si>
    <t>IRI-RF-0021</t>
  </si>
  <si>
    <t>IRI-PI-8100</t>
  </si>
  <si>
    <t>IRI-TER-0021</t>
  </si>
  <si>
    <t>IRI-TER-0022</t>
  </si>
  <si>
    <t>IRI-VISC0001</t>
  </si>
  <si>
    <t>IRI-WIT4201A</t>
  </si>
  <si>
    <t>IRI-WIT4502A</t>
  </si>
  <si>
    <t>1000 a 10000dm3</t>
  </si>
  <si>
    <t>LI-0003A</t>
  </si>
  <si>
    <t>2025-06422</t>
  </si>
  <si>
    <t>2025-06423</t>
  </si>
  <si>
    <t>2025-06424</t>
  </si>
  <si>
    <t>2025-07173</t>
  </si>
  <si>
    <t>2025-06904</t>
  </si>
  <si>
    <t>2025-06903</t>
  </si>
  <si>
    <t>TI-4501B</t>
  </si>
  <si>
    <t>TI-4501A</t>
  </si>
  <si>
    <t>TI-4404A</t>
  </si>
  <si>
    <t>TI-4404B</t>
  </si>
  <si>
    <t>TI-4402A</t>
  </si>
  <si>
    <t>TI-4504B</t>
  </si>
  <si>
    <t>TI-4504A</t>
  </si>
  <si>
    <t>2025-07222</t>
  </si>
  <si>
    <t>JBT</t>
  </si>
  <si>
    <t>BURE-0012</t>
  </si>
  <si>
    <t>2025-07264</t>
  </si>
  <si>
    <t>CSC-0020</t>
  </si>
  <si>
    <t>2025-07265</t>
  </si>
  <si>
    <t>2025-06922</t>
  </si>
  <si>
    <t>2025-07293</t>
  </si>
  <si>
    <t>TT-4301A</t>
  </si>
  <si>
    <t>TT-4301B</t>
  </si>
  <si>
    <t>TT-4004A</t>
  </si>
  <si>
    <t>TT-4004B</t>
  </si>
  <si>
    <t>TI-4004A</t>
  </si>
  <si>
    <t>TI-4004B</t>
  </si>
  <si>
    <t>2025-07174</t>
  </si>
  <si>
    <t>TI-4301A</t>
  </si>
  <si>
    <t>TI-4301B</t>
  </si>
  <si>
    <t>2025-07175</t>
  </si>
  <si>
    <t>TE-2002</t>
  </si>
  <si>
    <t>2025-07290</t>
  </si>
  <si>
    <t>2025-06929</t>
  </si>
  <si>
    <t>SAÍDA HOLDING</t>
  </si>
  <si>
    <t>TER-0034</t>
  </si>
  <si>
    <t>LINHA 7 (MESPACK 1000)</t>
  </si>
  <si>
    <t>2025-04502</t>
  </si>
  <si>
    <t>SAÍDA FLASH COOLER</t>
  </si>
  <si>
    <t>2025-04724</t>
  </si>
  <si>
    <t>2 a 4,6 bar</t>
  </si>
  <si>
    <t>100 a 600 L/min</t>
  </si>
  <si>
    <t>PI-03</t>
  </si>
  <si>
    <t>FORA DE PRODUÇÃO</t>
  </si>
  <si>
    <t>2025-06038</t>
  </si>
  <si>
    <t>2025-06941</t>
  </si>
  <si>
    <t>2025-06940</t>
  </si>
  <si>
    <t>2025-06937</t>
  </si>
  <si>
    <t>2025-07406</t>
  </si>
  <si>
    <t>2025-07177</t>
  </si>
  <si>
    <t>2025-07176</t>
  </si>
  <si>
    <t>PAQUÍMETRO ANALOGICO</t>
  </si>
  <si>
    <t>BAL-0065</t>
  </si>
  <si>
    <t>2025-07223</t>
  </si>
  <si>
    <t>2025-06039</t>
  </si>
  <si>
    <t>m³/h</t>
  </si>
  <si>
    <t xml:space="preserve">MICROMETRO RECRAVAÇÃO DE LATAS ANALÓGICO </t>
  </si>
  <si>
    <t>2025-06951</t>
  </si>
  <si>
    <t>2025-06939</t>
  </si>
  <si>
    <t>2025-07946</t>
  </si>
  <si>
    <t>2025-07939</t>
  </si>
  <si>
    <t>TE-6030A</t>
  </si>
  <si>
    <t>TE-6030B</t>
  </si>
  <si>
    <t>TI-6000B</t>
  </si>
  <si>
    <t>2025-08044</t>
  </si>
  <si>
    <t>2025-08014</t>
  </si>
  <si>
    <t>TI-6030A</t>
  </si>
  <si>
    <t>TI-6030B</t>
  </si>
  <si>
    <t>TI-6050B</t>
  </si>
  <si>
    <t>2025-08015</t>
  </si>
  <si>
    <t>2025-08016</t>
  </si>
  <si>
    <t>2025-08017</t>
  </si>
  <si>
    <t>2025-07967</t>
  </si>
  <si>
    <t>2025-07968</t>
  </si>
  <si>
    <t>2025-08033</t>
  </si>
  <si>
    <t>2025-07969</t>
  </si>
  <si>
    <t>2025-07970</t>
  </si>
  <si>
    <t>2025-08034</t>
  </si>
  <si>
    <t>2025-07971</t>
  </si>
  <si>
    <t>2025-07972</t>
  </si>
  <si>
    <t>2025-08020</t>
  </si>
  <si>
    <t>2025-08021</t>
  </si>
  <si>
    <t>2025-07973</t>
  </si>
  <si>
    <t>2025-07974</t>
  </si>
  <si>
    <t>2025-08022</t>
  </si>
  <si>
    <t>2025-08023</t>
  </si>
  <si>
    <t>2025-07975</t>
  </si>
  <si>
    <t>2025-07976</t>
  </si>
  <si>
    <t>2025-08037</t>
  </si>
  <si>
    <t>2025-07940</t>
  </si>
  <si>
    <t>2025-07941</t>
  </si>
  <si>
    <t>2025-07942</t>
  </si>
  <si>
    <t>2025-07943</t>
  </si>
  <si>
    <t>2025-07944</t>
  </si>
  <si>
    <t>2025-07945</t>
  </si>
  <si>
    <t>2025-08049</t>
  </si>
  <si>
    <t>2025-08045</t>
  </si>
  <si>
    <t>2025-08046</t>
  </si>
  <si>
    <t>2025-08048</t>
  </si>
  <si>
    <t>2025-08047</t>
  </si>
  <si>
    <t>2025-08050</t>
  </si>
  <si>
    <t>2025-08038</t>
  </si>
  <si>
    <t>2025-08024</t>
  </si>
  <si>
    <t>2025-08025</t>
  </si>
  <si>
    <t>2025-07981</t>
  </si>
  <si>
    <t>2025-07982</t>
  </si>
  <si>
    <t>2025-08026</t>
  </si>
  <si>
    <t>2025-08027</t>
  </si>
  <si>
    <t>2025-08040</t>
  </si>
  <si>
    <t>2025-08041</t>
  </si>
  <si>
    <t>2025-08039</t>
  </si>
  <si>
    <t>2025-08028</t>
  </si>
  <si>
    <t>2025-07935</t>
  </si>
  <si>
    <t>2025-08042</t>
  </si>
  <si>
    <t>2025-08043</t>
  </si>
  <si>
    <t>2025-07936</t>
  </si>
  <si>
    <t>2025-07937</t>
  </si>
  <si>
    <t>2025-07979</t>
  </si>
  <si>
    <t>2025-07980</t>
  </si>
  <si>
    <t>2025-07991</t>
  </si>
  <si>
    <t>2025-07938</t>
  </si>
  <si>
    <t>2025-08051</t>
  </si>
  <si>
    <t>2025-07983</t>
  </si>
  <si>
    <t>2025-07984</t>
  </si>
  <si>
    <t>2025-07985</t>
  </si>
  <si>
    <t>2025-07986</t>
  </si>
  <si>
    <t>2025-07987</t>
  </si>
  <si>
    <t>2025-07988</t>
  </si>
  <si>
    <t>2025-07989</t>
  </si>
  <si>
    <t>GAB-0022</t>
  </si>
  <si>
    <t>2025-08521</t>
  </si>
  <si>
    <t>2025-08517</t>
  </si>
  <si>
    <t>2025-08516</t>
  </si>
  <si>
    <t>2025-08036</t>
  </si>
  <si>
    <t>2025-08529</t>
  </si>
  <si>
    <t>2025-08530</t>
  </si>
  <si>
    <t>2025-08618</t>
  </si>
  <si>
    <t>TIT-6070</t>
  </si>
  <si>
    <t>2025-06924</t>
  </si>
  <si>
    <t>2025-09243</t>
  </si>
  <si>
    <t>2025-09138</t>
  </si>
  <si>
    <t>2025-09244</t>
  </si>
  <si>
    <t>2025-09139</t>
  </si>
  <si>
    <t>2025-09245</t>
  </si>
  <si>
    <t>2025-09140</t>
  </si>
  <si>
    <t>2025-09246</t>
  </si>
  <si>
    <t>2025-09141</t>
  </si>
  <si>
    <t>2025-09247</t>
  </si>
  <si>
    <t>2025-09142</t>
  </si>
  <si>
    <t>2025-09253</t>
  </si>
  <si>
    <t>2025-09254</t>
  </si>
  <si>
    <t>2025-09255</t>
  </si>
  <si>
    <t>2025-09256</t>
  </si>
  <si>
    <t>2025-09257</t>
  </si>
  <si>
    <t>2025-09258</t>
  </si>
  <si>
    <t>2025-09260</t>
  </si>
  <si>
    <t>2025-09259</t>
  </si>
  <si>
    <t>2025-09261</t>
  </si>
  <si>
    <t>2025-09262</t>
  </si>
  <si>
    <t>2025-09143</t>
  </si>
  <si>
    <t>2025-09144</t>
  </si>
  <si>
    <t>2025-09145</t>
  </si>
  <si>
    <t>2025-09146</t>
  </si>
  <si>
    <t>2025-09147</t>
  </si>
  <si>
    <t>2025-09148</t>
  </si>
  <si>
    <t>2025-09149</t>
  </si>
  <si>
    <t>2025-09150</t>
  </si>
  <si>
    <t>2025-09151</t>
  </si>
  <si>
    <t>2025-09152</t>
  </si>
  <si>
    <t>TT-4102</t>
  </si>
  <si>
    <t>TI-9100B</t>
  </si>
  <si>
    <t>TER-9100</t>
  </si>
  <si>
    <t>TI-9110B</t>
  </si>
  <si>
    <t>TER-9110</t>
  </si>
  <si>
    <t>TI-9120B</t>
  </si>
  <si>
    <t>TER-9120</t>
  </si>
  <si>
    <t>TI-9130B</t>
  </si>
  <si>
    <t>TI-9140B</t>
  </si>
  <si>
    <t>TER-9140</t>
  </si>
  <si>
    <t>TI-9250B</t>
  </si>
  <si>
    <t>TI-6060A</t>
  </si>
  <si>
    <t>TI-6060B</t>
  </si>
  <si>
    <t>TI-9260B</t>
  </si>
  <si>
    <t>TER-9260</t>
  </si>
  <si>
    <t>TI-9280B</t>
  </si>
  <si>
    <t>TER-9280</t>
  </si>
  <si>
    <t>TI-6080A</t>
  </si>
  <si>
    <t>TI-6080B</t>
  </si>
  <si>
    <t>TI-6090A</t>
  </si>
  <si>
    <t>TI-6090B</t>
  </si>
  <si>
    <t>TI-6100A</t>
  </si>
  <si>
    <t>TI-6100B</t>
  </si>
  <si>
    <t>TI-6070A</t>
  </si>
  <si>
    <t>TI-6070B</t>
  </si>
  <si>
    <t>TCL-0005</t>
  </si>
  <si>
    <t>TCL-001B</t>
  </si>
  <si>
    <t>TCL-002B</t>
  </si>
  <si>
    <t>TCL-003A</t>
  </si>
  <si>
    <t>TCL-004A</t>
  </si>
  <si>
    <t>TCL-010B</t>
  </si>
  <si>
    <t>TCL-07</t>
  </si>
  <si>
    <t>TCL-081</t>
  </si>
  <si>
    <t>TCL-111</t>
  </si>
  <si>
    <t>TCL-3A</t>
  </si>
  <si>
    <t>TCL-3B</t>
  </si>
  <si>
    <t>TCL-601</t>
  </si>
  <si>
    <t>TT-2A-A</t>
  </si>
  <si>
    <t>TT-2B-A</t>
  </si>
  <si>
    <t>TCL-2A-A</t>
  </si>
  <si>
    <t>LI-01B</t>
  </si>
  <si>
    <t>LIT-0003</t>
  </si>
  <si>
    <t>122.12.20</t>
  </si>
  <si>
    <t>321.07.21</t>
  </si>
  <si>
    <t>322.07.21</t>
  </si>
  <si>
    <t>38330240WS</t>
  </si>
  <si>
    <t>60VU1064</t>
  </si>
  <si>
    <t>INC-0002</t>
  </si>
  <si>
    <t>PR-0001</t>
  </si>
  <si>
    <t>TCL-010A</t>
  </si>
  <si>
    <t>TT-001A</t>
  </si>
  <si>
    <t>TT-001B</t>
  </si>
  <si>
    <t>TT-002A</t>
  </si>
  <si>
    <t>TT-002B</t>
  </si>
  <si>
    <t>TT-003A</t>
  </si>
  <si>
    <t>TT-3B</t>
  </si>
  <si>
    <t>TT-03A</t>
  </si>
  <si>
    <t>TT-004A</t>
  </si>
  <si>
    <t>TT-004B</t>
  </si>
  <si>
    <t>TT-005A</t>
  </si>
  <si>
    <t>TT-10B</t>
  </si>
  <si>
    <t>TT-081</t>
  </si>
  <si>
    <t>TT-010A</t>
  </si>
  <si>
    <t>TT-601</t>
  </si>
  <si>
    <t>LIT-0003A</t>
  </si>
  <si>
    <t>TE-9100A</t>
  </si>
  <si>
    <t>TE-9100B</t>
  </si>
  <si>
    <t>IRI-FI1-01</t>
  </si>
  <si>
    <t>IRI-TT-4004A</t>
  </si>
  <si>
    <t>IRI-TT-4004B</t>
  </si>
  <si>
    <t>IRI-TI-4602B</t>
  </si>
  <si>
    <t>IRI-TT-3004</t>
  </si>
  <si>
    <t>IRI-TER-6030</t>
  </si>
  <si>
    <t>IRI-TI-6060A</t>
  </si>
  <si>
    <t>IRI-TI-6060B</t>
  </si>
  <si>
    <t>IRI-TI-6000A</t>
  </si>
  <si>
    <t>IRI-TE-6040A</t>
  </si>
  <si>
    <t>IRI-TE-6050A</t>
  </si>
  <si>
    <t>IRI-TI-6050A</t>
  </si>
  <si>
    <t>IRI-PHIT-01</t>
  </si>
  <si>
    <t>IRI-TE4800A</t>
  </si>
  <si>
    <t>IRI-TE-8500</t>
  </si>
  <si>
    <t>IRI-TI-8500</t>
  </si>
  <si>
    <t>IRI-TE-8510</t>
  </si>
  <si>
    <t>IRI-TI-8510</t>
  </si>
  <si>
    <t>IRI-TE-8520</t>
  </si>
  <si>
    <t>IRI-TI-8520</t>
  </si>
  <si>
    <t>IRI-TE-8530</t>
  </si>
  <si>
    <t>IRI-TI-8530</t>
  </si>
  <si>
    <t>IRI-TE-8540</t>
  </si>
  <si>
    <t>IRI-TI-8540</t>
  </si>
  <si>
    <t>IRI-TER-0187</t>
  </si>
  <si>
    <t>IRI-TER-0034</t>
  </si>
  <si>
    <t>IRI-TI-5002A</t>
  </si>
  <si>
    <t>IRI-TI-5003B</t>
  </si>
  <si>
    <t>IRI-TI-5202B</t>
  </si>
  <si>
    <t>IRI-BURE-018</t>
  </si>
  <si>
    <t>IRI-EF-0005</t>
  </si>
  <si>
    <t>IRI-EF-0006</t>
  </si>
  <si>
    <t>IRI-FIC4800A</t>
  </si>
  <si>
    <t>IRI-FIC4800B</t>
  </si>
  <si>
    <t>IRI-FIC4800C</t>
  </si>
  <si>
    <t>IRI-FIC4800D</t>
  </si>
  <si>
    <t>IRI-FIT4800E</t>
  </si>
  <si>
    <t>IRI-FIT4800A</t>
  </si>
  <si>
    <t>IRI-FIT4800B</t>
  </si>
  <si>
    <t>IRI-FIT4800D</t>
  </si>
  <si>
    <t>IRI-FIT4800C</t>
  </si>
  <si>
    <t>IRI-FIT4800F</t>
  </si>
  <si>
    <t>IRI-FIC4800F</t>
  </si>
  <si>
    <t>IRIGRAN0029</t>
  </si>
  <si>
    <t>IRI-MCA-0003</t>
  </si>
  <si>
    <t>IRI-PI-0201A</t>
  </si>
  <si>
    <t>IRI-PI-0201C</t>
  </si>
  <si>
    <t>IRI-PI-0202</t>
  </si>
  <si>
    <t>IRI-PI-0701</t>
  </si>
  <si>
    <t>IRI-PI-1601</t>
  </si>
  <si>
    <t>IRI-PI-1801</t>
  </si>
  <si>
    <t>IRI-PI-1901</t>
  </si>
  <si>
    <t>IRI-PI-1902</t>
  </si>
  <si>
    <t>IRI-PI-1903</t>
  </si>
  <si>
    <t>IRI-PI-1904</t>
  </si>
  <si>
    <t>IRI-PI-1905</t>
  </si>
  <si>
    <t>IRI-PI-3000</t>
  </si>
  <si>
    <t>IRI-PI-3002</t>
  </si>
  <si>
    <t>IRI-PI-3006</t>
  </si>
  <si>
    <t>IRI-PI-3008</t>
  </si>
  <si>
    <t>IRI-PI-3010</t>
  </si>
  <si>
    <t>IRI-PI-3012</t>
  </si>
  <si>
    <t>IRI-PI-3610</t>
  </si>
  <si>
    <t>IRI-PI-3710</t>
  </si>
  <si>
    <t>IRI-PT-6100</t>
  </si>
  <si>
    <t>IRI-PT-9270</t>
  </si>
  <si>
    <t>IRI-TI-02</t>
  </si>
  <si>
    <t>IRI-TT-02</t>
  </si>
  <si>
    <t>IRI-REL-0007</t>
  </si>
  <si>
    <t>IRI-REL-0008</t>
  </si>
  <si>
    <t>IRI-REL-0009</t>
  </si>
  <si>
    <t>PI-0201A.1</t>
  </si>
  <si>
    <t>2025-09208</t>
  </si>
  <si>
    <t>2025-09209</t>
  </si>
  <si>
    <t>2025-09210</t>
  </si>
  <si>
    <t>2025-09211</t>
  </si>
  <si>
    <t>PI-0701.1</t>
  </si>
  <si>
    <t>2025-09212</t>
  </si>
  <si>
    <t>2025-09213</t>
  </si>
  <si>
    <t>2025-09214</t>
  </si>
  <si>
    <t>2025-09215</t>
  </si>
  <si>
    <t>2025-09216</t>
  </si>
  <si>
    <t>2025-09217</t>
  </si>
  <si>
    <t>CRON-0038</t>
  </si>
  <si>
    <t>0 .. 3600 s</t>
  </si>
  <si>
    <t>CRON-0039</t>
  </si>
  <si>
    <t>CRON-0040</t>
  </si>
  <si>
    <t>CRON-0041</t>
  </si>
  <si>
    <t>CRON-0042</t>
  </si>
  <si>
    <t>CRON-0043</t>
  </si>
  <si>
    <t>CRON-0044</t>
  </si>
  <si>
    <t>CRON-0045</t>
  </si>
  <si>
    <t>2025-09404</t>
  </si>
  <si>
    <t>2025-09405</t>
  </si>
  <si>
    <t>2025-09406</t>
  </si>
  <si>
    <t>2025-09407</t>
  </si>
  <si>
    <t>2025-09408</t>
  </si>
  <si>
    <t>2025-09409</t>
  </si>
  <si>
    <t>2025-09410</t>
  </si>
  <si>
    <t>2025-09411</t>
  </si>
  <si>
    <t>S</t>
  </si>
  <si>
    <t>45 mm</t>
  </si>
  <si>
    <t>2025-08519</t>
  </si>
  <si>
    <t>2025-08520</t>
  </si>
  <si>
    <t>720 a 3600</t>
  </si>
  <si>
    <t>TT-4401A</t>
  </si>
  <si>
    <t>2025-09271</t>
  </si>
  <si>
    <t>2025-09267</t>
  </si>
  <si>
    <t>TI-4401A</t>
  </si>
  <si>
    <t>2025-09155</t>
  </si>
  <si>
    <t>2025-09160</t>
  </si>
  <si>
    <t>TT-4204A</t>
  </si>
  <si>
    <t>TT-4204B</t>
  </si>
  <si>
    <t>TI-4204A</t>
  </si>
  <si>
    <t>TI-4204B</t>
  </si>
  <si>
    <t>TT-4202A</t>
  </si>
  <si>
    <t>TT-4202B</t>
  </si>
  <si>
    <t>TI-4202A</t>
  </si>
  <si>
    <t>TI-4202B</t>
  </si>
  <si>
    <t xml:space="preserve"> 0 a 200 ◦C</t>
  </si>
  <si>
    <t>TT-4401B</t>
  </si>
  <si>
    <t>TI-4401B</t>
  </si>
  <si>
    <t>TI-4402B</t>
  </si>
  <si>
    <t>2025-09136</t>
  </si>
  <si>
    <t>2025-09137</t>
  </si>
  <si>
    <t>2025-09227</t>
  </si>
  <si>
    <t>2025-09170</t>
  </si>
  <si>
    <t>2025-09171</t>
  </si>
  <si>
    <t>2025-09172</t>
  </si>
  <si>
    <t>2025-09173</t>
  </si>
  <si>
    <t>2025-09174</t>
  </si>
  <si>
    <t>2025-09175</t>
  </si>
  <si>
    <t>2025-09176</t>
  </si>
  <si>
    <t>2025-09177</t>
  </si>
  <si>
    <t>2025-09178</t>
  </si>
  <si>
    <t>2025-09179</t>
  </si>
  <si>
    <t>2025-09180</t>
  </si>
  <si>
    <t>2025-09181</t>
  </si>
  <si>
    <t>2025-09182</t>
  </si>
  <si>
    <t>2025-09183</t>
  </si>
  <si>
    <t>2025-09286</t>
  </si>
  <si>
    <t>2025-09287</t>
  </si>
  <si>
    <t>2025-09285</t>
  </si>
  <si>
    <t>2025-09290</t>
  </si>
  <si>
    <t>2025-09289</t>
  </si>
  <si>
    <t>2025-09280</t>
  </si>
  <si>
    <t>2025-09291</t>
  </si>
  <si>
    <t>2025-09279</t>
  </si>
  <si>
    <t>2025-09282</t>
  </si>
  <si>
    <t>2025-09283</t>
  </si>
  <si>
    <t>2025-09281</t>
  </si>
  <si>
    <t>2025-09288</t>
  </si>
  <si>
    <t>2025-09278</t>
  </si>
  <si>
    <t>2025-09284</t>
  </si>
  <si>
    <t>2025-09162</t>
  </si>
  <si>
    <t>2025-09163</t>
  </si>
  <si>
    <t>2025-09164</t>
  </si>
  <si>
    <t>2025-09165</t>
  </si>
  <si>
    <t>2025-09166</t>
  </si>
  <si>
    <t>2025-09167</t>
  </si>
  <si>
    <t>2025-09168</t>
  </si>
  <si>
    <t>2025-09169</t>
  </si>
  <si>
    <t>2025-09274</t>
  </si>
  <si>
    <t>2025-09275</t>
  </si>
  <si>
    <t>2025-09276</t>
  </si>
  <si>
    <t>2025-09277</t>
  </si>
  <si>
    <t>2025-09309</t>
  </si>
  <si>
    <t>2025-09308</t>
  </si>
  <si>
    <t>2025-09307</t>
  </si>
  <si>
    <t>2025-09310</t>
  </si>
  <si>
    <t>2025-09202</t>
  </si>
  <si>
    <t>2025-09201</t>
  </si>
  <si>
    <t>2025-09203</t>
  </si>
  <si>
    <t>2025-09200</t>
  </si>
  <si>
    <t>2025-09130</t>
  </si>
  <si>
    <t>2025-09131</t>
  </si>
  <si>
    <t>2025-09132</t>
  </si>
  <si>
    <t>2025-09133</t>
  </si>
  <si>
    <t>0 a 500 ◦C</t>
  </si>
  <si>
    <t>2025-06025</t>
  </si>
  <si>
    <t>2025-06026</t>
  </si>
  <si>
    <t>2025-08518</t>
  </si>
  <si>
    <t>2025-09230</t>
  </si>
  <si>
    <t>2025-09228</t>
  </si>
  <si>
    <t>2025-09204</t>
  </si>
  <si>
    <t>2025-09205</t>
  </si>
  <si>
    <t>2025-09206</t>
  </si>
  <si>
    <t>2025-09207</t>
  </si>
  <si>
    <t>2025-09273</t>
  </si>
  <si>
    <t>2025-09272</t>
  </si>
  <si>
    <t>2025-09249</t>
  </si>
  <si>
    <t>2025-09248</t>
  </si>
  <si>
    <t>2025-09251</t>
  </si>
  <si>
    <t>2025-09250</t>
  </si>
  <si>
    <t>2025-09220</t>
  </si>
  <si>
    <t>2025-09221</t>
  </si>
  <si>
    <t>2025-09222</t>
  </si>
  <si>
    <t>2025-09223</t>
  </si>
  <si>
    <t>2025-09265</t>
  </si>
  <si>
    <t>2025-09134</t>
  </si>
  <si>
    <t>2025-09156</t>
  </si>
  <si>
    <t>CENTRAL CIP ROTA C</t>
  </si>
  <si>
    <t>2025-09266</t>
  </si>
  <si>
    <t>CENTRAL CIP ROTA E</t>
  </si>
  <si>
    <t>2025-09218</t>
  </si>
  <si>
    <t>2025-09295</t>
  </si>
  <si>
    <t xml:space="preserve">0 a 2000 mS/cm </t>
  </si>
  <si>
    <t>2025-09199</t>
  </si>
  <si>
    <t>2025-09252</t>
  </si>
  <si>
    <t>GAB-0001</t>
  </si>
  <si>
    <t>100 mm</t>
  </si>
  <si>
    <t>2025-09225</t>
  </si>
  <si>
    <t>ESC-0007</t>
  </si>
  <si>
    <t>0 a 150cm</t>
  </si>
  <si>
    <t>2025-10095</t>
  </si>
  <si>
    <t>MCP-001</t>
  </si>
  <si>
    <t>MICROPIPETA</t>
  </si>
  <si>
    <t>0 .. 10 mL</t>
  </si>
  <si>
    <t>2025-09969</t>
  </si>
  <si>
    <t>TIT-9250</t>
  </si>
  <si>
    <t>2025-10206</t>
  </si>
  <si>
    <t>TIT-9130</t>
  </si>
  <si>
    <t>2025-10205</t>
  </si>
  <si>
    <t>2025-10094</t>
  </si>
  <si>
    <t>2025-10158</t>
  </si>
  <si>
    <t>2025-10159</t>
  </si>
  <si>
    <t>2025-10182</t>
  </si>
  <si>
    <t>2025-10189</t>
  </si>
  <si>
    <t>2025-10183</t>
  </si>
  <si>
    <t>2025-10187</t>
  </si>
  <si>
    <t>2025-10190</t>
  </si>
  <si>
    <t>2025-10184</t>
  </si>
  <si>
    <t>2025-10188</t>
  </si>
  <si>
    <t>2025-10191</t>
  </si>
  <si>
    <t>2025-10097</t>
  </si>
  <si>
    <t>2025-10099</t>
  </si>
  <si>
    <t>2025-10103</t>
  </si>
  <si>
    <t>2025-10100</t>
  </si>
  <si>
    <t>2025-10098</t>
  </si>
  <si>
    <t>2025-10102</t>
  </si>
  <si>
    <t>2025-10104</t>
  </si>
  <si>
    <t>2025-10088</t>
  </si>
  <si>
    <t>2025-10096</t>
  </si>
  <si>
    <t>2025-10157</t>
  </si>
  <si>
    <t>REL-0010</t>
  </si>
  <si>
    <t>2025-10156</t>
  </si>
  <si>
    <t>2025-09185</t>
  </si>
  <si>
    <t>1 .. 10 mL</t>
  </si>
  <si>
    <t>2025-10115</t>
  </si>
  <si>
    <t>2025-10113</t>
  </si>
  <si>
    <t>2025-10112</t>
  </si>
  <si>
    <t>2025-10117</t>
  </si>
  <si>
    <t>2025-10114</t>
  </si>
  <si>
    <t>2025-10105</t>
  </si>
  <si>
    <t>2025-10111</t>
  </si>
  <si>
    <t>2025-10106</t>
  </si>
  <si>
    <t>2025-10110</t>
  </si>
  <si>
    <t>2025-10108</t>
  </si>
  <si>
    <t>2025-10109</t>
  </si>
  <si>
    <t>2025-10107</t>
  </si>
  <si>
    <t>2025-10193</t>
  </si>
  <si>
    <t>2025-10196</t>
  </si>
  <si>
    <t>2025-10194</t>
  </si>
  <si>
    <t>2025-10160</t>
  </si>
  <si>
    <t>2025-10165</t>
  </si>
  <si>
    <t>2025-10162</t>
  </si>
  <si>
    <t>2025-10163</t>
  </si>
  <si>
    <t>2025-10166</t>
  </si>
  <si>
    <t>2025-10164</t>
  </si>
  <si>
    <t>2025-10161</t>
  </si>
  <si>
    <t>2025-10119</t>
  </si>
  <si>
    <t>2025-10120</t>
  </si>
  <si>
    <t>2025-10121</t>
  </si>
  <si>
    <t>2025-10122</t>
  </si>
  <si>
    <t>2025-10123</t>
  </si>
  <si>
    <t>2025-10124</t>
  </si>
  <si>
    <t>2025-10207</t>
  </si>
  <si>
    <t>2025-10208</t>
  </si>
  <si>
    <t>2025-10209</t>
  </si>
  <si>
    <t>2025-10210</t>
  </si>
  <si>
    <t>2025-10211</t>
  </si>
  <si>
    <t>2025-10212</t>
  </si>
  <si>
    <t>2025-10125</t>
  </si>
  <si>
    <t>2025-10126</t>
  </si>
  <si>
    <t>2025-10127</t>
  </si>
  <si>
    <t>2025-10200</t>
  </si>
  <si>
    <t>2025-10199</t>
  </si>
  <si>
    <t>TIT-6090.1</t>
  </si>
  <si>
    <t>2025-10218</t>
  </si>
  <si>
    <t>RF-0001</t>
  </si>
  <si>
    <t>2024-00135</t>
  </si>
  <si>
    <t>2025-10087</t>
  </si>
  <si>
    <t>2025-10092</t>
  </si>
  <si>
    <t>2025-10151</t>
  </si>
  <si>
    <t>1000 a 18000 L/h</t>
  </si>
  <si>
    <t>TI-8550</t>
  </si>
  <si>
    <t>TI-8560</t>
  </si>
  <si>
    <t>0 a 160°C</t>
  </si>
  <si>
    <t>2025-10186</t>
  </si>
  <si>
    <t>10 a 400 NTU</t>
  </si>
  <si>
    <t>0 a 1000 NTU</t>
  </si>
  <si>
    <t>0.5 a 50g</t>
  </si>
  <si>
    <t>2025-10136</t>
  </si>
  <si>
    <t>2025-10118</t>
  </si>
  <si>
    <t>2025-10137</t>
  </si>
  <si>
    <t>2025-10132</t>
  </si>
  <si>
    <t>2025-10130</t>
  </si>
  <si>
    <t>2025-10133</t>
  </si>
  <si>
    <t>2025-10131</t>
  </si>
  <si>
    <t>2025-10129</t>
  </si>
  <si>
    <t>2025-10128</t>
  </si>
  <si>
    <t>2025-10139</t>
  </si>
  <si>
    <t>2025-10138</t>
  </si>
  <si>
    <t>2025-10198</t>
  </si>
  <si>
    <t>2025-10197</t>
  </si>
  <si>
    <t>2025-10201</t>
  </si>
  <si>
    <t>2025-10195</t>
  </si>
  <si>
    <t>2025-10168</t>
  </si>
  <si>
    <t>2025-10169</t>
  </si>
  <si>
    <t>2025-10213</t>
  </si>
  <si>
    <t>2025-10214</t>
  </si>
  <si>
    <t>2025-10215</t>
  </si>
  <si>
    <t>2025-10216</t>
  </si>
  <si>
    <t>2025-10217</t>
  </si>
  <si>
    <t>2025-10167</t>
  </si>
  <si>
    <t>2025-10134</t>
  </si>
  <si>
    <t>2025-10135</t>
  </si>
  <si>
    <t>2025-10181</t>
  </si>
  <si>
    <t>ESTERILIZADOR 1,7Kg</t>
  </si>
  <si>
    <t>ENVASE 1,7Kg</t>
  </si>
  <si>
    <t>2025-10175</t>
  </si>
  <si>
    <t>2025-10171</t>
  </si>
  <si>
    <t>2025-10512</t>
  </si>
  <si>
    <t>2025-10145</t>
  </si>
  <si>
    <t>2025-10140</t>
  </si>
  <si>
    <t>2025-10147</t>
  </si>
  <si>
    <t>2025-10141</t>
  </si>
  <si>
    <t>2025-10148</t>
  </si>
  <si>
    <t>2025-10142</t>
  </si>
  <si>
    <t>2025-10149</t>
  </si>
  <si>
    <t>2025-10143</t>
  </si>
  <si>
    <t>2025-10144</t>
  </si>
  <si>
    <t>2025-10150</t>
  </si>
  <si>
    <t>2025-10090</t>
  </si>
  <si>
    <t>2025-10091</t>
  </si>
  <si>
    <t>2025-10146</t>
  </si>
  <si>
    <t>2025-10525</t>
  </si>
  <si>
    <t>2025-10520</t>
  </si>
  <si>
    <t>2025-10527</t>
  </si>
  <si>
    <t>2025-10521</t>
  </si>
  <si>
    <t>2025-10528</t>
  </si>
  <si>
    <t>2025-10522</t>
  </si>
  <si>
    <t>2025-10529</t>
  </si>
  <si>
    <t>2025-10523</t>
  </si>
  <si>
    <t>2025-10524</t>
  </si>
  <si>
    <t>2025-10174</t>
  </si>
  <si>
    <t>2025-10202</t>
  </si>
  <si>
    <t>2025-10203</t>
  </si>
  <si>
    <t>2025-10526</t>
  </si>
  <si>
    <t>TE-3510.1</t>
  </si>
  <si>
    <t>2025-10511</t>
  </si>
  <si>
    <t>TIT-6000</t>
  </si>
  <si>
    <t>TRANSMISSOR INDICADOR DE TEMPERATURA DIGITAL</t>
  </si>
  <si>
    <t>2025-10152</t>
  </si>
  <si>
    <t>2025-10153</t>
  </si>
  <si>
    <t>2025-10154</t>
  </si>
  <si>
    <r>
      <t xml:space="preserve">ERRO MÁXIMO ACEITÁVEL 
</t>
    </r>
    <r>
      <rPr>
        <b/>
        <sz val="9"/>
        <color rgb="FFFF0000"/>
        <rFont val="Calibri"/>
        <family val="2"/>
      </rPr>
      <t>MAXIMUM ERROR ACCEPTED</t>
    </r>
  </si>
  <si>
    <t>PAQ-0104</t>
  </si>
  <si>
    <t>2025-10155</t>
  </si>
  <si>
    <t>2024-08650</t>
  </si>
  <si>
    <t>2025-10093</t>
  </si>
  <si>
    <t>2025-10180</t>
  </si>
  <si>
    <t>CONTROLADOR / INDICADOR DE TEMPERATURA DIGITAL</t>
  </si>
  <si>
    <t>TEMPERATURA DA SALMOURA LINHA 02</t>
  </si>
  <si>
    <t>TER-9280.1</t>
  </si>
  <si>
    <t>76 .. 134 °C</t>
  </si>
  <si>
    <t>TRANSMISSOR INDICADOR DE TEMPERATURA  DIGITAL</t>
  </si>
  <si>
    <t>TIT-6100</t>
  </si>
  <si>
    <t>PESO CANECA 10</t>
  </si>
  <si>
    <t>2025-10185</t>
  </si>
  <si>
    <t>2025-10516</t>
  </si>
  <si>
    <t>2025-10517</t>
  </si>
  <si>
    <t>2025-10518</t>
  </si>
  <si>
    <t>0 a 200◦C</t>
  </si>
  <si>
    <t>A DEFINIR</t>
  </si>
  <si>
    <t>TAC-0003</t>
  </si>
  <si>
    <t>TAC-0004</t>
  </si>
  <si>
    <t>2,5 a 999,9 rpm</t>
  </si>
  <si>
    <t>10 a 50 rpm</t>
  </si>
  <si>
    <t>2025-10101</t>
  </si>
  <si>
    <t>2025-10116</t>
  </si>
  <si>
    <t>ENCAIXOTAMENTO</t>
  </si>
  <si>
    <t>2025-10639</t>
  </si>
  <si>
    <t>2025-10675</t>
  </si>
  <si>
    <t>2025-10640</t>
  </si>
  <si>
    <t>2025-10680</t>
  </si>
  <si>
    <t>2025-10644</t>
  </si>
  <si>
    <t>2025-10638</t>
  </si>
  <si>
    <t>2025-10641</t>
  </si>
  <si>
    <t>2025-10642</t>
  </si>
  <si>
    <t>2025-10681</t>
  </si>
  <si>
    <t>2025-10677</t>
  </si>
  <si>
    <t>2025-10674</t>
  </si>
  <si>
    <t>2025-10676</t>
  </si>
  <si>
    <t>2025-10678</t>
  </si>
  <si>
    <t>2025-10679</t>
  </si>
  <si>
    <t>TER-0198</t>
  </si>
  <si>
    <t>TER-0199</t>
  </si>
  <si>
    <t>TER-0200</t>
  </si>
  <si>
    <t>TER-0201</t>
  </si>
  <si>
    <t>TER-0202</t>
  </si>
  <si>
    <t>TER-0203</t>
  </si>
  <si>
    <t>TER-0204</t>
  </si>
  <si>
    <t>TER-0205</t>
  </si>
  <si>
    <t>TER-0206</t>
  </si>
  <si>
    <t>2025-10657</t>
  </si>
  <si>
    <t>2025-10658</t>
  </si>
  <si>
    <t>2025-10659</t>
  </si>
  <si>
    <t>2025-10660</t>
  </si>
  <si>
    <t>2025-10661</t>
  </si>
  <si>
    <t>2025-10662</t>
  </si>
  <si>
    <t>2025-10663</t>
  </si>
  <si>
    <t>2025-10664</t>
  </si>
  <si>
    <t>2025-10665</t>
  </si>
  <si>
    <t>TER-0196</t>
  </si>
  <si>
    <t>2025-10666</t>
  </si>
  <si>
    <t>DANIFICADO</t>
  </si>
  <si>
    <t>BAL-9227</t>
  </si>
  <si>
    <t>2025-10597</t>
  </si>
  <si>
    <t>2025-10598</t>
  </si>
  <si>
    <t>2025-10600</t>
  </si>
  <si>
    <t>2025-10601</t>
  </si>
  <si>
    <t>2025-10602</t>
  </si>
  <si>
    <t>2025-10603</t>
  </si>
  <si>
    <t>2025-10604</t>
  </si>
  <si>
    <t>2025-10606</t>
  </si>
  <si>
    <t>2025-10607</t>
  </si>
  <si>
    <t>2025-10609</t>
  </si>
  <si>
    <t>2025-10611</t>
  </si>
  <si>
    <t>2025-10612</t>
  </si>
  <si>
    <t>2025-10613</t>
  </si>
  <si>
    <t>2025-10615</t>
  </si>
  <si>
    <t>2025-10616</t>
  </si>
  <si>
    <t>2023-13600</t>
  </si>
  <si>
    <t>BAL-9213</t>
  </si>
  <si>
    <t>2025-10599</t>
  </si>
  <si>
    <t>BAL-9219</t>
  </si>
  <si>
    <t>PESO CANECA 09</t>
  </si>
  <si>
    <t>2025-10605</t>
  </si>
  <si>
    <t>2023-131594</t>
  </si>
  <si>
    <t>2025-10617</t>
  </si>
  <si>
    <t>2025-10619</t>
  </si>
  <si>
    <t>2025-10620</t>
  </si>
  <si>
    <t>2025-10621</t>
  </si>
  <si>
    <t>2025-10622</t>
  </si>
  <si>
    <t>2025-10623</t>
  </si>
  <si>
    <t>2025-10624</t>
  </si>
  <si>
    <t>2025-10627</t>
  </si>
  <si>
    <t>2025-10628</t>
  </si>
  <si>
    <t>2025-10629</t>
  </si>
  <si>
    <t>2025-10631</t>
  </si>
  <si>
    <t>2025-10632</t>
  </si>
  <si>
    <t>2025-10633</t>
  </si>
  <si>
    <t>2025-10635</t>
  </si>
  <si>
    <t>2025-10636</t>
  </si>
  <si>
    <t>BAL-9302</t>
  </si>
  <si>
    <t>2025-10618</t>
  </si>
  <si>
    <t>2023-13572</t>
  </si>
  <si>
    <t>BAL-9309</t>
  </si>
  <si>
    <t>BAL-9310</t>
  </si>
  <si>
    <t>2025-10625</t>
  </si>
  <si>
    <t>2025-10626</t>
  </si>
  <si>
    <t>.-</t>
  </si>
  <si>
    <t>BAL-9314</t>
  </si>
  <si>
    <t>2025-10630</t>
  </si>
  <si>
    <t>FORA DE PRODUÇÃO SEM PREVISÃO DE RETORNO.</t>
  </si>
  <si>
    <t>1000 A 18000 L/h</t>
  </si>
  <si>
    <t>2 a 10 pH</t>
  </si>
  <si>
    <t>2 a 10pH</t>
  </si>
  <si>
    <t>MAS-0001</t>
  </si>
  <si>
    <t xml:space="preserve">MASSA </t>
  </si>
  <si>
    <t>MASSA</t>
  </si>
  <si>
    <t>500g</t>
  </si>
  <si>
    <t>2025-10637</t>
  </si>
  <si>
    <t>0 a 6kg</t>
  </si>
  <si>
    <t>0,4 a 6kg</t>
  </si>
  <si>
    <t>20°C a 60°C
100,0 A 900,0 s</t>
  </si>
  <si>
    <t>0,82
0,38</t>
  </si>
  <si>
    <t>°C
s</t>
  </si>
  <si>
    <t>CSC-0014</t>
  </si>
  <si>
    <t>15 a 50 µA</t>
  </si>
  <si>
    <t>PSV-001</t>
  </si>
  <si>
    <t>PSV-002</t>
  </si>
  <si>
    <t>VÃLVULA DE SEGURANÇA</t>
  </si>
  <si>
    <t>Abre 1,5 kgf/cm²
Fecha 1,4 kgf/cm²</t>
  </si>
  <si>
    <t>Abre 1,5 kgf/cm²
Fecha 1,4 kgf/cm131</t>
  </si>
  <si>
    <t>2025-10176</t>
  </si>
  <si>
    <t>2025-10177</t>
  </si>
  <si>
    <t>2025-10608</t>
  </si>
  <si>
    <t>TAC-0005</t>
  </si>
  <si>
    <t>2025-10610</t>
  </si>
  <si>
    <t>PI-0002.1</t>
  </si>
  <si>
    <t>2025-10647</t>
  </si>
  <si>
    <t>2025-10670</t>
  </si>
  <si>
    <t>2025-10668</t>
  </si>
  <si>
    <t>2025-10671</t>
  </si>
  <si>
    <t>2025-10669</t>
  </si>
  <si>
    <t>2025-10646</t>
  </si>
  <si>
    <t>DEC-0001</t>
  </si>
  <si>
    <t>DEC-0002</t>
  </si>
  <si>
    <t>2025-10673</t>
  </si>
  <si>
    <t>2025-10667</t>
  </si>
  <si>
    <t>2025-10672</t>
  </si>
  <si>
    <t>2025-10648</t>
  </si>
  <si>
    <t>TE-0002</t>
  </si>
  <si>
    <t>TE-0001</t>
  </si>
  <si>
    <t>MULT-0001</t>
  </si>
  <si>
    <t>2025-10649</t>
  </si>
  <si>
    <t>TER-0145</t>
  </si>
  <si>
    <t>2025-10653</t>
  </si>
  <si>
    <t>PAQ-0106</t>
  </si>
  <si>
    <t>2025-10654</t>
  </si>
  <si>
    <t>2025-10655</t>
  </si>
  <si>
    <t>2025-10650</t>
  </si>
  <si>
    <t>2025-10651</t>
  </si>
  <si>
    <t>2025-10634</t>
  </si>
  <si>
    <t>2025-10995</t>
  </si>
  <si>
    <t>2025-10996</t>
  </si>
  <si>
    <t>2025-10686</t>
  </si>
  <si>
    <t>2025-10685</t>
  </si>
  <si>
    <t>IRI-FQI8100</t>
  </si>
  <si>
    <t>IRI-BAL-3568</t>
  </si>
  <si>
    <t>IRI-4911</t>
  </si>
  <si>
    <t>IRI-2080717</t>
  </si>
  <si>
    <t>IRI-10691310</t>
  </si>
  <si>
    <t>IRI-12717564</t>
  </si>
  <si>
    <t>IRI-12717566</t>
  </si>
  <si>
    <t>IRI-12717569</t>
  </si>
  <si>
    <t>IRI-12717572</t>
  </si>
  <si>
    <t>IRI-12717576</t>
  </si>
  <si>
    <t>IRI-12717577</t>
  </si>
  <si>
    <t>IRI-12717580</t>
  </si>
  <si>
    <t>IRI-13106420</t>
  </si>
  <si>
    <t>IRI190521250</t>
  </si>
  <si>
    <t>IRI-DECADA</t>
  </si>
  <si>
    <t>IRI230419240</t>
  </si>
  <si>
    <t>IRI-08190260</t>
  </si>
  <si>
    <t>IRI-08190288</t>
  </si>
  <si>
    <t>IRI-08190640</t>
  </si>
  <si>
    <t>IRI-09190640</t>
  </si>
  <si>
    <t>IRI-1211220</t>
  </si>
  <si>
    <t>IRI-1221220</t>
  </si>
  <si>
    <t>IRI-3210721</t>
  </si>
  <si>
    <t>IRI-3220721</t>
  </si>
  <si>
    <t>IRI-38330240</t>
  </si>
  <si>
    <t>IRI-60VU1064</t>
  </si>
  <si>
    <t>IRI-AER-0001</t>
  </si>
  <si>
    <t>IRI-SER-0002</t>
  </si>
  <si>
    <t>IRI-AG-002</t>
  </si>
  <si>
    <t>IRI-AG-0006</t>
  </si>
  <si>
    <t>IRI-B1107017</t>
  </si>
  <si>
    <t>IRI-BAL-0003</t>
  </si>
  <si>
    <t>IRI-BAL-0005</t>
  </si>
  <si>
    <t>IRI-BAL-0006</t>
  </si>
  <si>
    <t>IRI-BAL-0010</t>
  </si>
  <si>
    <t>IRI-BAL-0013</t>
  </si>
  <si>
    <t>IRI-BAL-0017</t>
  </si>
  <si>
    <t>IRI-BAL-0046</t>
  </si>
  <si>
    <t>IRI-BAL-0047</t>
  </si>
  <si>
    <t>IRI-BAL-9211</t>
  </si>
  <si>
    <t>IRI-BAL-9212</t>
  </si>
  <si>
    <t>IRI-BAL-9214</t>
  </si>
  <si>
    <t>IRI-BAL-9215</t>
  </si>
  <si>
    <t>IRI-BAL-9216</t>
  </si>
  <si>
    <t>IRI-BAL-9217</t>
  </si>
  <si>
    <t>IRI-BAL-9218</t>
  </si>
  <si>
    <t>IRI-BAL-9220</t>
  </si>
  <si>
    <t>IRI-BAL-9221</t>
  </si>
  <si>
    <t>IRI-BAL-9222</t>
  </si>
  <si>
    <t>IRI-BAL-9223</t>
  </si>
  <si>
    <t>IRI-BAL-9224</t>
  </si>
  <si>
    <t>IRI-BAL-9225</t>
  </si>
  <si>
    <t>IRI-BAL-9226</t>
  </si>
  <si>
    <t>IRI-BAL-9229</t>
  </si>
  <si>
    <t>IRI-BAL-9230</t>
  </si>
  <si>
    <t>IRI-BAL-9301</t>
  </si>
  <si>
    <t>IRI-BAL-9303</t>
  </si>
  <si>
    <t>IRI-BAL-9304</t>
  </si>
  <si>
    <t>IRI-BAL-9305</t>
  </si>
  <si>
    <t>IRI-BAL-9306</t>
  </si>
  <si>
    <t>IRI-BAL-9307</t>
  </si>
  <si>
    <t>IRI-BAL-9308</t>
  </si>
  <si>
    <t>IRI-BAL-9311</t>
  </si>
  <si>
    <t>IRI-BAL-9312</t>
  </si>
  <si>
    <t>IRI-BAL-9313</t>
  </si>
  <si>
    <t>IRI-BAL-9315</t>
  </si>
  <si>
    <t>IRI-BAL-9316</t>
  </si>
  <si>
    <t>IRI-BAL-9317</t>
  </si>
  <si>
    <t>IRI-BAL-9318</t>
  </si>
  <si>
    <t>IRI-BAL-9319</t>
  </si>
  <si>
    <t>IRI-BAL-9320</t>
  </si>
  <si>
    <t>IRI-BM-0001</t>
  </si>
  <si>
    <t>IRI-BM-0002</t>
  </si>
  <si>
    <t>IRI-BURE-002</t>
  </si>
  <si>
    <t>IRI-BURE0017</t>
  </si>
  <si>
    <t>IRI-BURE0012</t>
  </si>
  <si>
    <t>IRI-BURE0013</t>
  </si>
  <si>
    <t>IRI-BURE0007</t>
  </si>
  <si>
    <t>IRI-BURE0023</t>
  </si>
  <si>
    <t>IRI-BURE0024</t>
  </si>
  <si>
    <t>IRI-CF-0002</t>
  </si>
  <si>
    <t>IRI-CORT0001</t>
  </si>
  <si>
    <t>IRI-CSC-0011</t>
  </si>
  <si>
    <t>IRII-CSC0013</t>
  </si>
  <si>
    <t>IRI-CSC-0016</t>
  </si>
  <si>
    <t>IRI-CSC-0018</t>
  </si>
  <si>
    <t>IRI-CSC-0019</t>
  </si>
  <si>
    <t>IRI-DENS0003</t>
  </si>
  <si>
    <t>IRI-EF-0001</t>
  </si>
  <si>
    <t>IRI-EF-0002</t>
  </si>
  <si>
    <t>IRI-EF-0003</t>
  </si>
  <si>
    <t>IRI-EF-0004</t>
  </si>
  <si>
    <t>IRI-ESC0001</t>
  </si>
  <si>
    <t>IRI-ESC0002</t>
  </si>
  <si>
    <t>IRI-ESC0007</t>
  </si>
  <si>
    <t>IRI-ESC0008</t>
  </si>
  <si>
    <t>IRI-ESP0001</t>
  </si>
  <si>
    <t>IRI-EST-003</t>
  </si>
  <si>
    <t>IRI-FI-4800E</t>
  </si>
  <si>
    <t>IRI-GAB0001A</t>
  </si>
  <si>
    <t>IRI-GAB-0022</t>
  </si>
  <si>
    <t>IRI-GAB0001</t>
  </si>
  <si>
    <t>IRIGRAN0002</t>
  </si>
  <si>
    <t>IRIGRAN0004</t>
  </si>
  <si>
    <t>IRIGRAN0005</t>
  </si>
  <si>
    <t>IRIGRAN0006</t>
  </si>
  <si>
    <t>IRIGRAN0007</t>
  </si>
  <si>
    <t>IRIGRAN0008</t>
  </si>
  <si>
    <t>IRIGRAN0009</t>
  </si>
  <si>
    <t>IRIGRAN0010</t>
  </si>
  <si>
    <t>IRIGRAN0011</t>
  </si>
  <si>
    <t>IRIGRAN0012</t>
  </si>
  <si>
    <t>IRIGRAN0013</t>
  </si>
  <si>
    <t>IRIGRAN0016</t>
  </si>
  <si>
    <t>IRIGRAN0017</t>
  </si>
  <si>
    <t>IRIGRAN0018</t>
  </si>
  <si>
    <t>IRIGRAN0020</t>
  </si>
  <si>
    <t>IRIGRAN0021</t>
  </si>
  <si>
    <t>IRIGRAN0022</t>
  </si>
  <si>
    <t>IRIGRAN0023</t>
  </si>
  <si>
    <t>IRIGRAN0024</t>
  </si>
  <si>
    <t>IRIGRAN0025</t>
  </si>
  <si>
    <t>IRIGRAN0026</t>
  </si>
  <si>
    <t>IRIGRAN0027</t>
  </si>
  <si>
    <t>IRI-GRAN0032</t>
  </si>
  <si>
    <t>IRI-GRAN0036</t>
  </si>
  <si>
    <t>IRI-GRAN0037</t>
  </si>
  <si>
    <t>IRI-GRAN0038</t>
  </si>
  <si>
    <t>IRI-GUI0001</t>
  </si>
  <si>
    <t>IRI-INC-0002</t>
  </si>
  <si>
    <t>IRIMAN0001LB</t>
  </si>
  <si>
    <t>IRI-MAN0002L</t>
  </si>
  <si>
    <t>IRI-MDE-0001</t>
  </si>
  <si>
    <t>IRI-MDE-0002</t>
  </si>
  <si>
    <t>IRI-MIC-0001</t>
  </si>
  <si>
    <t>IRI-MIC-0002</t>
  </si>
  <si>
    <t>IRI-MIC-0019</t>
  </si>
  <si>
    <t>IRI-PAQ-0003</t>
  </si>
  <si>
    <t>IRI-PAQ-0004</t>
  </si>
  <si>
    <t>IRI-PAQ-0005</t>
  </si>
  <si>
    <t>IRI-PAQ0041</t>
  </si>
  <si>
    <t>IRI-PQ-0085</t>
  </si>
  <si>
    <t>IRI-PQ-0086</t>
  </si>
  <si>
    <t>IRI-PAQ-0104</t>
  </si>
  <si>
    <t>IRI-PI-0001</t>
  </si>
  <si>
    <t>IRI-PI-0003</t>
  </si>
  <si>
    <t>IRI-PI-6041</t>
  </si>
  <si>
    <t>IRI-PI-8257</t>
  </si>
  <si>
    <t>IRI-PQF-0001</t>
  </si>
  <si>
    <t>IRI-PQF-0002</t>
  </si>
  <si>
    <t>IRI-RF-0001</t>
  </si>
  <si>
    <t>IRI-RF-0005</t>
  </si>
  <si>
    <t>IRI-RF-0024</t>
  </si>
  <si>
    <t>IRI-RF-0010</t>
  </si>
  <si>
    <t>IRI-RF-0012</t>
  </si>
  <si>
    <t>IRI-RF-0013</t>
  </si>
  <si>
    <t>IRI-RF-0014</t>
  </si>
  <si>
    <t>IRI-RF-0015</t>
  </si>
  <si>
    <t>IRI-RF-0016</t>
  </si>
  <si>
    <t>IRI-RF-0017</t>
  </si>
  <si>
    <t>IRI-RF-0019</t>
  </si>
  <si>
    <t>IRI-RF-0027</t>
  </si>
  <si>
    <t>IRI-RF-0025</t>
  </si>
  <si>
    <t>IRI-TE-8000</t>
  </si>
  <si>
    <t>IRI-TE-8001</t>
  </si>
  <si>
    <t>IRI-TE-8015</t>
  </si>
  <si>
    <t>IRI-TRE-0002</t>
  </si>
  <si>
    <t>IRI-TRE-0003</t>
  </si>
  <si>
    <t>IRI-TRM-0003</t>
  </si>
  <si>
    <t>IRI-TRM-0001</t>
  </si>
  <si>
    <t>IRI-TT-03B</t>
  </si>
  <si>
    <t>IRI-TUB-0001</t>
  </si>
  <si>
    <t>IRI-VAC-0011</t>
  </si>
  <si>
    <t>IRI-VAC-0013</t>
  </si>
  <si>
    <t>IRI-VAC-0017</t>
  </si>
  <si>
    <t>IRI-VAC-0088</t>
  </si>
  <si>
    <t>IRI-WIT4601A</t>
  </si>
  <si>
    <t>IRI-BTV-0001</t>
  </si>
  <si>
    <t>IRI-AGP-001</t>
  </si>
  <si>
    <t>IRI-TT-TT64M</t>
  </si>
  <si>
    <t>IRI-TI-3300</t>
  </si>
  <si>
    <t>IRI-TI-6030A</t>
  </si>
  <si>
    <t>IRI-PH-0018</t>
  </si>
  <si>
    <t>IRI-02200000</t>
  </si>
  <si>
    <t>IRI-TER-0195</t>
  </si>
  <si>
    <t>IRI-TER-0108</t>
  </si>
  <si>
    <t>IRI-TE-6080A</t>
  </si>
  <si>
    <t>IRI-TE-6080B</t>
  </si>
  <si>
    <t>IRI-TE-3300</t>
  </si>
  <si>
    <t>IRI-TE-2003</t>
  </si>
  <si>
    <t>IRI-TE-2004</t>
  </si>
  <si>
    <t>IRI-TE42</t>
  </si>
  <si>
    <t>IRI-TE-64M</t>
  </si>
  <si>
    <t>IRI-TE-9120A</t>
  </si>
  <si>
    <t>IRI-TIT-6060</t>
  </si>
  <si>
    <t>IRI-TIT-6040</t>
  </si>
  <si>
    <t>IRI-TIT-6050</t>
  </si>
  <si>
    <t>2025-10645</t>
  </si>
  <si>
    <t>2025-10643</t>
  </si>
  <si>
    <t>0,00 a  24,00 mA
in</t>
  </si>
  <si>
    <t>4,00 a  20,00 mA
in</t>
  </si>
  <si>
    <t>TERMORREATOR</t>
  </si>
  <si>
    <t>PI-0010</t>
  </si>
  <si>
    <t>2025-10997</t>
  </si>
  <si>
    <t>2025-10974</t>
  </si>
  <si>
    <t>2025-10975</t>
  </si>
  <si>
    <t>2025-10976</t>
  </si>
  <si>
    <t>IRI-TI-8550</t>
  </si>
  <si>
    <t>IRI-TI-8560</t>
  </si>
  <si>
    <t>IRI-TI-4004A</t>
  </si>
  <si>
    <t>IRI-TI-4004B</t>
  </si>
  <si>
    <t>IRI-TI-4202A</t>
  </si>
  <si>
    <t>IRI-TI-4202B</t>
  </si>
  <si>
    <t>IRI-TI-4204A</t>
  </si>
  <si>
    <t>IRI-TI-4204B</t>
  </si>
  <si>
    <t>IRI-TI-4301A</t>
  </si>
  <si>
    <t>IRI-TI-4301B</t>
  </si>
  <si>
    <t>IRI-TI-4401A</t>
  </si>
  <si>
    <t>IRI-TI-4401B</t>
  </si>
  <si>
    <t>IRI-TI-4402B</t>
  </si>
  <si>
    <t>IRI-TI-4402A</t>
  </si>
  <si>
    <t>IRI-TI-4404A</t>
  </si>
  <si>
    <t>IRI-TI-4404B</t>
  </si>
  <si>
    <t>IRI-TI-4501A</t>
  </si>
  <si>
    <t>IRI-TI-4501B</t>
  </si>
  <si>
    <t>IRI-TI-4504A</t>
  </si>
  <si>
    <t>IRI-TI-4504B</t>
  </si>
  <si>
    <t>IRI-TI-2300</t>
  </si>
  <si>
    <t>IRI-TI-6000B</t>
  </si>
  <si>
    <t>IRI-TI-6030B</t>
  </si>
  <si>
    <t>IRI-TI-6050B</t>
  </si>
  <si>
    <t>IRI-PH-0031</t>
  </si>
  <si>
    <t>IRI-REL-0010</t>
  </si>
  <si>
    <t>IRI-TAC-0003</t>
  </si>
  <si>
    <t>IRI-TAC-0004</t>
  </si>
  <si>
    <t>IRI-TER-0145</t>
  </si>
  <si>
    <t>IRI-TER-0196</t>
  </si>
  <si>
    <t>IRI-TER-0198</t>
  </si>
  <si>
    <t>IRI-TER-0199</t>
  </si>
  <si>
    <t>IRI-TER-0200</t>
  </si>
  <si>
    <t>IRI-TER-0201</t>
  </si>
  <si>
    <t>IRI-TER-0202</t>
  </si>
  <si>
    <t>IRI-TER-0203</t>
  </si>
  <si>
    <t>IRI-TER-0204</t>
  </si>
  <si>
    <t>IRI-TER-0205</t>
  </si>
  <si>
    <t>IRI-TER-0206</t>
  </si>
  <si>
    <t>IRI-TE-2300</t>
  </si>
  <si>
    <t>IRI-TE-6030A</t>
  </si>
  <si>
    <t>IRI-TE-6030B</t>
  </si>
  <si>
    <t>IRI-TE-9110A</t>
  </si>
  <si>
    <t>IRI-TE-9110B</t>
  </si>
  <si>
    <t>IRI-TE-9120B</t>
  </si>
  <si>
    <t>IRI-TE-9130A</t>
  </si>
  <si>
    <t>IRI-TE-9130B</t>
  </si>
  <si>
    <t>IRI-TE-9140A</t>
  </si>
  <si>
    <t>IRI-TE-9140B</t>
  </si>
  <si>
    <t>IRI-TE-9250A</t>
  </si>
  <si>
    <t>IRI-TE-6060A</t>
  </si>
  <si>
    <t>IRI-TE-6060B</t>
  </si>
  <si>
    <t>IRI-TE-6090A</t>
  </si>
  <si>
    <t>IRI-TE-6090B</t>
  </si>
  <si>
    <t>IRI-TE-6100A</t>
  </si>
  <si>
    <t>IRI-TE-6100B</t>
  </si>
  <si>
    <t>IRI-TE-6070A</t>
  </si>
  <si>
    <t>IRI-TE-6070B</t>
  </si>
  <si>
    <t>IRI-TT-4202A</t>
  </si>
  <si>
    <t>IRI-TT-4202B</t>
  </si>
  <si>
    <t>IRI-TT-4204B</t>
  </si>
  <si>
    <t>IRI-TT-4301A</t>
  </si>
  <si>
    <t>IRI-TT-4301B</t>
  </si>
  <si>
    <t>IRI-TT-4401A</t>
  </si>
  <si>
    <t>IRI-TT-4401B</t>
  </si>
  <si>
    <t>IRI-TT-4402A</t>
  </si>
  <si>
    <t>IRI-TT-4402B</t>
  </si>
  <si>
    <t>IRI-TT-4404A</t>
  </si>
  <si>
    <t>IRI-TT-4404B</t>
  </si>
  <si>
    <t>IRI-TT-4501A</t>
  </si>
  <si>
    <t>IRI-TT-4501B</t>
  </si>
  <si>
    <t>IRI-TT-4504A</t>
  </si>
  <si>
    <t>IRI-TT-4504B</t>
  </si>
  <si>
    <t>IRI-TIT-6080</t>
  </si>
  <si>
    <t>IRI-TIT-9130</t>
  </si>
  <si>
    <t>IRI-TIT-9250</t>
  </si>
  <si>
    <t>IRI-TIT-6070</t>
  </si>
  <si>
    <t>IRI-TIT-6090</t>
  </si>
  <si>
    <t>IRI-TIT-6100</t>
  </si>
  <si>
    <t>IRI-TIT-6000</t>
  </si>
  <si>
    <t>IRI-TCL-0004</t>
  </si>
  <si>
    <t>IRI-TCL-0005</t>
  </si>
  <si>
    <t>IRI-TCL-001B</t>
  </si>
  <si>
    <t>IRI-TCL-0021</t>
  </si>
  <si>
    <t>IRI-TCL-002A</t>
  </si>
  <si>
    <t>IRI-TCL-002B</t>
  </si>
  <si>
    <t>IRI-TCL-003A</t>
  </si>
  <si>
    <t>IRI-TCL-003B</t>
  </si>
  <si>
    <t>IRI-TCL-004A</t>
  </si>
  <si>
    <t>IRI-TCL-004B</t>
  </si>
  <si>
    <t>IRI-TCL-005B</t>
  </si>
  <si>
    <t>IRI-TCL-010B</t>
  </si>
  <si>
    <t>IRI-TCL-07</t>
  </si>
  <si>
    <t>IRI-TCL-081</t>
  </si>
  <si>
    <t>IRI-TCL-111</t>
  </si>
  <si>
    <t>IRI-TCL-122B</t>
  </si>
  <si>
    <t>IRI-TCL-3A</t>
  </si>
  <si>
    <t>IRI-TCL-3B</t>
  </si>
  <si>
    <t>IRI-TCL-601</t>
  </si>
  <si>
    <t>IRI-WIT-8000</t>
  </si>
  <si>
    <t>IRI-WIT-8001</t>
  </si>
  <si>
    <t>IRI-TI-8011</t>
  </si>
  <si>
    <t>IRI-TI-8012</t>
  </si>
  <si>
    <t>IRI-TI-8013</t>
  </si>
  <si>
    <t>IRI-TI-8014</t>
  </si>
  <si>
    <t>IRI-TI-8021</t>
  </si>
  <si>
    <t>IRI-TI-8022</t>
  </si>
  <si>
    <t>IRI-TI-8023</t>
  </si>
  <si>
    <t>IRI-TI-8024</t>
  </si>
  <si>
    <t>IRI-TT-04</t>
  </si>
  <si>
    <t>IRI-TT-2A-B</t>
  </si>
  <si>
    <t>IRI-TT-2A-A</t>
  </si>
  <si>
    <t>IRI-TT-2B-B</t>
  </si>
  <si>
    <t>IRI-TT-2B-A</t>
  </si>
  <si>
    <t>IRI-TCL-2A-B</t>
  </si>
  <si>
    <t>IRI-TCL-2A-A</t>
  </si>
  <si>
    <t>IRI-TCL-2B-B</t>
  </si>
  <si>
    <t>IRI-TCL-2B-A</t>
  </si>
  <si>
    <t>IRI-FQI8101</t>
  </si>
  <si>
    <t>IRI-FI-001</t>
  </si>
  <si>
    <t>IRI-FT-001</t>
  </si>
  <si>
    <t>IRI-12717565</t>
  </si>
  <si>
    <t>IRI-BAL-0066</t>
  </si>
  <si>
    <t>IRI-AUI-0001</t>
  </si>
  <si>
    <t>IRI-203-7-17</t>
  </si>
  <si>
    <t>IRI-3380BAL8</t>
  </si>
  <si>
    <t>IRI-AG-0005</t>
  </si>
  <si>
    <t>IRI-AG-200</t>
  </si>
  <si>
    <t>IRI-BAL-002A</t>
  </si>
  <si>
    <t>IRI-BAL-0008</t>
  </si>
  <si>
    <t>IRI-BAL-0009</t>
  </si>
  <si>
    <t>IRI-BAL-0014</t>
  </si>
  <si>
    <t>IRI-BAL-0049</t>
  </si>
  <si>
    <t>IRI-BAL-0050</t>
  </si>
  <si>
    <t>IRI-BAL-9213</t>
  </si>
  <si>
    <t>IRI-BAL-9219</t>
  </si>
  <si>
    <t>IRI-BAL-9227</t>
  </si>
  <si>
    <t>IRI-BAL-9302</t>
  </si>
  <si>
    <t>IRI-BAL-9309</t>
  </si>
  <si>
    <t>IRI-BAL-9310</t>
  </si>
  <si>
    <t>IRI-BAL-9314</t>
  </si>
  <si>
    <t>IRI-CSC-0014</t>
  </si>
  <si>
    <t>IRI-CSC-0020</t>
  </si>
  <si>
    <t>IRI-FIT-4900</t>
  </si>
  <si>
    <t>IRI-LI-0002</t>
  </si>
  <si>
    <t>IRI-LIT-0002</t>
  </si>
  <si>
    <t>IRI-PAQ-0001</t>
  </si>
  <si>
    <t>IRI-PAQ-0106</t>
  </si>
  <si>
    <t>IRI-PAQ-0105</t>
  </si>
  <si>
    <t>IRI-PI-3004</t>
  </si>
  <si>
    <t>IRI-PI-6000A</t>
  </si>
  <si>
    <t>IRI-PI-6000B</t>
  </si>
  <si>
    <t>IRI-PI-6030A</t>
  </si>
  <si>
    <t>IRI-PI-6030B</t>
  </si>
  <si>
    <t>IRI-PI-6040A</t>
  </si>
  <si>
    <t>IRI-PI-6040B</t>
  </si>
  <si>
    <t>IRI-PI-6050A</t>
  </si>
  <si>
    <t>IRI-PI-6050B</t>
  </si>
  <si>
    <t>IRI-PI-9060</t>
  </si>
  <si>
    <t>IRI-TCL-001A</t>
  </si>
  <si>
    <t>IRI-TCL-005A</t>
  </si>
  <si>
    <t>IRI-TCL-010A</t>
  </si>
  <si>
    <t>IRI-TI-8115</t>
  </si>
  <si>
    <t>IRI-TE-8115</t>
  </si>
  <si>
    <t>IRI-TI-8102</t>
  </si>
  <si>
    <t>IRI-TI-8103</t>
  </si>
  <si>
    <t>IRI-TI-8214</t>
  </si>
  <si>
    <t>IRI-TT-0005</t>
  </si>
  <si>
    <t>IRI-TT-001A</t>
  </si>
  <si>
    <t>IRI-TT-001B</t>
  </si>
  <si>
    <t>IRI-TT-002A</t>
  </si>
  <si>
    <t>IRI-TT-002B</t>
  </si>
  <si>
    <t>IRI-TT-003A</t>
  </si>
  <si>
    <t>IRI-TT-003B</t>
  </si>
  <si>
    <t>IRI-TT-3B</t>
  </si>
  <si>
    <t>IRI-TT-03A</t>
  </si>
  <si>
    <t>IRI-TT-004A</t>
  </si>
  <si>
    <t>IRI-TT-004B</t>
  </si>
  <si>
    <t>IRI-TT-005A</t>
  </si>
  <si>
    <t>IRI-TT-005B</t>
  </si>
  <si>
    <t>IRI-TT-10B</t>
  </si>
  <si>
    <t>IRI-TT-07</t>
  </si>
  <si>
    <t>IRI-TT-081</t>
  </si>
  <si>
    <t>IRI-TT-010A</t>
  </si>
  <si>
    <t>IRI-TT-111</t>
  </si>
  <si>
    <t>IRI-TT-122B</t>
  </si>
  <si>
    <t>IRI-TT-601</t>
  </si>
  <si>
    <t>IRI-VAC-0089</t>
  </si>
  <si>
    <t>IRI-VISC-003</t>
  </si>
  <si>
    <t>IRI-VISC-001</t>
  </si>
  <si>
    <t>IRI-TT-0021</t>
  </si>
  <si>
    <t>IRI-WIT-9000</t>
  </si>
  <si>
    <t>IRI-WIT-9001</t>
  </si>
  <si>
    <t>IRI-PI-0008</t>
  </si>
  <si>
    <t>IRI-PI-0007</t>
  </si>
  <si>
    <t>IRI-PIT-653</t>
  </si>
  <si>
    <t>IRI-PI-653</t>
  </si>
  <si>
    <t>IRI-PIT-03</t>
  </si>
  <si>
    <t>IRI-PI-03</t>
  </si>
  <si>
    <t>IRI-LI-0003A</t>
  </si>
  <si>
    <t>IRI-LIT-003A</t>
  </si>
  <si>
    <t>IRI-BAL-0048</t>
  </si>
  <si>
    <t>IRI-CND-0001</t>
  </si>
  <si>
    <t>IRI-TER-0019</t>
  </si>
  <si>
    <t>IRI-FQI8000</t>
  </si>
  <si>
    <t>IRI-FQI8200</t>
  </si>
  <si>
    <t>IRI-FI-8200</t>
  </si>
  <si>
    <t>IRI-LIT-1001</t>
  </si>
  <si>
    <t>IRI-PSH-1001</t>
  </si>
  <si>
    <t>IRI-PT-3001</t>
  </si>
  <si>
    <t>IRI-TE-3000A</t>
  </si>
  <si>
    <t>IRI-TE-3001A</t>
  </si>
  <si>
    <t>IRI-TE-3002A</t>
  </si>
  <si>
    <t>IRI-TE-3003A</t>
  </si>
  <si>
    <t>IRI-TE-3004A</t>
  </si>
  <si>
    <t>IRI-TE-3006A</t>
  </si>
  <si>
    <t>IRI-TI-3000A</t>
  </si>
  <si>
    <t>IRI-TI-3001A</t>
  </si>
  <si>
    <t>IRI-TI-3002A</t>
  </si>
  <si>
    <t>IRI-TI-3003A</t>
  </si>
  <si>
    <t>IRI-TI-3004A</t>
  </si>
  <si>
    <t>IRI-LI-1001</t>
  </si>
  <si>
    <t>IRI-PIT-3001</t>
  </si>
  <si>
    <t>IRI-PI-1001</t>
  </si>
  <si>
    <t>IRI-PI-9100</t>
  </si>
  <si>
    <t>IRI-PI-8542</t>
  </si>
  <si>
    <t>IRI-PI-8541</t>
  </si>
  <si>
    <t>IRI-BAL-0062</t>
  </si>
  <si>
    <t>IRI-BAL-0063</t>
  </si>
  <si>
    <t>IRI-BAL-0065</t>
  </si>
  <si>
    <t>IRI-BAL-0064</t>
  </si>
  <si>
    <t>IRI-CRON-038</t>
  </si>
  <si>
    <t>IRI-CRON-039</t>
  </si>
  <si>
    <t>IRI-CRON-040</t>
  </si>
  <si>
    <t>IRI-CRON-041</t>
  </si>
  <si>
    <t>IRI-CRON-042</t>
  </si>
  <si>
    <t>IRI-CRON-043</t>
  </si>
  <si>
    <t>IRI-CRON-044</t>
  </si>
  <si>
    <t>IRI-CRON-045</t>
  </si>
  <si>
    <t>IRI-MCP-001</t>
  </si>
  <si>
    <t>IRI-MAS-0001</t>
  </si>
  <si>
    <t>IRI-PSV-001</t>
  </si>
  <si>
    <t>IRI-PSV-002</t>
  </si>
  <si>
    <t>2025-10972</t>
  </si>
  <si>
    <t>2025-10971</t>
  </si>
  <si>
    <t>2025-11789</t>
  </si>
  <si>
    <t>2025-11808</t>
  </si>
  <si>
    <t>2025-11809</t>
  </si>
  <si>
    <t>2025-11810</t>
  </si>
  <si>
    <t>2025-11811</t>
  </si>
  <si>
    <t>2025-11812</t>
  </si>
  <si>
    <t>2025-11813</t>
  </si>
  <si>
    <t>2025-11814</t>
  </si>
  <si>
    <t>2025-11839</t>
  </si>
  <si>
    <t>2025-11840</t>
  </si>
  <si>
    <t>2025-11841</t>
  </si>
  <si>
    <t>2025-11842</t>
  </si>
  <si>
    <t>2025-11843</t>
  </si>
  <si>
    <t>2025-11866</t>
  </si>
  <si>
    <t>2025-11790</t>
  </si>
  <si>
    <t>2025-11793</t>
  </si>
  <si>
    <t>2025-11786</t>
  </si>
  <si>
    <t>2025-11787</t>
  </si>
  <si>
    <t>2025-11792</t>
  </si>
  <si>
    <t>2025-11788</t>
  </si>
  <si>
    <t>2025-11791</t>
  </si>
  <si>
    <t>2025-11799</t>
  </si>
  <si>
    <t>2025-11794</t>
  </si>
  <si>
    <t>2025-11795</t>
  </si>
  <si>
    <t>2025-11844</t>
  </si>
  <si>
    <t>WIT-5101A</t>
  </si>
  <si>
    <t>TANQUE FORMULAÇÃO - TQ 5101</t>
  </si>
  <si>
    <t>WIT-5102A</t>
  </si>
  <si>
    <t>TANQUE FORMULAÇÃO - TQ 5102</t>
  </si>
  <si>
    <t>WIT-5103A</t>
  </si>
  <si>
    <t>TANQUE FORMULAÇÃO - TQ 5103</t>
  </si>
  <si>
    <t>2025-11586</t>
  </si>
  <si>
    <t>2025-11587</t>
  </si>
  <si>
    <t>TI-5101A</t>
  </si>
  <si>
    <t>0 .. 100 °C</t>
  </si>
  <si>
    <t>80 .. 85 °C</t>
  </si>
  <si>
    <t>TI-5101B</t>
  </si>
  <si>
    <t>TI-5102A</t>
  </si>
  <si>
    <t>TI-5102B</t>
  </si>
  <si>
    <t>TI-5103A</t>
  </si>
  <si>
    <t>TI-5103B</t>
  </si>
  <si>
    <t>TT-5101A</t>
  </si>
  <si>
    <t>TT-5101B</t>
  </si>
  <si>
    <t>TT-5102A</t>
  </si>
  <si>
    <t>TT-5102B</t>
  </si>
  <si>
    <t>TT-5103A</t>
  </si>
  <si>
    <t>TT-5103B</t>
  </si>
  <si>
    <t>2025-11596</t>
  </si>
  <si>
    <t>2025-11597</t>
  </si>
  <si>
    <t>2025-11598</t>
  </si>
  <si>
    <t>2025-11599</t>
  </si>
  <si>
    <t>2025-11600</t>
  </si>
  <si>
    <t>2025-11601</t>
  </si>
  <si>
    <t>2025-11634</t>
  </si>
  <si>
    <t>2025-11635</t>
  </si>
  <si>
    <t>2025-11636</t>
  </si>
  <si>
    <t>2025-11637</t>
  </si>
  <si>
    <t>2025-11639</t>
  </si>
  <si>
    <t>2025-11638</t>
  </si>
  <si>
    <t>2025-11585</t>
  </si>
  <si>
    <t>2025-11556</t>
  </si>
  <si>
    <t>2025-11557</t>
  </si>
  <si>
    <t>2025-11558</t>
  </si>
  <si>
    <t>2025-11559</t>
  </si>
  <si>
    <t>2025-11560</t>
  </si>
  <si>
    <t>2025-11561</t>
  </si>
  <si>
    <t>2025-11562</t>
  </si>
  <si>
    <t>2025-11563</t>
  </si>
  <si>
    <t>2025-11564</t>
  </si>
  <si>
    <t>2025-11796</t>
  </si>
  <si>
    <t>2025-11797</t>
  </si>
  <si>
    <t>2025-11853</t>
  </si>
  <si>
    <t>2025-11849</t>
  </si>
  <si>
    <t>TAC-0006</t>
  </si>
  <si>
    <t>2025-11783</t>
  </si>
  <si>
    <t>2025-11784</t>
  </si>
  <si>
    <t>AG-0004</t>
  </si>
  <si>
    <t>2500rpm</t>
  </si>
  <si>
    <t xml:space="preserve">2025-11846
</t>
  </si>
  <si>
    <t xml:space="preserve">INSTRUMENTO NOVO.
</t>
  </si>
  <si>
    <t>GRAN-0028</t>
  </si>
  <si>
    <t>1,40 mm</t>
  </si>
  <si>
    <t>2024-11457</t>
  </si>
  <si>
    <t>2025-11823</t>
  </si>
  <si>
    <t>GRAN-0034</t>
  </si>
  <si>
    <t>7,50 mm</t>
  </si>
  <si>
    <t>2025-11755</t>
  </si>
  <si>
    <t>2025-11754</t>
  </si>
  <si>
    <t>2025-11751</t>
  </si>
  <si>
    <t>2025-11756</t>
  </si>
  <si>
    <t>2025-11815</t>
  </si>
  <si>
    <t>2025-11817</t>
  </si>
  <si>
    <t>2025-11822</t>
  </si>
  <si>
    <t>2025-11770</t>
  </si>
  <si>
    <t>2025-11826</t>
  </si>
  <si>
    <t>2025-11820</t>
  </si>
  <si>
    <t>2025-11827</t>
  </si>
  <si>
    <t>2025-11825</t>
  </si>
  <si>
    <t>2025-11818</t>
  </si>
  <si>
    <t>2025-11819</t>
  </si>
  <si>
    <t>2025-11766</t>
  </si>
  <si>
    <t>2025-11821</t>
  </si>
  <si>
    <t>2025-11768</t>
  </si>
  <si>
    <t>2025-11771</t>
  </si>
  <si>
    <t>2025-11824</t>
  </si>
  <si>
    <t>2025-11769</t>
  </si>
  <si>
    <t>2025-11816</t>
  </si>
  <si>
    <t>2025-11845</t>
  </si>
  <si>
    <t>GRAN-0042</t>
  </si>
  <si>
    <t>2025-06960</t>
  </si>
  <si>
    <t>2025-11767</t>
  </si>
  <si>
    <t>2025-11829</t>
  </si>
  <si>
    <t>2025-11828</t>
  </si>
  <si>
    <t>2025-11831</t>
  </si>
  <si>
    <t>2025-11830</t>
  </si>
  <si>
    <t>TER-0131</t>
  </si>
  <si>
    <t>2025-01197</t>
  </si>
  <si>
    <t>2025-11850</t>
  </si>
  <si>
    <t>2025-11760</t>
  </si>
  <si>
    <t>2025-11759</t>
  </si>
  <si>
    <t>2025-11758</t>
  </si>
  <si>
    <t>2025-11757</t>
  </si>
  <si>
    <t>2025-11761</t>
  </si>
  <si>
    <t>2025-11565</t>
  </si>
  <si>
    <t>2025-11566</t>
  </si>
  <si>
    <t>2025-11567</t>
  </si>
  <si>
    <t>2025-11568</t>
  </si>
  <si>
    <t>2025-11800</t>
  </si>
  <si>
    <t>2025-11854</t>
  </si>
  <si>
    <t>2025-11855</t>
  </si>
  <si>
    <t>2025-11856</t>
  </si>
  <si>
    <t>2025-11857</t>
  </si>
  <si>
    <t>2025-11858</t>
  </si>
  <si>
    <t>2025-11859</t>
  </si>
  <si>
    <t>2025-11860</t>
  </si>
  <si>
    <t>2025-11861</t>
  </si>
  <si>
    <t>IRI-TI-5101A</t>
  </si>
  <si>
    <t>IRI-TI-5101B</t>
  </si>
  <si>
    <t>IRI-TI-5102A</t>
  </si>
  <si>
    <t>IRI-TI-5102B</t>
  </si>
  <si>
    <t>IRI-TI-5103A</t>
  </si>
  <si>
    <t>IRI-TI-5103B</t>
  </si>
  <si>
    <t>IRI-TT-5101A</t>
  </si>
  <si>
    <t>IRI-TT-5101B</t>
  </si>
  <si>
    <t>IRI-TT-5102A</t>
  </si>
  <si>
    <t>IRI-TT-5102B</t>
  </si>
  <si>
    <t>IRI-TT-5103A</t>
  </si>
  <si>
    <t>IRI-TT-5103B</t>
  </si>
  <si>
    <t>IRI-WIT5101A</t>
  </si>
  <si>
    <t>IRI-WIT5102A</t>
  </si>
  <si>
    <t>IRI-WIT5103A</t>
  </si>
  <si>
    <t>LUMINOMETRO LM1</t>
  </si>
  <si>
    <t>MXE0052</t>
  </si>
  <si>
    <t>RLU</t>
  </si>
  <si>
    <t>0 a 150RLU</t>
  </si>
  <si>
    <t>REFRATÔMETRO ANALÓGICO</t>
  </si>
  <si>
    <t>VACUÔMETRO ANALOGICO</t>
  </si>
  <si>
    <t>5 mm</t>
  </si>
  <si>
    <t>2025-11862</t>
  </si>
  <si>
    <t>2025-11864</t>
  </si>
  <si>
    <t>2025-11863</t>
  </si>
  <si>
    <t>2025-12440</t>
  </si>
  <si>
    <t>2025-12441</t>
  </si>
  <si>
    <t>2025-12443</t>
  </si>
  <si>
    <t>2025-12442</t>
  </si>
  <si>
    <t>2025-12444</t>
  </si>
  <si>
    <t>ÁREAS NÃO PRODUTIVAS</t>
  </si>
  <si>
    <t>0,5 a 999,9rpm</t>
  </si>
  <si>
    <t>TUNEL 06</t>
  </si>
  <si>
    <t>2025-11801</t>
  </si>
  <si>
    <t>2025-11865</t>
  </si>
  <si>
    <t>MESPACK 7 E 8</t>
  </si>
  <si>
    <t>RF-0028</t>
  </si>
  <si>
    <t>2026-00051</t>
  </si>
  <si>
    <t>2025-11834</t>
  </si>
  <si>
    <t>2025-11836</t>
  </si>
  <si>
    <t>2025-11837</t>
  </si>
  <si>
    <t>2025-11835</t>
  </si>
  <si>
    <t>2026-00052</t>
  </si>
  <si>
    <t>2026-00053</t>
  </si>
  <si>
    <t>2025-11852</t>
  </si>
  <si>
    <t>2025-11753</t>
  </si>
  <si>
    <t>2025-11752</t>
  </si>
  <si>
    <t>2025-11763</t>
  </si>
  <si>
    <t>2026-00006</t>
  </si>
  <si>
    <t>2025-11776</t>
  </si>
  <si>
    <t>2025-11775</t>
  </si>
  <si>
    <t>2025-11806</t>
  </si>
  <si>
    <t>2025-11807</t>
  </si>
  <si>
    <t>2026-00049</t>
  </si>
  <si>
    <t>2026-00005</t>
  </si>
  <si>
    <t>2025-11781</t>
  </si>
  <si>
    <t>2025-11765</t>
  </si>
  <si>
    <t>2025-11782</t>
  </si>
  <si>
    <t>2026-00007</t>
  </si>
  <si>
    <t>2025-11764</t>
  </si>
  <si>
    <t>2026-00008</t>
  </si>
  <si>
    <t>2026-00019</t>
  </si>
  <si>
    <t>2026-00020</t>
  </si>
  <si>
    <t>2026-00021</t>
  </si>
  <si>
    <t>2026-00022</t>
  </si>
  <si>
    <t>2026-00069</t>
  </si>
  <si>
    <t>2026-00070</t>
  </si>
  <si>
    <t>2026-00071</t>
  </si>
  <si>
    <t>2026-00072</t>
  </si>
  <si>
    <t>TT-4002A</t>
  </si>
  <si>
    <t>TT-4002B</t>
  </si>
  <si>
    <t>2025-11620</t>
  </si>
  <si>
    <t>2025-11621</t>
  </si>
  <si>
    <t>TT-4101A</t>
  </si>
  <si>
    <t>TT-4101B</t>
  </si>
  <si>
    <t>2025-11618</t>
  </si>
  <si>
    <t>2025-11619</t>
  </si>
  <si>
    <t>TT-4103A</t>
  </si>
  <si>
    <t>TT-4103B</t>
  </si>
  <si>
    <t>2025-11622</t>
  </si>
  <si>
    <t>2025-11623</t>
  </si>
  <si>
    <t>TT-4302A</t>
  </si>
  <si>
    <t>TT-4302B</t>
  </si>
  <si>
    <t>2025-11628</t>
  </si>
  <si>
    <t>TT-4304A</t>
  </si>
  <si>
    <t>TT-4304B</t>
  </si>
  <si>
    <t>2025-11630</t>
  </si>
  <si>
    <t>2025-11629</t>
  </si>
  <si>
    <t>TT-4502A</t>
  </si>
  <si>
    <t>TT-4502B</t>
  </si>
  <si>
    <t>2025-11632</t>
  </si>
  <si>
    <t>2025-11633</t>
  </si>
  <si>
    <t>2025-11631</t>
  </si>
  <si>
    <t>TT-4105A</t>
  </si>
  <si>
    <t>TT-4105B</t>
  </si>
  <si>
    <t>2025-11625</t>
  </si>
  <si>
    <t>2025-11805</t>
  </si>
  <si>
    <t>2025-11804</t>
  </si>
  <si>
    <t>2025-12430</t>
  </si>
  <si>
    <t>2025-12431</t>
  </si>
  <si>
    <t>2025-12432</t>
  </si>
  <si>
    <t>2025-12433</t>
  </si>
  <si>
    <t>2025-12435</t>
  </si>
  <si>
    <t>TANQUE FORMULAÇÃO - TQ 4105</t>
  </si>
  <si>
    <t>IRI-RF-0028</t>
  </si>
  <si>
    <t>IRI-TER-0131</t>
  </si>
  <si>
    <t>2025-11838</t>
  </si>
  <si>
    <t>2025-11588</t>
  </si>
  <si>
    <t>2025-11591</t>
  </si>
  <si>
    <t>2025-11592</t>
  </si>
  <si>
    <t>2025-11593</t>
  </si>
  <si>
    <t>2025-11589</t>
  </si>
  <si>
    <t>2025-11594</t>
  </si>
  <si>
    <t>WIT-4105A</t>
  </si>
  <si>
    <t>TANQUE FORMULAÇÃO - TQ 4105A</t>
  </si>
  <si>
    <t>2025-11602</t>
  </si>
  <si>
    <t>0 a 200 °C</t>
  </si>
  <si>
    <t>TI-4002A</t>
  </si>
  <si>
    <t>TI-4002B</t>
  </si>
  <si>
    <t>2025-11604</t>
  </si>
  <si>
    <t>2025-11605</t>
  </si>
  <si>
    <t>TI-4101A</t>
  </si>
  <si>
    <t>TI-4101B</t>
  </si>
  <si>
    <t>2025-11606</t>
  </si>
  <si>
    <t>2025-11607</t>
  </si>
  <si>
    <t>TI-4103A</t>
  </si>
  <si>
    <t>TI-4103B</t>
  </si>
  <si>
    <t>2025-11608</t>
  </si>
  <si>
    <t>2025-11609</t>
  </si>
  <si>
    <t>TI-4201A</t>
  </si>
  <si>
    <t>TI-4201B</t>
  </si>
  <si>
    <t>2025-11612</t>
  </si>
  <si>
    <t>2025-11613</t>
  </si>
  <si>
    <t>TI-4302A</t>
  </si>
  <si>
    <t>TI-4302B</t>
  </si>
  <si>
    <t>2025-11614</t>
  </si>
  <si>
    <t>2025-11615</t>
  </si>
  <si>
    <t>TI-4105A</t>
  </si>
  <si>
    <t>TI-4105B</t>
  </si>
  <si>
    <t>2025-11611</t>
  </si>
  <si>
    <t>TI-4304A</t>
  </si>
  <si>
    <t>TI-4304B</t>
  </si>
  <si>
    <t>2025-11616</t>
  </si>
  <si>
    <t>2025-11617</t>
  </si>
  <si>
    <t>2025-12434</t>
  </si>
  <si>
    <t>IRI-TI-4001A</t>
  </si>
  <si>
    <t>IRI-TI-4002A</t>
  </si>
  <si>
    <t>IRI-TI-4002B</t>
  </si>
  <si>
    <t>IRI-TI-4101A</t>
  </si>
  <si>
    <t>IRI-TI-4101B</t>
  </si>
  <si>
    <t>IRI-TI-4103</t>
  </si>
  <si>
    <t>IRI-TI-4103B</t>
  </si>
  <si>
    <t>IRI-TI-4105A</t>
  </si>
  <si>
    <t>IRI-TI-4105B</t>
  </si>
  <si>
    <t>IRI-TI-4201</t>
  </si>
  <si>
    <t>IRI-TI-4201B</t>
  </si>
  <si>
    <t>IRI-TI-4302</t>
  </si>
  <si>
    <t>IRI-TI-4302B</t>
  </si>
  <si>
    <t>IRI-TI-4304</t>
  </si>
  <si>
    <t>IRI-TI-4304B</t>
  </si>
  <si>
    <t>IRI-TI-4002</t>
  </si>
  <si>
    <t>IRI-TT-4002B</t>
  </si>
  <si>
    <t>IRI-TT-4101</t>
  </si>
  <si>
    <t>IRI-TT-4101B</t>
  </si>
  <si>
    <t>IRI-TT-4103</t>
  </si>
  <si>
    <t>IRI-TT-4103B</t>
  </si>
  <si>
    <t>IRI-TT-4105A</t>
  </si>
  <si>
    <t>IRI-TT-4105B</t>
  </si>
  <si>
    <t>IRI-TT-4302</t>
  </si>
  <si>
    <t>IRI-TT-4302B</t>
  </si>
  <si>
    <t>IRI-TT-4304</t>
  </si>
  <si>
    <t>IRI-TT-4304B</t>
  </si>
  <si>
    <t>IRI-TT-4502</t>
  </si>
  <si>
    <t>IRI-TT-4502B</t>
  </si>
  <si>
    <t>IRI-AG-0004</t>
  </si>
  <si>
    <t>IRI-GRAN-028</t>
  </si>
  <si>
    <t>IRI-GRAN-034</t>
  </si>
  <si>
    <t>IRI-GRAN-042</t>
  </si>
  <si>
    <t>IRI-WIT4105A</t>
  </si>
  <si>
    <t>IRI-LU-0001</t>
  </si>
  <si>
    <t>2025-11832</t>
  </si>
  <si>
    <t>2025-11833</t>
  </si>
  <si>
    <t>2026-00023</t>
  </si>
  <si>
    <t>2026-00024</t>
  </si>
  <si>
    <t>2026-00025</t>
  </si>
  <si>
    <t>2026-00026</t>
  </si>
  <si>
    <t>2026-00027</t>
  </si>
  <si>
    <t>2026-00028</t>
  </si>
  <si>
    <t>2026-00029</t>
  </si>
  <si>
    <t>2026-00030</t>
  </si>
  <si>
    <t>2026-00031</t>
  </si>
  <si>
    <t>2026-00032</t>
  </si>
  <si>
    <t>2026-00033</t>
  </si>
  <si>
    <t>2026-00034</t>
  </si>
  <si>
    <t>2026-00035</t>
  </si>
  <si>
    <t>2026-00036</t>
  </si>
  <si>
    <t>2026-00037</t>
  </si>
  <si>
    <t>2026-00038</t>
  </si>
  <si>
    <t>2026-00080</t>
  </si>
  <si>
    <t>2026-00079</t>
  </si>
  <si>
    <t>2026-00081</t>
  </si>
  <si>
    <t>2026-00082</t>
  </si>
  <si>
    <t>2026-00087</t>
  </si>
  <si>
    <t>2026-00088</t>
  </si>
  <si>
    <t>2026-00085</t>
  </si>
  <si>
    <t>2026-00086</t>
  </si>
  <si>
    <t>2026-00073</t>
  </si>
  <si>
    <t>2026-00074</t>
  </si>
  <si>
    <t>2026-00075</t>
  </si>
  <si>
    <t>2026-00076</t>
  </si>
  <si>
    <t>2026-00077</t>
  </si>
  <si>
    <t>2026-00078</t>
  </si>
  <si>
    <t>TI-0042</t>
  </si>
  <si>
    <t>TI-0044M</t>
  </si>
  <si>
    <t>TI-0064M</t>
  </si>
  <si>
    <t>TE-0042</t>
  </si>
  <si>
    <t>TE-0044M</t>
  </si>
  <si>
    <t>TE-0045</t>
  </si>
  <si>
    <t>TE-0064M</t>
  </si>
  <si>
    <t>FI-0001</t>
  </si>
  <si>
    <t>FIT-0001</t>
  </si>
  <si>
    <t>TI-0045</t>
  </si>
  <si>
    <t>2025-11590</t>
  </si>
  <si>
    <t>2026-00698</t>
  </si>
  <si>
    <t>2026-00699</t>
  </si>
  <si>
    <t>2026-00700</t>
  </si>
  <si>
    <t>2026-00040</t>
  </si>
  <si>
    <t>2026-00090</t>
  </si>
  <si>
    <t>2026-00091</t>
  </si>
  <si>
    <t>0,02 a 3,5kg</t>
  </si>
  <si>
    <t>2024-11478</t>
  </si>
  <si>
    <t>IRI-BAL-4655</t>
  </si>
  <si>
    <t xml:space="preserve">BANCADA DE ANALISE </t>
  </si>
  <si>
    <t>2024-11469</t>
  </si>
  <si>
    <t>IRI-12432789</t>
  </si>
  <si>
    <t>2024-11493</t>
  </si>
  <si>
    <t>IRI-12578805</t>
  </si>
  <si>
    <t>BAL-0001</t>
  </si>
  <si>
    <t>2024-11491</t>
  </si>
  <si>
    <t>IRI-BAL-001</t>
  </si>
  <si>
    <t>BAL-0002</t>
  </si>
  <si>
    <t>2024-11483</t>
  </si>
  <si>
    <t>IRI-BAL-0002</t>
  </si>
  <si>
    <t>BAL-0016</t>
  </si>
  <si>
    <t xml:space="preserve">5 a 7000g </t>
  </si>
  <si>
    <t>2024-11492</t>
  </si>
  <si>
    <t>IRI-BAL-0016</t>
  </si>
  <si>
    <t>BURE-0006</t>
  </si>
  <si>
    <t>2024-11504</t>
  </si>
  <si>
    <t>IRI-BURE0006</t>
  </si>
  <si>
    <t>BURE-0015</t>
  </si>
  <si>
    <t>2024-11506</t>
  </si>
  <si>
    <t>IRI-BURE0015</t>
  </si>
  <si>
    <t>BURE-0016</t>
  </si>
  <si>
    <t>2024-11505</t>
  </si>
  <si>
    <t>IRI-BURE0016</t>
  </si>
  <si>
    <t>BURE-0020</t>
  </si>
  <si>
    <t>0 .. 25 mL</t>
  </si>
  <si>
    <t>5 .. 25 mL</t>
  </si>
  <si>
    <t>2024-11503</t>
  </si>
  <si>
    <t>IRI-BURE0020</t>
  </si>
  <si>
    <t>ESC-0003</t>
  </si>
  <si>
    <t>0 a 150 cm</t>
  </si>
  <si>
    <t>30 a 150 cm</t>
  </si>
  <si>
    <t>2024-11515</t>
  </si>
  <si>
    <t>IRI-ESC-0003</t>
  </si>
  <si>
    <t>GAB-0002</t>
  </si>
  <si>
    <t>GABARITO TUBETE</t>
  </si>
  <si>
    <t>2024-11536</t>
  </si>
  <si>
    <t>IRI-GAB0002</t>
  </si>
  <si>
    <t>PH-0027</t>
  </si>
  <si>
    <t>2025-06984</t>
  </si>
  <si>
    <t>IRI-PH-0027</t>
  </si>
  <si>
    <t>TER-0178</t>
  </si>
  <si>
    <t>2025-06107</t>
  </si>
  <si>
    <t>IRI-TER-0178</t>
  </si>
  <si>
    <t>TER-0138</t>
  </si>
  <si>
    <t>2025-04780</t>
  </si>
  <si>
    <t>IRI-TER-0138</t>
  </si>
  <si>
    <t>2026-00041</t>
  </si>
  <si>
    <t>2026-00703</t>
  </si>
  <si>
    <t>LINHA 6 (M7 E M8)</t>
  </si>
  <si>
    <t>LINHA 1 (M1 E M2)</t>
  </si>
  <si>
    <t>2026-00701</t>
  </si>
  <si>
    <t>4 a 1000,0 kg</t>
  </si>
  <si>
    <t>2026-00061</t>
  </si>
  <si>
    <t>2026-00062</t>
  </si>
  <si>
    <t>2026-00064</t>
  </si>
  <si>
    <t>2026-00702</t>
  </si>
  <si>
    <t>2026-00017</t>
  </si>
  <si>
    <t>2026-00016</t>
  </si>
  <si>
    <t>2026-00015</t>
  </si>
  <si>
    <t>2026-00707</t>
  </si>
  <si>
    <t>2026-00001</t>
  </si>
  <si>
    <t>2026-01574</t>
  </si>
  <si>
    <t>TER-0087</t>
  </si>
  <si>
    <t>2026-01575</t>
  </si>
  <si>
    <t>BAL-0070</t>
  </si>
  <si>
    <t>BAL-0069</t>
  </si>
  <si>
    <t>2026-01450</t>
  </si>
  <si>
    <t>2026-01452</t>
  </si>
  <si>
    <t>2026-01451</t>
  </si>
  <si>
    <t>Criar</t>
  </si>
  <si>
    <t>2026-00970</t>
  </si>
  <si>
    <t>2026-01529</t>
  </si>
  <si>
    <t>2026-01530</t>
  </si>
  <si>
    <t>2026-01531</t>
  </si>
  <si>
    <t>2026-01731</t>
  </si>
  <si>
    <t>2026-01532</t>
  </si>
  <si>
    <t>2026-01533</t>
  </si>
  <si>
    <t>2026-01534</t>
  </si>
  <si>
    <t>TI-0021</t>
  </si>
  <si>
    <t>TI-0020</t>
  </si>
  <si>
    <t>TI-0025</t>
  </si>
  <si>
    <t>TI-0055</t>
  </si>
  <si>
    <t>2026-01461</t>
  </si>
  <si>
    <t>2026-01460</t>
  </si>
  <si>
    <t>2026-01459</t>
  </si>
  <si>
    <t>2026-01465</t>
  </si>
  <si>
    <t>2026-01466</t>
  </si>
  <si>
    <t>2026-01467</t>
  </si>
  <si>
    <t>2026-01468</t>
  </si>
  <si>
    <t>2026-01463</t>
  </si>
  <si>
    <t>2026-01464</t>
  </si>
  <si>
    <t>2026-01535</t>
  </si>
  <si>
    <t>2026-01536</t>
  </si>
  <si>
    <t>TE-0021.3</t>
  </si>
  <si>
    <t>TE-0020.3</t>
  </si>
  <si>
    <t>TE-0025.4</t>
  </si>
  <si>
    <t>2026-01585</t>
  </si>
  <si>
    <t>2026-01584</t>
  </si>
  <si>
    <t>2026-01587</t>
  </si>
  <si>
    <t>2026-01591</t>
  </si>
  <si>
    <t>2026-01590</t>
  </si>
  <si>
    <t>2026-01586</t>
  </si>
  <si>
    <t>2026-01594</t>
  </si>
  <si>
    <t>2026-01595</t>
  </si>
  <si>
    <t>2026-01592</t>
  </si>
  <si>
    <t>2026-01593</t>
  </si>
  <si>
    <t>PT-6061</t>
  </si>
  <si>
    <t>2026-01622</t>
  </si>
  <si>
    <t>2026-01621</t>
  </si>
  <si>
    <t>2026-01623</t>
  </si>
  <si>
    <t>2026-01625</t>
  </si>
  <si>
    <t>2026-01624</t>
  </si>
  <si>
    <t>2026-01727</t>
  </si>
  <si>
    <t>2026-01645</t>
  </si>
  <si>
    <t>PT-6000A</t>
  </si>
  <si>
    <t>PT-6000B</t>
  </si>
  <si>
    <t>2026-01517</t>
  </si>
  <si>
    <t>2026-01518</t>
  </si>
  <si>
    <t>2026-01519</t>
  </si>
  <si>
    <t>2026-01521</t>
  </si>
  <si>
    <t>2026-01522</t>
  </si>
  <si>
    <t>2026-01523</t>
  </si>
  <si>
    <t>2026-01524</t>
  </si>
  <si>
    <t>2026-01525</t>
  </si>
  <si>
    <t>2026-01528</t>
  </si>
  <si>
    <t>2026-01527</t>
  </si>
  <si>
    <t>2026-01526</t>
  </si>
  <si>
    <t>PI-6041.2</t>
  </si>
  <si>
    <t>2026-01537</t>
  </si>
  <si>
    <t>2026-01469</t>
  </si>
  <si>
    <t>2026-01470</t>
  </si>
  <si>
    <t>2026-01472</t>
  </si>
  <si>
    <t>2026-01471</t>
  </si>
  <si>
    <t>2026-01473</t>
  </si>
  <si>
    <t>2026-01474</t>
  </si>
  <si>
    <t>2026-01475</t>
  </si>
  <si>
    <t>2026-01476</t>
  </si>
  <si>
    <t>2026-01477</t>
  </si>
  <si>
    <t>2026-01478</t>
  </si>
  <si>
    <t>2026-01479</t>
  </si>
  <si>
    <t>2026-01480</t>
  </si>
  <si>
    <t>2026-01540</t>
  </si>
  <si>
    <t>2026-01539</t>
  </si>
  <si>
    <t>2026-01538</t>
  </si>
  <si>
    <t>2026-01541</t>
  </si>
  <si>
    <t>2026-01542</t>
  </si>
  <si>
    <t>2026-01543</t>
  </si>
  <si>
    <t>2026-01596</t>
  </si>
  <si>
    <t>2026-01597</t>
  </si>
  <si>
    <t>2026-01598</t>
  </si>
  <si>
    <t>2026-01599</t>
  </si>
  <si>
    <t>2026-01600</t>
  </si>
  <si>
    <t>2026-01601</t>
  </si>
  <si>
    <t>2026-01602</t>
  </si>
  <si>
    <t>2026-01603</t>
  </si>
  <si>
    <t>2026-01604</t>
  </si>
  <si>
    <t>2026-01606</t>
  </si>
  <si>
    <t>2026-01607</t>
  </si>
  <si>
    <t>2026-01626</t>
  </si>
  <si>
    <t>2026-01627</t>
  </si>
  <si>
    <t>2026-01628</t>
  </si>
  <si>
    <t>2026-01629</t>
  </si>
  <si>
    <t>2026-01630</t>
  </si>
  <si>
    <t>2026-01631</t>
  </si>
  <si>
    <t>2026-01635</t>
  </si>
  <si>
    <t>2026-01632</t>
  </si>
  <si>
    <t>2026-01633</t>
  </si>
  <si>
    <t>2026-01634</t>
  </si>
  <si>
    <t>2026-01728</t>
  </si>
  <si>
    <t>2026-01729</t>
  </si>
  <si>
    <t>2026-01742</t>
  </si>
  <si>
    <t>BAL-0071</t>
  </si>
  <si>
    <t>CT-0001</t>
  </si>
  <si>
    <t>CF-0001</t>
  </si>
  <si>
    <t>2026-01458</t>
  </si>
  <si>
    <t>2026-01646</t>
  </si>
  <si>
    <t>MGOH-001</t>
  </si>
  <si>
    <t>MEGOHMETRO DIGITAL</t>
  </si>
  <si>
    <r>
      <t>0 .. 5,5 G</t>
    </r>
    <r>
      <rPr>
        <sz val="10"/>
        <color theme="1"/>
        <rFont val="Calibri"/>
        <family val="2"/>
      </rPr>
      <t>Ω</t>
    </r>
  </si>
  <si>
    <t>2026-01801</t>
  </si>
  <si>
    <t>2026-01449</t>
  </si>
  <si>
    <t>2026-01481</t>
  </si>
  <si>
    <t>2026-01482</t>
  </si>
  <si>
    <t>2026-01578</t>
  </si>
  <si>
    <t>2026-01608</t>
  </si>
  <si>
    <t>2026-01609</t>
  </si>
  <si>
    <t>2026-01483</t>
  </si>
  <si>
    <t>2026-01484</t>
  </si>
  <si>
    <t>2026-01579</t>
  </si>
  <si>
    <t>2026-01610</t>
  </si>
  <si>
    <t>2026-01611</t>
  </si>
  <si>
    <t>2026-01485</t>
  </si>
  <si>
    <t>2026-01486</t>
  </si>
  <si>
    <t>2026-01580</t>
  </si>
  <si>
    <t>2026-01612</t>
  </si>
  <si>
    <t>2026-01613</t>
  </si>
  <si>
    <t>2026-01487</t>
  </si>
  <si>
    <t>2026-01488</t>
  </si>
  <si>
    <t>2026-01614</t>
  </si>
  <si>
    <t>2026-01615</t>
  </si>
  <si>
    <t>2026-01489</t>
  </si>
  <si>
    <t>2026-01490</t>
  </si>
  <si>
    <t>2026-01581</t>
  </si>
  <si>
    <t>2026-01616</t>
  </si>
  <si>
    <t>2026-01617</t>
  </si>
  <si>
    <t>2026-01491</t>
  </si>
  <si>
    <t>2026-01492</t>
  </si>
  <si>
    <t>2026-01618</t>
  </si>
  <si>
    <t>2026-01619</t>
  </si>
  <si>
    <t>2026-01493</t>
  </si>
  <si>
    <t>2026-01494</t>
  </si>
  <si>
    <t>2026-01582</t>
  </si>
  <si>
    <t>2026-02035</t>
  </si>
  <si>
    <t>2026-02036</t>
  </si>
  <si>
    <t>2026-01495</t>
  </si>
  <si>
    <t>2026-01496</t>
  </si>
  <si>
    <t>2026-02037</t>
  </si>
  <si>
    <t>2026-02038</t>
  </si>
  <si>
    <t>2026-01497</t>
  </si>
  <si>
    <t>2026-01498</t>
  </si>
  <si>
    <t>2026-02040</t>
  </si>
  <si>
    <t>2026-02039</t>
  </si>
  <si>
    <t>2026-01744</t>
  </si>
  <si>
    <t>2026-01745</t>
  </si>
  <si>
    <t>2026-01499</t>
  </si>
  <si>
    <t>2026-01500</t>
  </si>
  <si>
    <t>2026-01544</t>
  </si>
  <si>
    <t>2026-01636</t>
  </si>
  <si>
    <t>2026-01501</t>
  </si>
  <si>
    <t>2026-01502</t>
  </si>
  <si>
    <t>2026-01545</t>
  </si>
  <si>
    <t>2026-01637</t>
  </si>
  <si>
    <t>2026-01503</t>
  </si>
  <si>
    <t>2026-01504</t>
  </si>
  <si>
    <t>2026-01546</t>
  </si>
  <si>
    <t>2026-01638</t>
  </si>
  <si>
    <t>2026-01505</t>
  </si>
  <si>
    <t>2026-01506</t>
  </si>
  <si>
    <t>2026-01547</t>
  </si>
  <si>
    <t>2026-01639</t>
  </si>
  <si>
    <t>2026-01508</t>
  </si>
  <si>
    <t>2026-01507</t>
  </si>
  <si>
    <t>2026-01548</t>
  </si>
  <si>
    <t>2026-01640</t>
  </si>
  <si>
    <t>2026-01509</t>
  </si>
  <si>
    <t>2026-01510</t>
  </si>
  <si>
    <t>2026-01549</t>
  </si>
  <si>
    <t>2026-01641</t>
  </si>
  <si>
    <t>2026-01511</t>
  </si>
  <si>
    <t>2026-01512</t>
  </si>
  <si>
    <t>2026-01550</t>
  </si>
  <si>
    <t>2026-01642</t>
  </si>
  <si>
    <t>2026-01513</t>
  </si>
  <si>
    <t>2026-01514</t>
  </si>
  <si>
    <t>2026-01551</t>
  </si>
  <si>
    <t>2026-01643</t>
  </si>
  <si>
    <t>2026-01515</t>
  </si>
  <si>
    <t>2026-01516</t>
  </si>
  <si>
    <t>2026-01552</t>
  </si>
  <si>
    <t>2026-01644</t>
  </si>
  <si>
    <t>2026-01453</t>
  </si>
  <si>
    <t>2026-01855</t>
  </si>
  <si>
    <t>2026-01856</t>
  </si>
  <si>
    <t>2026-01857</t>
  </si>
  <si>
    <t>2026-01858</t>
  </si>
  <si>
    <t>2026-01859</t>
  </si>
  <si>
    <t>2026-01860</t>
  </si>
  <si>
    <t>2026-01861</t>
  </si>
  <si>
    <t>2026-01862</t>
  </si>
  <si>
    <t>2026-01863</t>
  </si>
  <si>
    <t>2026-01864</t>
  </si>
  <si>
    <t>2026-01865</t>
  </si>
  <si>
    <t>2026-01866</t>
  </si>
  <si>
    <t>2026-01891</t>
  </si>
  <si>
    <t>2026-01892</t>
  </si>
  <si>
    <t>2026-01893</t>
  </si>
  <si>
    <t>2026-01894</t>
  </si>
  <si>
    <t>2026-01895</t>
  </si>
  <si>
    <t>2026-01896</t>
  </si>
  <si>
    <t>2026-01897</t>
  </si>
  <si>
    <t>2026-01898</t>
  </si>
  <si>
    <t>2026-01899</t>
  </si>
  <si>
    <t>2026-01890</t>
  </si>
  <si>
    <t>2026-01901</t>
  </si>
  <si>
    <t>2026-01902</t>
  </si>
  <si>
    <t>2026-01900</t>
  </si>
  <si>
    <t>2026-01867</t>
  </si>
  <si>
    <t>2026-01868</t>
  </si>
  <si>
    <t>2026-01869</t>
  </si>
  <si>
    <t>2026-01870</t>
  </si>
  <si>
    <t>2026-01871</t>
  </si>
  <si>
    <t>2026-01872</t>
  </si>
  <si>
    <t>2026-01873</t>
  </si>
  <si>
    <t>2026-01874</t>
  </si>
  <si>
    <t>2026-01875</t>
  </si>
  <si>
    <t>2026-01876</t>
  </si>
  <si>
    <t>2026-01877</t>
  </si>
  <si>
    <t>2026-01878</t>
  </si>
  <si>
    <t>2026-01879</t>
  </si>
  <si>
    <t>2026-01880</t>
  </si>
  <si>
    <t>2026-01881</t>
  </si>
  <si>
    <t>2026-01882</t>
  </si>
  <si>
    <t>2026-01883</t>
  </si>
  <si>
    <t>2026-01884</t>
  </si>
  <si>
    <t>2026-01885</t>
  </si>
  <si>
    <t>2026-01886</t>
  </si>
  <si>
    <t>2026-01887</t>
  </si>
  <si>
    <t>2026-01888</t>
  </si>
  <si>
    <t>2026-01889</t>
  </si>
  <si>
    <t>2026-01568</t>
  </si>
  <si>
    <t>2026-01567</t>
  </si>
  <si>
    <t>2026-01454</t>
  </si>
  <si>
    <t>BURE-0019</t>
  </si>
  <si>
    <t>2026-02043</t>
  </si>
  <si>
    <t>2024-11507</t>
  </si>
  <si>
    <t>2026-02041</t>
  </si>
  <si>
    <t>2026-02042</t>
  </si>
  <si>
    <t>2026-02044</t>
  </si>
  <si>
    <t>IRI-PT-6061</t>
  </si>
  <si>
    <t>2026-01462</t>
  </si>
  <si>
    <t>2026-01605</t>
  </si>
  <si>
    <t>2026-01743</t>
  </si>
  <si>
    <t>0 a 7 kgf/cm2</t>
  </si>
  <si>
    <t>2026-01520</t>
  </si>
  <si>
    <t>0 a 4 kgf/cm²</t>
  </si>
  <si>
    <t>0 a 10 kgf/cm²</t>
  </si>
  <si>
    <t>0 a 3 kgf/cm²</t>
  </si>
  <si>
    <r>
      <t xml:space="preserve">DATA CALIBRAÇÃO PRÓXIMA 
</t>
    </r>
    <r>
      <rPr>
        <b/>
        <sz val="9"/>
        <color rgb="FFFF0000"/>
        <rFont val="Calibri"/>
        <family val="2"/>
      </rPr>
      <t>CALIBRATION DATE (NEXT)</t>
    </r>
  </si>
  <si>
    <t>2026-02233</t>
  </si>
  <si>
    <t>2026-02045</t>
  </si>
  <si>
    <t>2026-01456</t>
  </si>
  <si>
    <t>2026-01554</t>
  </si>
  <si>
    <t>2026-01555</t>
  </si>
  <si>
    <t>PH-0025</t>
  </si>
  <si>
    <t>2026-01570</t>
  </si>
  <si>
    <t>2026-01569</t>
  </si>
  <si>
    <t>2026-01457</t>
  </si>
  <si>
    <t>2026-00010</t>
  </si>
  <si>
    <t>2026-00011</t>
  </si>
  <si>
    <t>2026-01455</t>
  </si>
  <si>
    <t>2026-01572</t>
  </si>
  <si>
    <t>2026-02234</t>
  </si>
  <si>
    <t>2026-02260</t>
  </si>
  <si>
    <t>TER-0149</t>
  </si>
  <si>
    <t>2026-02261</t>
  </si>
  <si>
    <t>PH-0032</t>
  </si>
  <si>
    <t>2026-01571</t>
  </si>
  <si>
    <t>TAC-0011</t>
  </si>
  <si>
    <t>2026-02263</t>
  </si>
  <si>
    <t>PT-0002.1</t>
  </si>
  <si>
    <t>2026-02285</t>
  </si>
  <si>
    <t>2026-02281</t>
  </si>
  <si>
    <t>PS-0001.1</t>
  </si>
  <si>
    <t>2026-02283</t>
  </si>
  <si>
    <t>2026-02286</t>
  </si>
  <si>
    <t>2026-02262</t>
  </si>
  <si>
    <t>2026-01620</t>
  </si>
  <si>
    <t>2026-01577</t>
  </si>
  <si>
    <t>TE-0055.2</t>
  </si>
  <si>
    <t>PT-6000</t>
  </si>
  <si>
    <t>PT-6001</t>
  </si>
  <si>
    <t>BAL-0073</t>
  </si>
  <si>
    <t>BAL-0074</t>
  </si>
  <si>
    <t>BAL-0075</t>
  </si>
  <si>
    <t>BAL-0076</t>
  </si>
  <si>
    <t>GRAN-0003</t>
  </si>
  <si>
    <t>R-4786/26</t>
  </si>
  <si>
    <t>R-4785/26</t>
  </si>
  <si>
    <t>R-4788/26</t>
  </si>
  <si>
    <t>R-4789/26</t>
  </si>
  <si>
    <t>R-4781/26</t>
  </si>
  <si>
    <t>R-4782/26</t>
  </si>
  <si>
    <t>R-4787/26</t>
  </si>
  <si>
    <t>R-4783/26</t>
  </si>
  <si>
    <t>R-4784/26</t>
  </si>
  <si>
    <t>R-4780/26</t>
  </si>
  <si>
    <t>R-4779/26</t>
  </si>
  <si>
    <t>BAL-0072</t>
  </si>
  <si>
    <t>TI-4502A</t>
  </si>
  <si>
    <t>TI-4502B</t>
  </si>
  <si>
    <t>2025-11802</t>
  </si>
  <si>
    <t>2025-11803</t>
  </si>
  <si>
    <t>0 a 3000 mbar</t>
  </si>
  <si>
    <t xml:space="preserve">0 a 7 kgf/cm2 </t>
  </si>
  <si>
    <t xml:space="preserve">0 a 3 kgf/cm2 </t>
  </si>
  <si>
    <t xml:space="preserve"> kgf/cm2</t>
  </si>
  <si>
    <t>0,5 a 4100 g</t>
  </si>
  <si>
    <t>2026-01553</t>
  </si>
  <si>
    <t xml:space="preserve"> LABORATORIO </t>
  </si>
  <si>
    <t>2 a 13 mm</t>
  </si>
  <si>
    <t>-50 a 300 °C</t>
  </si>
  <si>
    <t>2026-02588</t>
  </si>
  <si>
    <t>2026-02589</t>
  </si>
  <si>
    <t>2026-02590</t>
  </si>
  <si>
    <t>2026-02691</t>
  </si>
  <si>
    <t>2026-02592</t>
  </si>
  <si>
    <t>2026-02593</t>
  </si>
  <si>
    <t>2026-02652</t>
  </si>
  <si>
    <t>2026-02653</t>
  </si>
  <si>
    <t>2026-02654</t>
  </si>
  <si>
    <t>2026-02655</t>
  </si>
  <si>
    <t>2026-02656</t>
  </si>
  <si>
    <t>2026-02657</t>
  </si>
  <si>
    <t>2026-02582</t>
  </si>
  <si>
    <t>2026-02660</t>
  </si>
  <si>
    <t>TT-4201A</t>
  </si>
  <si>
    <t>2026-02659</t>
  </si>
  <si>
    <t>2026-02658</t>
  </si>
  <si>
    <t>2026-02581</t>
  </si>
  <si>
    <t>2026-02583</t>
  </si>
  <si>
    <t>2026-02595</t>
  </si>
  <si>
    <t>2026-02596</t>
  </si>
  <si>
    <t>2026-02598</t>
  </si>
  <si>
    <t>2026-02640</t>
  </si>
  <si>
    <t>2026-02641</t>
  </si>
  <si>
    <t>2026-02642</t>
  </si>
  <si>
    <t>2026-02644</t>
  </si>
  <si>
    <t>2026-02643</t>
  </si>
  <si>
    <t>2026-02645</t>
  </si>
  <si>
    <t>2026-00009</t>
  </si>
  <si>
    <t>2026-00003</t>
  </si>
  <si>
    <t>2026-00055</t>
  </si>
  <si>
    <t>2026-00056</t>
  </si>
  <si>
    <t>2026-00092</t>
  </si>
  <si>
    <t>2026-00093</t>
  </si>
  <si>
    <t>2026-00004</t>
  </si>
  <si>
    <t>2026-00013</t>
  </si>
  <si>
    <t>2026-00018</t>
  </si>
  <si>
    <t>2026-00059</t>
  </si>
  <si>
    <t>BAL-0067</t>
  </si>
  <si>
    <t>10,80 bar - LIGA
13 bar - DESLIGA</t>
  </si>
  <si>
    <t>10,80 bar - LIGA
13bar - DESLIGA</t>
  </si>
  <si>
    <t>2026-02637</t>
  </si>
  <si>
    <t>2026-00083</t>
  </si>
  <si>
    <t>2026-00084</t>
  </si>
  <si>
    <t>2026-02568</t>
  </si>
  <si>
    <t>2026-02569</t>
  </si>
  <si>
    <t>2026-02570</t>
  </si>
  <si>
    <t>2026-02634</t>
  </si>
  <si>
    <t>2026-02576</t>
  </si>
  <si>
    <t>2026-02635</t>
  </si>
  <si>
    <t>TAC-0012</t>
  </si>
  <si>
    <t>TAC-0013</t>
  </si>
  <si>
    <t>2026-03076</t>
  </si>
  <si>
    <t>2026-03075</t>
  </si>
  <si>
    <t>0 .. 999,9 rpm</t>
  </si>
  <si>
    <t>ESC-0004</t>
  </si>
  <si>
    <t>2026-03103</t>
  </si>
  <si>
    <t>2026-03104</t>
  </si>
  <si>
    <t>2026-03105</t>
  </si>
  <si>
    <t>2026-03106</t>
  </si>
  <si>
    <t>PH-0033</t>
  </si>
  <si>
    <t>TER-0183</t>
  </si>
  <si>
    <t>2026-03107</t>
  </si>
  <si>
    <t>2026-02639</t>
  </si>
  <si>
    <t>2026-02638</t>
  </si>
  <si>
    <t>2026-02571</t>
  </si>
  <si>
    <t>2026-02572</t>
  </si>
  <si>
    <t>2026-02573</t>
  </si>
  <si>
    <t>2026-02574</t>
  </si>
  <si>
    <t>2026-02605</t>
  </si>
  <si>
    <t>2026-02600</t>
  </si>
  <si>
    <t>2026-02606</t>
  </si>
  <si>
    <t>2026-02607</t>
  </si>
  <si>
    <t>2026-02608</t>
  </si>
  <si>
    <t>2026-02609</t>
  </si>
  <si>
    <t>2026-02610</t>
  </si>
  <si>
    <t>2026-02611</t>
  </si>
  <si>
    <t>2026-02602</t>
  </si>
  <si>
    <t>2026-02603</t>
  </si>
  <si>
    <t>2026-02577</t>
  </si>
  <si>
    <t>2026-02578</t>
  </si>
  <si>
    <t>2026-02579</t>
  </si>
  <si>
    <t>2026-02580</t>
  </si>
  <si>
    <t>TIT-9270</t>
  </si>
  <si>
    <t>2026-03272</t>
  </si>
  <si>
    <t>2026-02650</t>
  </si>
  <si>
    <t>2026-02651</t>
  </si>
  <si>
    <t>2026-02646</t>
  </si>
  <si>
    <t>2026-02687</t>
  </si>
  <si>
    <t>2026-02648</t>
  </si>
  <si>
    <t>2026-02647</t>
  </si>
  <si>
    <t>2026-02666</t>
  </si>
  <si>
    <t>2026-02667</t>
  </si>
  <si>
    <t>2026-02668</t>
  </si>
  <si>
    <t>2026-02663</t>
  </si>
  <si>
    <t>2026-02664</t>
  </si>
  <si>
    <t>2026-02665</t>
  </si>
  <si>
    <t>2026-02696</t>
  </si>
  <si>
    <t>2026-02697</t>
  </si>
  <si>
    <t>2026-02698</t>
  </si>
  <si>
    <t>2026-02699</t>
  </si>
  <si>
    <t>AMU-0001</t>
  </si>
  <si>
    <t>2026-03275</t>
  </si>
  <si>
    <t>2026-03268</t>
  </si>
  <si>
    <t>2026-02604</t>
  </si>
  <si>
    <t>2026-03269</t>
  </si>
  <si>
    <t>2026-03270</t>
  </si>
  <si>
    <t>2026-03273</t>
  </si>
  <si>
    <t>2026-02613</t>
  </si>
  <si>
    <t>2026-02614</t>
  </si>
  <si>
    <t>2026-02615</t>
  </si>
  <si>
    <t>2026-02616</t>
  </si>
  <si>
    <t>2026-02617</t>
  </si>
  <si>
    <t>2026-02618</t>
  </si>
  <si>
    <t>2026-02619</t>
  </si>
  <si>
    <t>2026-02620</t>
  </si>
  <si>
    <t>2026-02621</t>
  </si>
  <si>
    <t>2026-02622</t>
  </si>
  <si>
    <t>2026-02623</t>
  </si>
  <si>
    <t>2026-02624</t>
  </si>
  <si>
    <t>2026-02625</t>
  </si>
  <si>
    <t>2026-02626</t>
  </si>
  <si>
    <t>2026-02627</t>
  </si>
  <si>
    <t>2026-02628</t>
  </si>
  <si>
    <t>2026-02629</t>
  </si>
  <si>
    <t>2026-02630</t>
  </si>
  <si>
    <t>2026-02631</t>
  </si>
  <si>
    <t>2026-02632</t>
  </si>
  <si>
    <t>2026-03291</t>
  </si>
  <si>
    <t>2026-03292</t>
  </si>
  <si>
    <t>2026-02633</t>
  </si>
  <si>
    <t>2026-03261</t>
  </si>
  <si>
    <t>2026-03262</t>
  </si>
  <si>
    <t>2026-03263</t>
  </si>
  <si>
    <t>2026-03264</t>
  </si>
  <si>
    <t>2026-03267</t>
  </si>
  <si>
    <t>2026-03265</t>
  </si>
  <si>
    <t>2026-03266</t>
  </si>
  <si>
    <t>2026-02669</t>
  </si>
  <si>
    <t>2026-02670</t>
  </si>
  <si>
    <t>2026-02671</t>
  </si>
  <si>
    <t>2026-02673</t>
  </si>
  <si>
    <t>2026-02674</t>
  </si>
  <si>
    <t>2026-02675</t>
  </si>
  <si>
    <t>2026-02677</t>
  </si>
  <si>
    <t>2026-02676</t>
  </si>
  <si>
    <t>2026-02679</t>
  </si>
  <si>
    <t>2026-02680</t>
  </si>
  <si>
    <t>2026-02681</t>
  </si>
  <si>
    <t>2026-02678</t>
  </si>
  <si>
    <t>2026-02682</t>
  </si>
  <si>
    <t>2026-02672</t>
  </si>
  <si>
    <t>2026-02683</t>
  </si>
  <si>
    <t>2026-02684</t>
  </si>
  <si>
    <t>2026-02685</t>
  </si>
  <si>
    <t>2026-02686</t>
  </si>
  <si>
    <t>2026-02688</t>
  </si>
  <si>
    <t>2026-02689</t>
  </si>
  <si>
    <t>2026-02690</t>
  </si>
  <si>
    <t>2026-02692</t>
  </si>
  <si>
    <t>2026-02693</t>
  </si>
  <si>
    <t>2026-02694</t>
  </si>
  <si>
    <t>2026-03271</t>
  </si>
  <si>
    <t>2026-03302</t>
  </si>
  <si>
    <t>2026-03301</t>
  </si>
  <si>
    <t>2026-03303</t>
  </si>
  <si>
    <t>2026-03304</t>
  </si>
  <si>
    <t>2026-03274</t>
  </si>
  <si>
    <t>TI-4001</t>
  </si>
  <si>
    <t>2026-02662</t>
  </si>
  <si>
    <t>2026-02636</t>
  </si>
  <si>
    <t>2026-02591</t>
  </si>
  <si>
    <t>2026-02575</t>
  </si>
  <si>
    <t>2026-02649</t>
  </si>
  <si>
    <t>BAL-0080</t>
  </si>
  <si>
    <t>2026-02235</t>
  </si>
  <si>
    <t>2026-03297</t>
  </si>
  <si>
    <t>0,600mm</t>
  </si>
  <si>
    <t>0,250mm</t>
  </si>
  <si>
    <t>0,150mm</t>
  </si>
  <si>
    <t>0,180mm</t>
  </si>
  <si>
    <t>0,500mm</t>
  </si>
  <si>
    <t>0,063mm</t>
  </si>
  <si>
    <t>0,300mm</t>
  </si>
  <si>
    <t>0,850mm</t>
  </si>
  <si>
    <t>0,425mm</t>
  </si>
  <si>
    <t>0,125mm</t>
  </si>
  <si>
    <t>0,106mm</t>
  </si>
  <si>
    <t>Kgf/cm²</t>
  </si>
  <si>
    <t>mmhH2O</t>
  </si>
  <si>
    <t>2026-02594</t>
  </si>
  <si>
    <t>2025-11569</t>
  </si>
  <si>
    <t>2026-01583</t>
  </si>
  <si>
    <t>INDICADOR DE VAZÃO DIGITAL</t>
  </si>
  <si>
    <t>TERMOMETRO ANALÓGICO</t>
  </si>
  <si>
    <t>2026-02601</t>
  </si>
  <si>
    <t>2026-03294</t>
  </si>
  <si>
    <t>2026-03293</t>
  </si>
  <si>
    <t xml:space="preserve">0 a 70 m³
/h </t>
  </si>
  <si>
    <t xml:space="preserve">0 a 72 m³
/h </t>
  </si>
  <si>
    <t>2026-02695</t>
  </si>
  <si>
    <t>2026-03894</t>
  </si>
  <si>
    <t>2026-03899</t>
  </si>
  <si>
    <t>2026-03900</t>
  </si>
  <si>
    <t>2026-03895</t>
  </si>
  <si>
    <t>2026-03896</t>
  </si>
  <si>
    <t>2026-03901</t>
  </si>
  <si>
    <t>2026-03897</t>
  </si>
  <si>
    <t>2026-03898</t>
  </si>
  <si>
    <t>2026-03893</t>
  </si>
  <si>
    <t>2026-03985</t>
  </si>
  <si>
    <t>2026-03983</t>
  </si>
  <si>
    <t>2026-03987</t>
  </si>
  <si>
    <t>2026-03982</t>
  </si>
  <si>
    <t>2026-03981</t>
  </si>
  <si>
    <t>2026-03984</t>
  </si>
  <si>
    <t>2026-03986</t>
  </si>
  <si>
    <t>2026-03980</t>
  </si>
  <si>
    <t>2026-03979</t>
  </si>
  <si>
    <t>2026-04028</t>
  </si>
  <si>
    <t>2026-03892</t>
  </si>
  <si>
    <t>2026-03888</t>
  </si>
  <si>
    <t>2026-03889</t>
  </si>
  <si>
    <t>2026-03890</t>
  </si>
  <si>
    <t>ESCALA METÁLICA GRADUADA</t>
  </si>
  <si>
    <t>77,5 mm</t>
  </si>
  <si>
    <t xml:space="preserve">BALANÇA DETERMINADORA DE UMIDADE DIGITAL </t>
  </si>
  <si>
    <t>MANÔMETRO (A)</t>
  </si>
  <si>
    <t>2026-03988</t>
  </si>
  <si>
    <t>2026-03989</t>
  </si>
  <si>
    <t>2026-03990</t>
  </si>
  <si>
    <t>2026-03991</t>
  </si>
  <si>
    <t>2026-03902</t>
  </si>
  <si>
    <t>2026-03905</t>
  </si>
  <si>
    <t>2026-03903</t>
  </si>
  <si>
    <t>2026-03904</t>
  </si>
  <si>
    <t>2026-03906</t>
  </si>
  <si>
    <t>2026-03907</t>
  </si>
  <si>
    <t>2026-03909</t>
  </si>
  <si>
    <t>2026-03908</t>
  </si>
  <si>
    <t>2026-03992</t>
  </si>
  <si>
    <t>2026-03993</t>
  </si>
  <si>
    <t>2026-03995</t>
  </si>
  <si>
    <t>2026-03994</t>
  </si>
  <si>
    <t>2026-03996</t>
  </si>
  <si>
    <t>2026-03997</t>
  </si>
  <si>
    <t>2026-03999</t>
  </si>
  <si>
    <t>2026-03998</t>
  </si>
  <si>
    <t>2026-03910</t>
  </si>
  <si>
    <t>2026-03912</t>
  </si>
  <si>
    <t>2026-03913</t>
  </si>
  <si>
    <t>2026-03911</t>
  </si>
  <si>
    <t>BAL-0081</t>
  </si>
  <si>
    <t>2026-04004</t>
  </si>
  <si>
    <t>2026-04005</t>
  </si>
  <si>
    <t>2026-04003</t>
  </si>
  <si>
    <t>2026-04006</t>
  </si>
  <si>
    <t>2026-03915</t>
  </si>
  <si>
    <t>2026-03917</t>
  </si>
  <si>
    <t>2026-03914</t>
  </si>
  <si>
    <t>2026-03916</t>
  </si>
  <si>
    <t>2026-03918</t>
  </si>
  <si>
    <t>2026-03919</t>
  </si>
  <si>
    <t>2026-03920</t>
  </si>
  <si>
    <t>2026-04002</t>
  </si>
  <si>
    <t>2026-04000</t>
  </si>
  <si>
    <t>2026-04001</t>
  </si>
  <si>
    <t>2026-03873</t>
  </si>
  <si>
    <t>2026-03874</t>
  </si>
  <si>
    <t>2026-03880</t>
  </si>
  <si>
    <t>2026-03881</t>
  </si>
  <si>
    <t>2026-04011</t>
  </si>
  <si>
    <t>2026-04010</t>
  </si>
  <si>
    <t>2026-03946</t>
  </si>
  <si>
    <t>2026-03951</t>
  </si>
  <si>
    <t>2026-03952</t>
  </si>
  <si>
    <t>2026-04024</t>
  </si>
  <si>
    <t>PT-9060.1</t>
  </si>
  <si>
    <t>2026-03927</t>
  </si>
  <si>
    <t>2026-04021</t>
  </si>
  <si>
    <t>2026-03945</t>
  </si>
  <si>
    <t>2026-03928</t>
  </si>
  <si>
    <t>2026-03950</t>
  </si>
  <si>
    <t>2026-04023</t>
  </si>
  <si>
    <t>2026-04007</t>
  </si>
  <si>
    <t>2026-04009</t>
  </si>
  <si>
    <t>2026-04008</t>
  </si>
  <si>
    <t>2026-03921</t>
  </si>
  <si>
    <t>2026-03922</t>
  </si>
  <si>
    <t>2026-03923</t>
  </si>
  <si>
    <t>2026-03925</t>
  </si>
  <si>
    <t>2026-03924</t>
  </si>
  <si>
    <t>TI-3006A</t>
  </si>
  <si>
    <t>2025-03640</t>
  </si>
  <si>
    <t>2026-03926</t>
  </si>
  <si>
    <t>2026-03883</t>
  </si>
  <si>
    <t>2026-03884</t>
  </si>
  <si>
    <t>2026-03885</t>
  </si>
  <si>
    <t xml:space="preserve">2026-03872
</t>
  </si>
  <si>
    <t>2026-03936</t>
  </si>
  <si>
    <t>2026-03933</t>
  </si>
  <si>
    <t>2026-03938</t>
  </si>
  <si>
    <t>2026-03934</t>
  </si>
  <si>
    <t>2026-03935</t>
  </si>
  <si>
    <t>2026-03939</t>
  </si>
  <si>
    <t>2026-03941</t>
  </si>
  <si>
    <t>2026-03940</t>
  </si>
  <si>
    <t>2026-03942</t>
  </si>
  <si>
    <t>2026-03943</t>
  </si>
  <si>
    <t>2026-03937</t>
  </si>
  <si>
    <t>2026-04015</t>
  </si>
  <si>
    <t>2026-04012</t>
  </si>
  <si>
    <t>2026-04017</t>
  </si>
  <si>
    <t>2026-04013</t>
  </si>
  <si>
    <t>2026-04018</t>
  </si>
  <si>
    <t>2026-04020</t>
  </si>
  <si>
    <t>2026-04014</t>
  </si>
  <si>
    <t>2026-04019</t>
  </si>
  <si>
    <t>2026-03308</t>
  </si>
  <si>
    <t>2026-03298</t>
  </si>
  <si>
    <t>2026-04016</t>
  </si>
  <si>
    <t>2026-03948</t>
  </si>
  <si>
    <t>2026-03886</t>
  </si>
  <si>
    <t>COMACO 1,7kg</t>
  </si>
  <si>
    <t>CONTROLALDOR / INDICADOR DE TEMPERATURA DIGITAL</t>
  </si>
  <si>
    <t>FI-0003</t>
  </si>
  <si>
    <t>FIT-0003</t>
  </si>
  <si>
    <t>300 a 2000 kg</t>
  </si>
  <si>
    <t>2026-03876</t>
  </si>
  <si>
    <t>2026-03868</t>
  </si>
  <si>
    <t>2026-03869</t>
  </si>
  <si>
    <t>2026-03870</t>
  </si>
  <si>
    <t>2026-03871</t>
  </si>
  <si>
    <t>2026-03879</t>
  </si>
  <si>
    <t>2026-03882</t>
  </si>
  <si>
    <t>2026-03944</t>
  </si>
  <si>
    <t>2026-03966</t>
  </si>
  <si>
    <t>2026-03965</t>
  </si>
  <si>
    <t>2026-03963</t>
  </si>
  <si>
    <t>2026-03960</t>
  </si>
  <si>
    <t>2026-03959</t>
  </si>
  <si>
    <t>2025-05175</t>
  </si>
  <si>
    <t>2026-03962</t>
  </si>
  <si>
    <t>2026-03961</t>
  </si>
  <si>
    <t>2026-03877</t>
  </si>
  <si>
    <t>2026-04029</t>
  </si>
  <si>
    <t>CONTROLADOR INDICADOR DE TEMPERATURA DIGITAL</t>
  </si>
  <si>
    <t>2026-03932</t>
  </si>
  <si>
    <t>2026-03931</t>
  </si>
  <si>
    <t>2026-03953</t>
  </si>
  <si>
    <t>2026-03954</t>
  </si>
  <si>
    <t>2026-03891</t>
  </si>
  <si>
    <t>2026-03875</t>
  </si>
  <si>
    <t>LT-1001</t>
  </si>
  <si>
    <t>INDICADOR DE PRESSÃO DIGITAL
(MALHA 4 a 20 mA)</t>
  </si>
  <si>
    <t>-50 a 50 mmH2O</t>
  </si>
  <si>
    <t>14,30 bar - LIGA
16,60 bar - DESLIGA</t>
  </si>
  <si>
    <t>2026-03300</t>
  </si>
  <si>
    <t>2026-03309</t>
  </si>
  <si>
    <t xml:space="preserve">10,40 bar - LIGA
10,80 bar - DESLIGA </t>
  </si>
  <si>
    <t>9,38 bar - LIGA 
11,8 bar - DESLIGA</t>
  </si>
  <si>
    <t>2026-03947</t>
  </si>
  <si>
    <t>2026-03964</t>
  </si>
  <si>
    <t>2753 a 8,842mPa-s</t>
  </si>
  <si>
    <t>2026-02597</t>
  </si>
  <si>
    <t>2026-05080</t>
  </si>
  <si>
    <t>2026-05081</t>
  </si>
  <si>
    <t>2026-03930</t>
  </si>
  <si>
    <t>2026-04022</t>
  </si>
  <si>
    <t>2026-03929</t>
  </si>
  <si>
    <t>2026-05073</t>
  </si>
  <si>
    <t>2026-05077</t>
  </si>
  <si>
    <t>2026-05099</t>
  </si>
  <si>
    <t>2026-05107</t>
  </si>
  <si>
    <t>2026-05108</t>
  </si>
  <si>
    <t>2026-05109</t>
  </si>
  <si>
    <t>2026-05110</t>
  </si>
  <si>
    <t>2026-05111</t>
  </si>
  <si>
    <t>2026-05071</t>
  </si>
  <si>
    <t>2026-05093</t>
  </si>
  <si>
    <t>2026-05098</t>
  </si>
  <si>
    <t>2026-05101</t>
  </si>
  <si>
    <t>TER-0190</t>
  </si>
  <si>
    <t>TER-0193</t>
  </si>
  <si>
    <t>2025-10172</t>
  </si>
  <si>
    <t>2025-10089</t>
  </si>
  <si>
    <t>2026-05100</t>
  </si>
  <si>
    <t>2026-05097</t>
  </si>
  <si>
    <t>2026-05068</t>
  </si>
  <si>
    <t>2026-04544</t>
  </si>
  <si>
    <t>2026-04545</t>
  </si>
  <si>
    <t>2026-04546</t>
  </si>
  <si>
    <t>2026-04547</t>
  </si>
  <si>
    <t>2026-04548</t>
  </si>
  <si>
    <t>2026-04549</t>
  </si>
  <si>
    <t>2026-04550</t>
  </si>
  <si>
    <t>2026-04551</t>
  </si>
  <si>
    <t>2026-04552</t>
  </si>
  <si>
    <t>2026-04553</t>
  </si>
  <si>
    <t>2026-04554</t>
  </si>
  <si>
    <t>2026-04555</t>
  </si>
  <si>
    <t>2026-04556</t>
  </si>
  <si>
    <t>2026-04557</t>
  </si>
  <si>
    <t>2026-04558</t>
  </si>
  <si>
    <t>2026-04559</t>
  </si>
  <si>
    <t>2026-04560</t>
  </si>
  <si>
    <t>2026-04561</t>
  </si>
  <si>
    <t>2026-04562</t>
  </si>
  <si>
    <t>2026-04563</t>
  </si>
  <si>
    <t>2026-04564</t>
  </si>
  <si>
    <t>2026-04566</t>
  </si>
  <si>
    <t>2026-04567</t>
  </si>
  <si>
    <t>2026-04568</t>
  </si>
  <si>
    <t>2026-04569</t>
  </si>
  <si>
    <t>2026-04623</t>
  </si>
  <si>
    <t>2026-04624</t>
  </si>
  <si>
    <t>2026-04625</t>
  </si>
  <si>
    <t>2026-04627</t>
  </si>
  <si>
    <t>2026-04628</t>
  </si>
  <si>
    <t>2026-04629</t>
  </si>
  <si>
    <t>2026-04630</t>
  </si>
  <si>
    <t>2026-04631</t>
  </si>
  <si>
    <t>2026-04632</t>
  </si>
  <si>
    <t>2026-04648</t>
  </si>
  <si>
    <t>2026-04633</t>
  </si>
  <si>
    <t>2026-04634</t>
  </si>
  <si>
    <t>2026-04635</t>
  </si>
  <si>
    <t>2026-04637</t>
  </si>
  <si>
    <t>2026-04638</t>
  </si>
  <si>
    <t>2026-04639</t>
  </si>
  <si>
    <t>2026-04640</t>
  </si>
  <si>
    <t>2026-04641</t>
  </si>
  <si>
    <t>2026-04642</t>
  </si>
  <si>
    <t>2026-04643</t>
  </si>
  <si>
    <t>2026-04644</t>
  </si>
  <si>
    <t>2026-04645</t>
  </si>
  <si>
    <t>2026-04646</t>
  </si>
  <si>
    <t>2026-04647</t>
  </si>
  <si>
    <t>2026-04626</t>
  </si>
  <si>
    <t>2026-04636</t>
  </si>
  <si>
    <t>2026-04651</t>
  </si>
  <si>
    <t>2026-04652</t>
  </si>
  <si>
    <t>2026-04570</t>
  </si>
  <si>
    <t>2026-04571</t>
  </si>
  <si>
    <t>2026-04572</t>
  </si>
  <si>
    <t>2026-04573</t>
  </si>
  <si>
    <t>2026-04574</t>
  </si>
  <si>
    <t>2026-04575</t>
  </si>
  <si>
    <t>2026-04576</t>
  </si>
  <si>
    <t>2026-04577</t>
  </si>
  <si>
    <t>2026-04653</t>
  </si>
  <si>
    <t>2026-04654</t>
  </si>
  <si>
    <t>2026-04655</t>
  </si>
  <si>
    <t>2026-04656</t>
  </si>
  <si>
    <t>2026-04657</t>
  </si>
  <si>
    <t>2026-04658</t>
  </si>
  <si>
    <t>2026-04659</t>
  </si>
  <si>
    <t>2026-04660</t>
  </si>
  <si>
    <t>2026-04661</t>
  </si>
  <si>
    <t>2026-04662</t>
  </si>
  <si>
    <t>2026-04663</t>
  </si>
  <si>
    <t>TER-0134</t>
  </si>
  <si>
    <t>2026-05103</t>
  </si>
  <si>
    <t>2026-05102</t>
  </si>
  <si>
    <t>2026-00058</t>
  </si>
  <si>
    <t>2026-05076</t>
  </si>
  <si>
    <t>PH-0034</t>
  </si>
  <si>
    <t>2026-05095</t>
  </si>
  <si>
    <t>2026-05094</t>
  </si>
  <si>
    <t>REL-0011</t>
  </si>
  <si>
    <t>2026-05074</t>
  </si>
  <si>
    <t>2026-04542</t>
  </si>
  <si>
    <t>2026-04543</t>
  </si>
  <si>
    <t>2026-05082</t>
  </si>
  <si>
    <t>2026-05083</t>
  </si>
  <si>
    <t>2026-05084</t>
  </si>
  <si>
    <t>2026-05085</t>
  </si>
  <si>
    <t>2026-05086</t>
  </si>
  <si>
    <t>2026-05087</t>
  </si>
  <si>
    <t>2026-05088</t>
  </si>
  <si>
    <t>2026-05112</t>
  </si>
  <si>
    <t>2026-04609</t>
  </si>
  <si>
    <t>2026-04666</t>
  </si>
  <si>
    <t>2026-04667</t>
  </si>
  <si>
    <t>2026-04668</t>
  </si>
  <si>
    <t>2026-04694</t>
  </si>
  <si>
    <t>2026-04691</t>
  </si>
  <si>
    <t>2026-04692</t>
  </si>
  <si>
    <t>2026-04693</t>
  </si>
  <si>
    <t>2026-04690</t>
  </si>
  <si>
    <t>2026-04582</t>
  </si>
  <si>
    <t>2026-04583</t>
  </si>
  <si>
    <t>2026-04584</t>
  </si>
  <si>
    <t>2026-04587</t>
  </si>
  <si>
    <t>2026-04588</t>
  </si>
  <si>
    <t>2026-04585</t>
  </si>
  <si>
    <t>2026-04586</t>
  </si>
  <si>
    <t>2026-04665</t>
  </si>
  <si>
    <t>2026-04670</t>
  </si>
  <si>
    <t>2026-04671</t>
  </si>
  <si>
    <t>2026-04672</t>
  </si>
  <si>
    <t>2026-04675</t>
  </si>
  <si>
    <t>2026-04673</t>
  </si>
  <si>
    <t>2026-04674</t>
  </si>
  <si>
    <t>2026-04592</t>
  </si>
  <si>
    <t>2026-04593</t>
  </si>
  <si>
    <t>2026-04594</t>
  </si>
  <si>
    <t>2026-04595</t>
  </si>
  <si>
    <t>2026-04596</t>
  </si>
  <si>
    <t>2026-04597</t>
  </si>
  <si>
    <t>2026-04598</t>
  </si>
  <si>
    <t>2026-04599</t>
  </si>
  <si>
    <t>2026-04600</t>
  </si>
  <si>
    <t>2026-04601</t>
  </si>
  <si>
    <t>2026-04603</t>
  </si>
  <si>
    <t>2026-04604</t>
  </si>
  <si>
    <t>2026-04602</t>
  </si>
  <si>
    <t>2026-04687</t>
  </si>
  <si>
    <t>2026-04676</t>
  </si>
  <si>
    <t>2026-04677</t>
  </si>
  <si>
    <t>2026-04678</t>
  </si>
  <si>
    <t>2026-04680</t>
  </si>
  <si>
    <t>2026-04681</t>
  </si>
  <si>
    <t>2026-04683</t>
  </si>
  <si>
    <t>2026-04684</t>
  </si>
  <si>
    <t>2026-04685</t>
  </si>
  <si>
    <t>2026-04682</t>
  </si>
  <si>
    <t>2026-04688</t>
  </si>
  <si>
    <t>2026-04689</t>
  </si>
  <si>
    <t>2026-04686</t>
  </si>
  <si>
    <t>2026-03887</t>
  </si>
  <si>
    <r>
      <t xml:space="preserve">RESPONSÁVEL POR VALIDAR O CERTIFICADO
</t>
    </r>
    <r>
      <rPr>
        <b/>
        <sz val="9"/>
        <color rgb="FFFF0000"/>
        <rFont val="Calibri"/>
        <family val="2"/>
      </rPr>
      <t>RESPONSIBLE FOR VALIDATING THE CERTIFICATE</t>
    </r>
  </si>
  <si>
    <r>
      <t xml:space="preserve">OBSERVAÇÃO
</t>
    </r>
    <r>
      <rPr>
        <b/>
        <sz val="9"/>
        <color rgb="FFFF0000"/>
        <rFont val="Calibri"/>
        <family val="2"/>
      </rPr>
      <t>OBSERVATION</t>
    </r>
  </si>
  <si>
    <t>BRUNO FARIA</t>
  </si>
  <si>
    <r>
      <t xml:space="preserve">ERRO  
</t>
    </r>
    <r>
      <rPr>
        <b/>
        <sz val="9"/>
        <color rgb="FFFF0000"/>
        <rFont val="Calibri"/>
        <family val="2"/>
      </rPr>
      <t>ERROR</t>
    </r>
  </si>
  <si>
    <r>
      <t xml:space="preserve">CONTROLE
</t>
    </r>
    <r>
      <rPr>
        <b/>
        <sz val="9"/>
        <color rgb="FFFF0000"/>
        <rFont val="Calibri"/>
        <family val="2"/>
      </rPr>
      <t>CONTROL</t>
    </r>
  </si>
  <si>
    <r>
      <t xml:space="preserve">NORMA
</t>
    </r>
    <r>
      <rPr>
        <b/>
        <sz val="10"/>
        <color rgb="FFFF0000"/>
        <rFont val="Calibri"/>
        <family val="2"/>
      </rPr>
      <t>STANDARD</t>
    </r>
  </si>
  <si>
    <r>
      <t xml:space="preserve">NORMA
</t>
    </r>
    <r>
      <rPr>
        <b/>
        <sz val="9"/>
        <color rgb="FFFF0000"/>
        <rFont val="Calibri"/>
        <family val="2"/>
      </rPr>
      <t>STANDARD</t>
    </r>
  </si>
  <si>
    <r>
      <t xml:space="preserve">ERRO 
</t>
    </r>
    <r>
      <rPr>
        <b/>
        <sz val="9"/>
        <color rgb="FFFF0000"/>
        <rFont val="Calibri"/>
        <family val="2"/>
      </rPr>
      <t>ERROR</t>
    </r>
  </si>
  <si>
    <t>2026-05096</t>
  </si>
  <si>
    <t>2026-05079</t>
  </si>
  <si>
    <t>FI-8101</t>
  </si>
  <si>
    <t>FIT-8100</t>
  </si>
  <si>
    <t>FIT-8101</t>
  </si>
  <si>
    <t>2026-04699</t>
  </si>
  <si>
    <t>2026-04698</t>
  </si>
  <si>
    <t>2026-04695</t>
  </si>
  <si>
    <t>2026-04696</t>
  </si>
  <si>
    <t>PIT-0003</t>
  </si>
  <si>
    <t>2026-04700</t>
  </si>
  <si>
    <t>2026-04669</t>
  </si>
  <si>
    <t>2026-04528</t>
  </si>
  <si>
    <t>2026-04536</t>
  </si>
  <si>
    <t>20 a 100°C</t>
  </si>
  <si>
    <t>2026-04679</t>
  </si>
  <si>
    <t>TT-3012</t>
  </si>
  <si>
    <t>2026-04605</t>
  </si>
  <si>
    <t>2026-04565</t>
  </si>
  <si>
    <t>TT-0003A</t>
  </si>
  <si>
    <t>TT-0004</t>
  </si>
  <si>
    <t>TT-0007</t>
  </si>
  <si>
    <t>TT-0081</t>
  </si>
  <si>
    <t>TT-0010B</t>
  </si>
  <si>
    <t>TT-0111</t>
  </si>
  <si>
    <t>TT-0122B</t>
  </si>
  <si>
    <t>2025-11762</t>
  </si>
  <si>
    <t>LI-0001B</t>
  </si>
  <si>
    <t>LT-0001B</t>
  </si>
  <si>
    <t>PI-002B</t>
  </si>
  <si>
    <t>PI-003A</t>
  </si>
  <si>
    <t>PT-0002B</t>
  </si>
  <si>
    <t>TI-0001B</t>
  </si>
  <si>
    <t>0 a 500°C</t>
  </si>
  <si>
    <t>TI-0003B</t>
  </si>
  <si>
    <t>TI-0003D</t>
  </si>
  <si>
    <t>TI-0004B</t>
  </si>
  <si>
    <t>TT-0001B</t>
  </si>
  <si>
    <t>TT-0003B.1</t>
  </si>
  <si>
    <t>TT-0003D</t>
  </si>
  <si>
    <t>TT-0004B</t>
  </si>
  <si>
    <t>15 a 45 °C</t>
  </si>
  <si>
    <t>2025-10178</t>
  </si>
  <si>
    <t>2026-03974</t>
  </si>
  <si>
    <t>2026-03973</t>
  </si>
  <si>
    <t>2026-03972</t>
  </si>
  <si>
    <t>2026-03971</t>
  </si>
  <si>
    <t>2026-03969</t>
  </si>
  <si>
    <t>2026-03968</t>
  </si>
  <si>
    <t>2026-03967</t>
  </si>
  <si>
    <t>2026-04611</t>
  </si>
  <si>
    <t>2026-04589</t>
  </si>
  <si>
    <t>2026-04607</t>
  </si>
  <si>
    <t>2026-04578</t>
  </si>
  <si>
    <t>2026-04579</t>
  </si>
  <si>
    <t>2026-04612</t>
  </si>
  <si>
    <t>2026-04530</t>
  </si>
  <si>
    <t>2026-04531</t>
  </si>
  <si>
    <t>FIT-8000</t>
  </si>
  <si>
    <t>2026-05091</t>
  </si>
  <si>
    <t>2026-05070</t>
  </si>
  <si>
    <t>2026-05092</t>
  </si>
  <si>
    <t>2026-05090</t>
  </si>
  <si>
    <t>2026-04697</t>
  </si>
  <si>
    <t>FIT-8200</t>
  </si>
  <si>
    <t>2026-05105</t>
  </si>
  <si>
    <t xml:space="preserve">                                                                                                                                                                                                          </t>
  </si>
  <si>
    <t>TEMPERATURA  DA ÁGUA RESFRIAMENTO</t>
  </si>
  <si>
    <r>
      <t xml:space="preserve">LOCALIZAÇÃO 
</t>
    </r>
    <r>
      <rPr>
        <b/>
        <sz val="9"/>
        <color rgb="FFFF0000"/>
        <rFont val="Calibri"/>
        <family val="2"/>
      </rPr>
      <t>LOCATION</t>
    </r>
  </si>
  <si>
    <t>2026-05089</t>
  </si>
  <si>
    <t>2026-04529</t>
  </si>
  <si>
    <t>2026-05069</t>
  </si>
  <si>
    <t>2026-05104</t>
  </si>
  <si>
    <t>2026-05901</t>
  </si>
  <si>
    <t>2026-05902</t>
  </si>
  <si>
    <t>2026-05903</t>
  </si>
  <si>
    <t>2026-05904</t>
  </si>
  <si>
    <t>2026-05907</t>
  </si>
  <si>
    <t>2026-05908</t>
  </si>
  <si>
    <t>2026-05910</t>
  </si>
  <si>
    <t>2026-05911</t>
  </si>
  <si>
    <t>2026-05912</t>
  </si>
  <si>
    <t>2026-05913</t>
  </si>
  <si>
    <t>2026-05914</t>
  </si>
  <si>
    <t>2026-05916</t>
  </si>
  <si>
    <t>2026-05857</t>
  </si>
  <si>
    <t>2026-05858</t>
  </si>
  <si>
    <t>2026-05859</t>
  </si>
  <si>
    <t>2026-05864</t>
  </si>
  <si>
    <t>2026-05865</t>
  </si>
  <si>
    <t>2026-05866</t>
  </si>
  <si>
    <t>2026-05867</t>
  </si>
  <si>
    <t>2026-05868</t>
  </si>
  <si>
    <t>2026-05869</t>
  </si>
  <si>
    <t>2026-05870</t>
  </si>
  <si>
    <t>2026-05863</t>
  </si>
  <si>
    <t>PEDRO TELES</t>
  </si>
  <si>
    <t>2026-05852</t>
  </si>
  <si>
    <t>2026-05860</t>
  </si>
  <si>
    <t>2026-05900</t>
  </si>
  <si>
    <t>IRI-TER-0197</t>
  </si>
  <si>
    <t>TER-0197</t>
  </si>
  <si>
    <t>2025-10656</t>
  </si>
  <si>
    <t>2026-05890</t>
  </si>
  <si>
    <t>2026-05855</t>
  </si>
  <si>
    <t>2026-05905</t>
  </si>
  <si>
    <t>2026-05871</t>
  </si>
  <si>
    <t>2026-05899</t>
  </si>
  <si>
    <t>2026-05906</t>
  </si>
  <si>
    <t>2026-05856</t>
  </si>
  <si>
    <t>2026-05853</t>
  </si>
  <si>
    <t>2026-05885</t>
  </si>
  <si>
    <t>TANQUE ASSÉPTICO</t>
  </si>
  <si>
    <t>TERMH-0001</t>
  </si>
  <si>
    <t>TERMOHIGRÔMETRO DIGITAL</t>
  </si>
  <si>
    <t>0 .. 50°C
20 .. 90 %UR</t>
  </si>
  <si>
    <t>TERMH-0002</t>
  </si>
  <si>
    <t>TERMH-0003</t>
  </si>
  <si>
    <t>TERMH-0004</t>
  </si>
  <si>
    <t>TERMH-0005</t>
  </si>
  <si>
    <t>TERMH-0006</t>
  </si>
  <si>
    <t>TERMH-0007</t>
  </si>
  <si>
    <t>TERMH-0008</t>
  </si>
  <si>
    <t>TERMH-0009</t>
  </si>
  <si>
    <t>TERMH-0010</t>
  </si>
  <si>
    <t>2026-06115</t>
  </si>
  <si>
    <t>2026-06116</t>
  </si>
  <si>
    <t>2026-06117</t>
  </si>
  <si>
    <t>2026-06118</t>
  </si>
  <si>
    <t>2026-06119</t>
  </si>
  <si>
    <t>2026-06120</t>
  </si>
  <si>
    <t>2026-06121</t>
  </si>
  <si>
    <t>2026-06122</t>
  </si>
  <si>
    <t>2026-06123</t>
  </si>
  <si>
    <t>2026-06124</t>
  </si>
  <si>
    <t>20 a 30°C
30 a 70 %UR</t>
  </si>
  <si>
    <t>2026-05862</t>
  </si>
  <si>
    <t>2026-05894</t>
  </si>
  <si>
    <t>2026-05893</t>
  </si>
  <si>
    <t>2026-05909</t>
  </si>
  <si>
    <t>2026-06110</t>
  </si>
  <si>
    <t>2026-05892</t>
  </si>
  <si>
    <t>2026-05915</t>
  </si>
  <si>
    <t>0 a 1.050 kg</t>
  </si>
  <si>
    <t>-600 a 600°C</t>
  </si>
  <si>
    <t>2026-04580</t>
  </si>
  <si>
    <t>2026-04581</t>
  </si>
  <si>
    <t>2026-05072</t>
  </si>
  <si>
    <t>2026-04614</t>
  </si>
  <si>
    <t>2026-04615</t>
  </si>
  <si>
    <t>-1 a 2 bar</t>
  </si>
  <si>
    <t>0 .. 1050 kg</t>
  </si>
  <si>
    <t>250 .. 1050 kg</t>
  </si>
  <si>
    <t>0 a 15bar</t>
  </si>
  <si>
    <t>0 a 10bar</t>
  </si>
  <si>
    <t>240 a 660nm</t>
  </si>
  <si>
    <t>0 a 9999999kg</t>
  </si>
  <si>
    <t>1000 a 5000kg</t>
  </si>
  <si>
    <t>TRANSDUTOR DE PRESSÃO</t>
  </si>
  <si>
    <t>PÁQUIMETRO DE PROFUNDIDADE (A)</t>
  </si>
  <si>
    <t>PT-0003A</t>
  </si>
  <si>
    <t>0 a 36000kg</t>
  </si>
  <si>
    <t>9.750 a 12750kg</t>
  </si>
  <si>
    <t xml:space="preserve">MEDIDOR DE VAZAO DIGITAL </t>
  </si>
  <si>
    <t>TERMORRESISTENCIA</t>
  </si>
  <si>
    <t>BDU-001</t>
  </si>
  <si>
    <t>BDU-002</t>
  </si>
  <si>
    <t>BTS-002</t>
  </si>
  <si>
    <t>BTS-003</t>
  </si>
  <si>
    <t>2025-05895</t>
  </si>
  <si>
    <t>2026-06636</t>
  </si>
  <si>
    <t>PAQ-0094</t>
  </si>
  <si>
    <t>PAQ-0096</t>
  </si>
  <si>
    <t>PAQ-0100</t>
  </si>
  <si>
    <t>2025-05386</t>
  </si>
  <si>
    <t>2025-04717</t>
  </si>
  <si>
    <t>2025-04721</t>
  </si>
  <si>
    <t>2026-06638</t>
  </si>
  <si>
    <t>2026-06639</t>
  </si>
  <si>
    <t>2026-06640</t>
  </si>
  <si>
    <t>2026-05847</t>
  </si>
  <si>
    <t>2026-05845</t>
  </si>
  <si>
    <t>2026-05882</t>
  </si>
  <si>
    <t>2026-05883</t>
  </si>
  <si>
    <t>TE-8000.2</t>
  </si>
  <si>
    <t>TE-8000.3</t>
  </si>
  <si>
    <t>2026-06649</t>
  </si>
  <si>
    <t>2026-05897</t>
  </si>
  <si>
    <t>TER-0172</t>
  </si>
  <si>
    <t>2025-101514</t>
  </si>
  <si>
    <t>2026-05896</t>
  </si>
  <si>
    <t>2026-06648</t>
  </si>
  <si>
    <t>2026-06647</t>
  </si>
  <si>
    <t>210 a 1050 kg</t>
  </si>
  <si>
    <t>2026-05839</t>
  </si>
  <si>
    <t>2026-05840</t>
  </si>
  <si>
    <t>2026-05846</t>
  </si>
  <si>
    <t>2026-05842</t>
  </si>
  <si>
    <t>2026-05848</t>
  </si>
  <si>
    <t>2026-05849</t>
  </si>
  <si>
    <t>2026-05872</t>
  </si>
  <si>
    <t>2026-05874</t>
  </si>
  <si>
    <t>2026-05880</t>
  </si>
  <si>
    <t>2026-05878</t>
  </si>
  <si>
    <t>2026-06650</t>
  </si>
  <si>
    <t>2026-06651</t>
  </si>
  <si>
    <t>2026-05884</t>
  </si>
  <si>
    <t>2026-05886</t>
  </si>
  <si>
    <t>ESC-0011</t>
  </si>
  <si>
    <t>0 .. 1500 mm</t>
  </si>
  <si>
    <t>300 .. 1500 mm</t>
  </si>
  <si>
    <t>2025-04680</t>
  </si>
  <si>
    <t>IRI-ESC-0011</t>
  </si>
  <si>
    <t>2026-05850</t>
  </si>
  <si>
    <t>2026-05851</t>
  </si>
  <si>
    <t>2026-05898</t>
  </si>
  <si>
    <t>2026-06759</t>
  </si>
  <si>
    <t>2026-06760</t>
  </si>
  <si>
    <t>2026-06761</t>
  </si>
  <si>
    <t>2026-06762</t>
  </si>
  <si>
    <t>2026-06763</t>
  </si>
  <si>
    <t>2026-06764</t>
  </si>
  <si>
    <t>2026-06765</t>
  </si>
  <si>
    <t>2026-06766</t>
  </si>
  <si>
    <t>2026-06775</t>
  </si>
  <si>
    <t>2026-06776</t>
  </si>
  <si>
    <t>2026-06767</t>
  </si>
  <si>
    <t>2026-06768</t>
  </si>
  <si>
    <t>2026-06769</t>
  </si>
  <si>
    <t>2026-06770</t>
  </si>
  <si>
    <t>2026-06771</t>
  </si>
  <si>
    <t>2026-06772</t>
  </si>
  <si>
    <t>2026-06773</t>
  </si>
  <si>
    <t>2026-06774</t>
  </si>
  <si>
    <t>2026-06756</t>
  </si>
  <si>
    <t>2026-06757</t>
  </si>
  <si>
    <t>2026-06758</t>
  </si>
  <si>
    <t>2026-06795</t>
  </si>
  <si>
    <t>2026-06799</t>
  </si>
  <si>
    <t>2026-06796</t>
  </si>
  <si>
    <t>2026-06797</t>
  </si>
  <si>
    <t>2026-06798</t>
  </si>
  <si>
    <t>2026-06800</t>
  </si>
  <si>
    <t>2026-06801</t>
  </si>
  <si>
    <t>2026-06802</t>
  </si>
  <si>
    <t>2026-06803</t>
  </si>
  <si>
    <t>2026-06804</t>
  </si>
  <si>
    <t>2026-06805</t>
  </si>
  <si>
    <t>2026-06806</t>
  </si>
  <si>
    <t>2026-06807</t>
  </si>
  <si>
    <t>2026-06814</t>
  </si>
  <si>
    <t>2026-06815</t>
  </si>
  <si>
    <t>2026-06808</t>
  </si>
  <si>
    <t>2026-06809</t>
  </si>
  <si>
    <t>2026-06810</t>
  </si>
  <si>
    <t>2026-06811</t>
  </si>
  <si>
    <t>2026-06812</t>
  </si>
  <si>
    <t>2026-06813</t>
  </si>
  <si>
    <t>2026-04617</t>
  </si>
  <si>
    <t>2026-04616</t>
  </si>
  <si>
    <t>-50 a 200°C</t>
  </si>
  <si>
    <t>5 a 130°C</t>
  </si>
  <si>
    <t>2026-04608</t>
  </si>
  <si>
    <t>SAÍDA  RESFRIAMENTO</t>
  </si>
  <si>
    <t xml:space="preserve"> FLACH COOLER </t>
  </si>
  <si>
    <t>Revisão: 07
Elaborado por: Rodrigo Lima
Revisado por: Deniscley Caldeira da Silva
Aprovado por: Bruno Ferreira de Faria
Elaborado em: 21/09/2017
Revisado em: 28/05/2026
Código: AN-NR-MAN-1001</t>
  </si>
  <si>
    <t>HISTÓRICO DE REVISÃO</t>
  </si>
  <si>
    <t>Fábrica: Nerópolis
Pilar: MRE
Capítulo: Calibração</t>
  </si>
  <si>
    <t>VERSÃO</t>
  </si>
  <si>
    <t>DATA</t>
  </si>
  <si>
    <t>MOTIVO DA REVISÃO</t>
  </si>
  <si>
    <t>RESPONSÁVEL</t>
  </si>
  <si>
    <t>ÁREA</t>
  </si>
  <si>
    <t>00</t>
  </si>
  <si>
    <t>Criação do documento.</t>
  </si>
  <si>
    <t xml:space="preserve"> Rodrigo Lima</t>
  </si>
  <si>
    <t>MAN</t>
  </si>
  <si>
    <t>07</t>
  </si>
  <si>
    <t xml:space="preserve"> Deniscley Caldeira da Silva</t>
  </si>
  <si>
    <r>
      <t xml:space="preserve">ÁREA
</t>
    </r>
    <r>
      <rPr>
        <b/>
        <sz val="9"/>
        <color rgb="FFFF0000"/>
        <rFont val="Calibri"/>
        <family val="2"/>
      </rPr>
      <t>SECTOR</t>
    </r>
  </si>
  <si>
    <t>88 - 96 °C</t>
  </si>
  <si>
    <t xml:space="preserve">INDICADOR DE VAZÃO
</t>
  </si>
  <si>
    <t>TRANSMISSOR TEMPERATURA</t>
  </si>
  <si>
    <t>2026-07184</t>
  </si>
  <si>
    <t>RF-0029</t>
  </si>
  <si>
    <t>2026-05887</t>
  </si>
  <si>
    <t>2026-06787</t>
  </si>
  <si>
    <t>PH-0035</t>
  </si>
  <si>
    <t>2026-06777</t>
  </si>
  <si>
    <t>2026-06778</t>
  </si>
  <si>
    <t>2026-06779</t>
  </si>
  <si>
    <t>2026-06780</t>
  </si>
  <si>
    <t>2026-06781</t>
  </si>
  <si>
    <t>2026-06782</t>
  </si>
  <si>
    <t>2026-06783</t>
  </si>
  <si>
    <t>PHMETRO DIGITAL</t>
  </si>
  <si>
    <t xml:space="preserve">-
</t>
  </si>
  <si>
    <t>TE-9200</t>
  </si>
  <si>
    <t>TE-8542</t>
  </si>
  <si>
    <t>TE-2003</t>
  </si>
  <si>
    <t>TE-2300</t>
  </si>
  <si>
    <t>TE64M</t>
  </si>
  <si>
    <t>0,5 a 4200g</t>
  </si>
  <si>
    <t>ENVASE</t>
  </si>
  <si>
    <t>BDU-003</t>
  </si>
  <si>
    <t>180 a 1807rpm</t>
  </si>
  <si>
    <t>180 a 1810rpm</t>
  </si>
  <si>
    <t>BALANÇA SUSPENSA DIGITAL</t>
  </si>
  <si>
    <t>BALANÇA CHECK WEIGHER DIGITAL</t>
  </si>
  <si>
    <t>BTS-001</t>
  </si>
  <si>
    <t xml:space="preserve">BANHO TERMICO BLOCO SECO DIGITAL </t>
  </si>
  <si>
    <t>0 a 24 cm</t>
  </si>
  <si>
    <t>DENSÍMETRO DE VIDRO ANALÓGICO</t>
  </si>
  <si>
    <t>53 A 57°C</t>
  </si>
  <si>
    <t>300 a 1500 mm</t>
  </si>
  <si>
    <t>9 a 100cm</t>
  </si>
  <si>
    <t>MEDIDOR DE VAZÃO DIGITAL</t>
  </si>
  <si>
    <t>dm³</t>
  </si>
  <si>
    <t>9,75 mm</t>
  </si>
  <si>
    <t>MICRÔMETRO EXTERNO ANALÓGICO</t>
  </si>
  <si>
    <t>5  a 60 °Bx</t>
  </si>
  <si>
    <t>TE45</t>
  </si>
  <si>
    <t>TERMÔMETRO  DIGITAL</t>
  </si>
  <si>
    <t>TT45</t>
  </si>
  <si>
    <t>TT64</t>
  </si>
  <si>
    <r>
      <t xml:space="preserve">COR DA ETIQUETA
</t>
    </r>
    <r>
      <rPr>
        <b/>
        <sz val="9"/>
        <color rgb="FFFF0000"/>
        <rFont val="Calibri"/>
        <family val="2"/>
      </rPr>
      <t>LABEL COLOR</t>
    </r>
  </si>
  <si>
    <t>VERMELHA</t>
  </si>
  <si>
    <t>VERDE</t>
  </si>
  <si>
    <t>BRANCA</t>
  </si>
  <si>
    <t>PLAQUETA</t>
  </si>
  <si>
    <t>Acrescentado coluna com nome do responsável por validar o cerificado, e outra com a cor da etiqueta de calibração.</t>
  </si>
  <si>
    <t>PH-0036</t>
  </si>
  <si>
    <t>PH-0037</t>
  </si>
  <si>
    <t>2026-06785</t>
  </si>
  <si>
    <t>2026-06786</t>
  </si>
  <si>
    <t>2026-06754</t>
  </si>
  <si>
    <t>2026-06755</t>
  </si>
  <si>
    <t>2026-06753</t>
  </si>
  <si>
    <t>2026-06751</t>
  </si>
  <si>
    <t>2026-06752</t>
  </si>
  <si>
    <t>2026-04620</t>
  </si>
  <si>
    <t>2026-04621</t>
  </si>
  <si>
    <t>TER-0129</t>
  </si>
  <si>
    <t>TER-0170</t>
  </si>
  <si>
    <t>2026-04622</t>
  </si>
  <si>
    <t>2026-04618</t>
  </si>
  <si>
    <t>2026-06784</t>
  </si>
  <si>
    <t>BAL-0084</t>
  </si>
  <si>
    <t>BAL-0085</t>
  </si>
  <si>
    <t>BAL-0086</t>
  </si>
  <si>
    <t>BAL-0087</t>
  </si>
  <si>
    <t>2026-07087</t>
  </si>
  <si>
    <t>2026-07088</t>
  </si>
  <si>
    <t>2026-07089</t>
  </si>
  <si>
    <t>2026-07090</t>
  </si>
  <si>
    <t>BDU-004</t>
  </si>
  <si>
    <t>BDU-005</t>
  </si>
  <si>
    <t>0 .. 60 g / 50 .. 200 °C</t>
  </si>
  <si>
    <t>1 a 60g</t>
  </si>
  <si>
    <t>2026-07092</t>
  </si>
  <si>
    <t>2026-07093</t>
  </si>
  <si>
    <t>WIT-4303A</t>
  </si>
  <si>
    <t>2026-03310</t>
  </si>
  <si>
    <t>2026-05843</t>
  </si>
  <si>
    <t>2026-05888</t>
  </si>
  <si>
    <t>2026-04532</t>
  </si>
  <si>
    <t>BAL-0088</t>
  </si>
  <si>
    <t>0 a 50kg</t>
  </si>
  <si>
    <t>2026-05861</t>
  </si>
  <si>
    <t>2026-06657</t>
  </si>
  <si>
    <t>FORA DE USO</t>
  </si>
  <si>
    <t>VOLPACK 2</t>
  </si>
  <si>
    <t>TÚNEL 5</t>
  </si>
  <si>
    <t>TÚNEL 7</t>
  </si>
  <si>
    <t>SEM PRERVISÃO DE RETORNO</t>
  </si>
  <si>
    <t>MCP-002</t>
  </si>
  <si>
    <t>MCP-003</t>
  </si>
  <si>
    <t>MCP-004</t>
  </si>
  <si>
    <t>MCP-005</t>
  </si>
  <si>
    <t>2026-07098</t>
  </si>
  <si>
    <t>2026-07099</t>
  </si>
  <si>
    <t>2026-07100</t>
  </si>
  <si>
    <t>2026-07097</t>
  </si>
  <si>
    <t>BURE-0025</t>
  </si>
  <si>
    <t>BURE-0026</t>
  </si>
  <si>
    <t>2026-07094</t>
  </si>
  <si>
    <t>2026-07095</t>
  </si>
  <si>
    <t>1 a 50 mL</t>
  </si>
  <si>
    <t>2026-04619</t>
  </si>
  <si>
    <t>2026-06816</t>
  </si>
  <si>
    <t>PH-0020</t>
  </si>
  <si>
    <t>2026-07822</t>
  </si>
  <si>
    <t>2026-07819</t>
  </si>
  <si>
    <t>2026-07820</t>
  </si>
  <si>
    <t>2026-07825</t>
  </si>
  <si>
    <t>MIC-0023</t>
  </si>
  <si>
    <t>2026-07821</t>
  </si>
  <si>
    <t>TER-0207</t>
  </si>
  <si>
    <t>INSTRUMENTO RESERVA</t>
  </si>
  <si>
    <t>TER-0208</t>
  </si>
  <si>
    <t>TER-0209</t>
  </si>
  <si>
    <t>TER-0210</t>
  </si>
  <si>
    <t>TER-0211</t>
  </si>
  <si>
    <t>TER-0212</t>
  </si>
  <si>
    <t>TER-0213</t>
  </si>
  <si>
    <t>TER-0214</t>
  </si>
  <si>
    <t>TER-0215</t>
  </si>
  <si>
    <t>TER-0216</t>
  </si>
  <si>
    <t>2026-07789</t>
  </si>
  <si>
    <t>2026-07790</t>
  </si>
  <si>
    <t>2026-07791</t>
  </si>
  <si>
    <t>2026-07792</t>
  </si>
  <si>
    <t>2026-07793</t>
  </si>
  <si>
    <t>2026-07794</t>
  </si>
  <si>
    <t>2026-07795</t>
  </si>
  <si>
    <t>2026-07796</t>
  </si>
  <si>
    <t>2026-07797</t>
  </si>
  <si>
    <t>2026-07798</t>
  </si>
  <si>
    <t>TER-0133</t>
  </si>
  <si>
    <t>2026-07824</t>
  </si>
  <si>
    <t>2026-07823</t>
  </si>
  <si>
    <t>200 a  22000Kg</t>
  </si>
  <si>
    <t>TI-0020.1</t>
  </si>
  <si>
    <t>2026-07983</t>
  </si>
  <si>
    <t>2026-07984</t>
  </si>
  <si>
    <t>2026-07985</t>
  </si>
  <si>
    <t>2026-07986</t>
  </si>
  <si>
    <t>2026-08058</t>
  </si>
  <si>
    <t>2026-08057</t>
  </si>
  <si>
    <t>2026-08060</t>
  </si>
  <si>
    <t>2026-08059</t>
  </si>
  <si>
    <t>AGUARDANDO CERTIFICADO, PREVISÃO ATÉ 11-08-2026.</t>
  </si>
  <si>
    <t>2026-06747</t>
  </si>
  <si>
    <t>2026-06748</t>
  </si>
  <si>
    <t>2026-07999</t>
  </si>
  <si>
    <t>2026-08000</t>
  </si>
  <si>
    <t>2026-08003</t>
  </si>
  <si>
    <t>2026-08004</t>
  </si>
  <si>
    <t>2026-08001</t>
  </si>
  <si>
    <t>2026-08002</t>
  </si>
  <si>
    <t>2026-08006</t>
  </si>
  <si>
    <t>2026-08005</t>
  </si>
  <si>
    <t>2026-08007</t>
  </si>
  <si>
    <t>2026-08008</t>
  </si>
  <si>
    <t>2026-08011</t>
  </si>
  <si>
    <t>2062-08012</t>
  </si>
  <si>
    <t>2026-08013</t>
  </si>
  <si>
    <t>2026-08014</t>
  </si>
  <si>
    <t>2026-08015</t>
  </si>
  <si>
    <t>2026-08016</t>
  </si>
  <si>
    <t>2026-08009</t>
  </si>
  <si>
    <t>2026-08010</t>
  </si>
  <si>
    <t>2026-08073</t>
  </si>
  <si>
    <t>2026-08074</t>
  </si>
  <si>
    <t>2026-08077</t>
  </si>
  <si>
    <t>2026-08078</t>
  </si>
  <si>
    <t>2026-08075</t>
  </si>
  <si>
    <t>2026-08076</t>
  </si>
  <si>
    <t>2026-08079</t>
  </si>
  <si>
    <t>2026-08080</t>
  </si>
  <si>
    <t>2026-08085</t>
  </si>
  <si>
    <t>2026-08086</t>
  </si>
  <si>
    <t>2026-08089</t>
  </si>
  <si>
    <t>2026-08090</t>
  </si>
  <si>
    <t xml:space="preserve">
TE-6080B</t>
  </si>
  <si>
    <t>2026-08081</t>
  </si>
  <si>
    <t>2026-08082</t>
  </si>
  <si>
    <t>2026-08087</t>
  </si>
  <si>
    <t>2026-08088</t>
  </si>
  <si>
    <t>2026-08083</t>
  </si>
  <si>
    <t>2026-08084</t>
  </si>
  <si>
    <t>2026-08048</t>
  </si>
  <si>
    <t>2026-08110</t>
  </si>
  <si>
    <t>2026-08114</t>
  </si>
  <si>
    <t>2026-08112</t>
  </si>
  <si>
    <t>2026-08111</t>
  </si>
  <si>
    <t>2026-08113</t>
  </si>
  <si>
    <t>2026-08115</t>
  </si>
  <si>
    <t>2026-08109</t>
  </si>
  <si>
    <t>20 a 100 °C</t>
  </si>
  <si>
    <t>TER-0022A</t>
  </si>
  <si>
    <t>AGUARDANDO CERTIFICADO, PREVISÃO ATÉ 06-08-2026.(corrigir)</t>
  </si>
  <si>
    <t>21.097 mPa.s</t>
  </si>
  <si>
    <t>CSC-0021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</si>
</sst>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6]d\-mmm\-yy;@"/>
  </numFmts>
  <fonts count="36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10"/>
      <color rgb="FFFF0000"/>
      <name val="Calibri"/>
      <family val="2"/>
    </font>
    <font>
      <b/>
      <sz val="9"/>
      <color rgb="FFFF0000"/>
      <name val="Calibri"/>
      <family val="2"/>
    </font>
    <font>
      <u/>
      <sz val="11"/>
      <color theme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b/>
      <sz val="36"/>
      <color theme="2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  <scheme val="major"/>
    </font>
    <font>
      <b/>
      <sz val="9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name val="Arial"/>
      <family val="2"/>
    </font>
    <font>
      <b/>
      <sz val="11"/>
      <color theme="0" tint="-4.9989318521683403E-2"/>
      <name val="Arial"/>
      <family val="2"/>
    </font>
    <font>
      <sz val="9"/>
      <color theme="0" tint="-4.9989318521683403E-2"/>
      <name val="Arial"/>
      <family val="2"/>
    </font>
    <font>
      <b/>
      <sz val="11"/>
      <name val="Calibri"/>
      <family val="2"/>
      <scheme val="minor"/>
    </font>
    <font>
      <sz val="8"/>
      <color rgb="FF000000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FFFFB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FFFFBA"/>
        <bgColor rgb="FFFFFFB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</borders>
  <cellStyleXfs count="7">
    <xf numFmtId="0" fontId="0" fillId="0" borderId="0"/>
    <xf numFmtId="0" fontId="11" fillId="0" borderId="0" applyNumberFormat="0" applyFill="0" applyBorder="0" applyAlignment="0" applyProtection="0"/>
    <xf numFmtId="0" fontId="13" fillId="0" borderId="1"/>
    <xf numFmtId="0" fontId="13" fillId="0" borderId="1"/>
    <xf numFmtId="0" fontId="13" fillId="0" borderId="1"/>
    <xf numFmtId="0" fontId="1" fillId="0" borderId="1"/>
    <xf numFmtId="0" fontId="31" fillId="0" borderId="1"/>
  </cellStyleXfs>
  <cellXfs count="209">
    <xf numFmtId="0" fontId="0" fillId="0" borderId="0" xfId="0"/>
    <xf numFmtId="0" fontId="8" fillId="0" borderId="0" xfId="0" applyFont="1"/>
    <xf numFmtId="0" fontId="8" fillId="5" borderId="1" xfId="0" applyFont="1" applyFill="1" applyBorder="1"/>
    <xf numFmtId="0" fontId="8" fillId="0" borderId="0" xfId="0" quotePrefix="1" applyFont="1"/>
    <xf numFmtId="0" fontId="8" fillId="0" borderId="1" xfId="0" applyFont="1" applyBorder="1"/>
    <xf numFmtId="0" fontId="3" fillId="0" borderId="6" xfId="0" applyFont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13" fillId="3" borderId="8" xfId="1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13" fillId="0" borderId="0" xfId="0" applyFont="1"/>
    <xf numFmtId="0" fontId="3" fillId="3" borderId="9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vertical="center"/>
    </xf>
    <xf numFmtId="0" fontId="0" fillId="0" borderId="1" xfId="0" applyBorder="1"/>
    <xf numFmtId="0" fontId="4" fillId="3" borderId="14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3" borderId="10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3" borderId="8" xfId="0" applyFont="1" applyFill="1" applyBorder="1" applyAlignment="1">
      <alignment vertical="center"/>
    </xf>
    <xf numFmtId="0" fontId="13" fillId="0" borderId="1" xfId="0" applyFont="1" applyBorder="1"/>
    <xf numFmtId="0" fontId="0" fillId="0" borderId="11" xfId="0" applyBorder="1"/>
    <xf numFmtId="0" fontId="0" fillId="0" borderId="18" xfId="0" applyBorder="1"/>
    <xf numFmtId="0" fontId="5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5" xfId="0" applyFont="1" applyFill="1" applyBorder="1" applyAlignment="1">
      <alignment vertical="center" wrapText="1"/>
    </xf>
    <xf numFmtId="0" fontId="3" fillId="9" borderId="6" xfId="0" applyFont="1" applyFill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0" borderId="0" xfId="0" applyFont="1"/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3" borderId="8" xfId="1" applyNumberFormat="1" applyFont="1" applyFill="1" applyBorder="1" applyAlignment="1" applyProtection="1">
      <alignment horizontal="center" vertical="center"/>
    </xf>
    <xf numFmtId="0" fontId="3" fillId="3" borderId="1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0" fillId="0" borderId="1" xfId="0" quotePrefix="1" applyBorder="1"/>
    <xf numFmtId="0" fontId="3" fillId="10" borderId="6" xfId="0" applyFont="1" applyFill="1" applyBorder="1" applyAlignment="1">
      <alignment horizontal="center" vertical="center"/>
    </xf>
    <xf numFmtId="0" fontId="0" fillId="0" borderId="6" xfId="0" applyBorder="1"/>
    <xf numFmtId="0" fontId="14" fillId="0" borderId="6" xfId="0" applyFont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3" fillId="0" borderId="6" xfId="3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4" fillId="0" borderId="6" xfId="0" applyFont="1" applyBorder="1" applyAlignment="1">
      <alignment horizontal="left" vertical="center" wrapText="1"/>
    </xf>
    <xf numFmtId="164" fontId="27" fillId="6" borderId="6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164" fontId="27" fillId="6" borderId="6" xfId="0" quotePrefix="1" applyNumberFormat="1" applyFont="1" applyFill="1" applyBorder="1" applyAlignment="1">
      <alignment horizontal="center" vertical="center"/>
    </xf>
    <xf numFmtId="164" fontId="3" fillId="0" borderId="6" xfId="2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6" xfId="0" quotePrefix="1" applyNumberFormat="1" applyFont="1" applyBorder="1" applyAlignment="1">
      <alignment horizontal="center" vertical="center"/>
    </xf>
    <xf numFmtId="164" fontId="27" fillId="0" borderId="6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 wrapText="1"/>
    </xf>
    <xf numFmtId="1" fontId="16" fillId="6" borderId="6" xfId="0" applyNumberFormat="1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7" fillId="0" borderId="0" xfId="0" applyFont="1"/>
    <xf numFmtId="0" fontId="3" fillId="6" borderId="17" xfId="0" applyFont="1" applyFill="1" applyBorder="1" applyAlignment="1">
      <alignment horizontal="center" vertical="center" wrapText="1"/>
    </xf>
    <xf numFmtId="0" fontId="28" fillId="13" borderId="6" xfId="0" applyFont="1" applyFill="1" applyBorder="1" applyAlignment="1">
      <alignment horizontal="center" vertical="center"/>
    </xf>
    <xf numFmtId="0" fontId="28" fillId="13" borderId="6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164" fontId="3" fillId="13" borderId="6" xfId="0" applyNumberFormat="1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left" vertical="center" wrapText="1"/>
    </xf>
    <xf numFmtId="0" fontId="6" fillId="0" borderId="6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3" xfId="0" applyFont="1" applyFill="1" applyBorder="1"/>
    <xf numFmtId="0" fontId="16" fillId="6" borderId="2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/>
    </xf>
    <xf numFmtId="0" fontId="3" fillId="0" borderId="16" xfId="4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164" fontId="27" fillId="6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64" fontId="27" fillId="6" borderId="6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indent="56"/>
    </xf>
    <xf numFmtId="0" fontId="17" fillId="7" borderId="1" xfId="0" applyFont="1" applyFill="1" applyBorder="1" applyAlignment="1">
      <alignment horizontal="left" vertical="center" indent="50"/>
    </xf>
    <xf numFmtId="0" fontId="10" fillId="4" borderId="4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49" fontId="34" fillId="6" borderId="6" xfId="5" applyNumberFormat="1" applyFont="1" applyFill="1" applyBorder="1" applyAlignment="1">
      <alignment horizontal="center" vertical="center"/>
    </xf>
    <xf numFmtId="0" fontId="34" fillId="6" borderId="6" xfId="5" applyFont="1" applyFill="1" applyBorder="1" applyAlignment="1">
      <alignment horizontal="center" vertical="center"/>
    </xf>
    <xf numFmtId="0" fontId="34" fillId="6" borderId="6" xfId="5" applyFont="1" applyFill="1" applyBorder="1" applyAlignment="1">
      <alignment horizontal="center" vertical="center" wrapText="1"/>
    </xf>
    <xf numFmtId="49" fontId="13" fillId="0" borderId="6" xfId="5" applyNumberFormat="1" applyFont="1" applyBorder="1" applyAlignment="1">
      <alignment horizontal="center" vertical="center"/>
    </xf>
    <xf numFmtId="14" fontId="1" fillId="0" borderId="6" xfId="5" quotePrefix="1" applyNumberFormat="1" applyBorder="1" applyAlignment="1">
      <alignment horizontal="center" vertical="center" wrapText="1"/>
    </xf>
    <xf numFmtId="0" fontId="0" fillId="0" borderId="6" xfId="5" quotePrefix="1" applyFont="1" applyBorder="1" applyAlignment="1">
      <alignment horizontal="center" vertical="center" wrapText="1"/>
    </xf>
    <xf numFmtId="0" fontId="31" fillId="0" borderId="6" xfId="5" quotePrefix="1" applyFont="1" applyBorder="1" applyAlignment="1">
      <alignment horizontal="center" vertical="center" wrapText="1"/>
    </xf>
    <xf numFmtId="49" fontId="31" fillId="0" borderId="6" xfId="5" applyNumberFormat="1" applyFont="1" applyBorder="1" applyAlignment="1">
      <alignment horizontal="center" vertical="center"/>
    </xf>
    <xf numFmtId="49" fontId="0" fillId="0" borderId="6" xfId="5" applyNumberFormat="1" applyFont="1" applyBorder="1" applyAlignment="1">
      <alignment horizontal="center" vertical="center"/>
    </xf>
    <xf numFmtId="0" fontId="13" fillId="0" borderId="6" xfId="5" quotePrefix="1" applyFont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1" fillId="0" borderId="6" xfId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2" fillId="8" borderId="15" xfId="0" applyFont="1" applyFill="1" applyBorder="1" applyAlignment="1">
      <alignment horizontal="left" vertical="center" wrapText="1"/>
    </xf>
    <xf numFmtId="0" fontId="2" fillId="8" borderId="16" xfId="0" applyFont="1" applyFill="1" applyBorder="1" applyAlignment="1">
      <alignment horizontal="left" vertical="center" wrapText="1"/>
    </xf>
    <xf numFmtId="0" fontId="2" fillId="8" borderId="17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56"/>
    </xf>
    <xf numFmtId="0" fontId="17" fillId="7" borderId="13" xfId="0" applyFont="1" applyFill="1" applyBorder="1" applyAlignment="1">
      <alignment horizontal="left" vertical="center" indent="56"/>
    </xf>
    <xf numFmtId="0" fontId="11" fillId="3" borderId="7" xfId="1" applyNumberFormat="1" applyFill="1" applyBorder="1" applyAlignment="1" applyProtection="1">
      <alignment horizontal="center" vertical="center"/>
    </xf>
    <xf numFmtId="0" fontId="11" fillId="3" borderId="9" xfId="1" applyNumberFormat="1" applyFill="1" applyBorder="1" applyAlignment="1" applyProtection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1" fillId="3" borderId="8" xfId="1" applyNumberFormat="1" applyFill="1" applyBorder="1" applyAlignment="1" applyProtection="1">
      <alignment horizontal="center" vertical="center"/>
    </xf>
    <xf numFmtId="0" fontId="11" fillId="3" borderId="8" xfId="1" applyNumberFormat="1" applyFill="1" applyBorder="1" applyAlignment="1">
      <alignment horizontal="center"/>
    </xf>
    <xf numFmtId="0" fontId="11" fillId="3" borderId="9" xfId="1" applyNumberFormat="1" applyFill="1" applyBorder="1" applyAlignment="1">
      <alignment horizontal="center"/>
    </xf>
    <xf numFmtId="0" fontId="3" fillId="3" borderId="17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50"/>
    </xf>
    <xf numFmtId="0" fontId="17" fillId="7" borderId="1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left" vertical="center" indent="50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11" fillId="3" borderId="8" xfId="1" applyNumberFormat="1" applyFill="1" applyBorder="1" applyAlignment="1">
      <alignment horizontal="center" vertical="center"/>
    </xf>
    <xf numFmtId="0" fontId="11" fillId="3" borderId="9" xfId="1" applyNumberFormat="1" applyFill="1" applyBorder="1" applyAlignment="1">
      <alignment horizontal="center" vertical="center"/>
    </xf>
    <xf numFmtId="0" fontId="11" fillId="3" borderId="8" xfId="1" applyNumberFormat="1" applyFill="1" applyBorder="1" applyAlignment="1">
      <alignment horizontal="center" vertical="center" wrapText="1"/>
    </xf>
    <xf numFmtId="0" fontId="11" fillId="3" borderId="9" xfId="1" applyNumberFormat="1" applyFill="1" applyBorder="1" applyAlignment="1">
      <alignment horizontal="center" vertical="center" wrapText="1"/>
    </xf>
    <xf numFmtId="0" fontId="32" fillId="17" borderId="20" xfId="6" applyFont="1" applyFill="1" applyBorder="1" applyAlignment="1">
      <alignment horizontal="center" vertical="center" wrapText="1"/>
    </xf>
    <xf numFmtId="0" fontId="32" fillId="17" borderId="24" xfId="6" applyFont="1" applyFill="1" applyBorder="1" applyAlignment="1">
      <alignment horizontal="center" vertical="center" wrapText="1"/>
    </xf>
    <xf numFmtId="0" fontId="33" fillId="17" borderId="21" xfId="6" applyFont="1" applyFill="1" applyBorder="1" applyAlignment="1">
      <alignment horizontal="center" vertical="center" wrapText="1"/>
    </xf>
    <xf numFmtId="0" fontId="35" fillId="0" borderId="22" xfId="5" applyFont="1" applyBorder="1" applyAlignment="1">
      <alignment horizontal="left" vertical="center" wrapText="1"/>
    </xf>
    <xf numFmtId="0" fontId="35" fillId="0" borderId="23" xfId="5" applyFont="1" applyBorder="1" applyAlignment="1">
      <alignment horizontal="left" vertical="center" wrapText="1"/>
    </xf>
    <xf numFmtId="0" fontId="32" fillId="17" borderId="1" xfId="6" applyFont="1" applyFill="1" applyAlignment="1">
      <alignment horizontal="center" vertical="center" wrapText="1"/>
    </xf>
    <xf numFmtId="0" fontId="32" fillId="17" borderId="13" xfId="6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wrapText="1"/>
    </xf>
    <xf numFmtId="0" fontId="22" fillId="0" borderId="6" xfId="0" applyFont="1" applyBorder="1" applyAlignment="1">
      <alignment horizontal="center" vertical="center"/>
    </xf>
  </cellXfs>
  <cellStyles count="7">
    <cellStyle name="Hiperlink" xfId="1" builtinId="8"/>
    <cellStyle name="Normal" xfId="0" builtinId="0"/>
    <cellStyle name="Normal 2" xfId="4" xr:uid="{00000000-0005-0000-0000-000002000000}"/>
    <cellStyle name="Normal 2 2 2" xfId="6" xr:uid="{D69FCEF1-1A13-475F-B976-AAFECAF4CE5F}"/>
    <cellStyle name="Normal 3" xfId="2" xr:uid="{00000000-0005-0000-0000-000003000000}"/>
    <cellStyle name="Normal 3 2" xfId="5" xr:uid="{9647E673-B966-437C-8F27-DB77ECE8E23D}"/>
    <cellStyle name="Normal 4" xfId="3" xr:uid="{00000000-0005-0000-0000-000004000000}"/>
  </cellStyles>
  <dxfs count="53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900FF"/>
          <bgColor rgb="FF99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 patternType="solid">
          <bgColor rgb="FFFFFFB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bgColor rgb="FFFFFFBD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 patternType="solid">
          <bgColor rgb="FFFFFFB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 patternType="solid">
          <bgColor rgb="FFFFFFBD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 patternType="solid">
          <bgColor rgb="FFFFFFBD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 patternType="solid">
          <bgColor rgb="FFFFFF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 patternType="solid">
          <bgColor rgb="FFFFFFB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 patternType="solid">
          <bgColor rgb="FFFFFF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 patternType="solid">
          <bgColor rgb="FFFFFFB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900FF"/>
          <bgColor rgb="FF99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fgColor rgb="FFC6EFCE"/>
          <bgColor rgb="FFC6EF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0000"/>
      </font>
      <fill>
        <patternFill patternType="solid">
          <fgColor rgb="FFFF00FF"/>
          <bgColor rgb="FFFF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5"/>
          <bgColor theme="5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sz val="12"/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12"/>
        <color theme="0"/>
      </font>
      <fill>
        <patternFill>
          <bgColor theme="4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 defaultTableStyle="TableStyleMedium2" defaultPivotStyle="PivotStyleLight16">
    <tableStyle name=" " pivot="0" table="0" count="4" xr9:uid="{BD011858-8BCC-4E9D-9816-E8C53CA58A89}">
      <tableStyleElement type="wholeTable" dxfId="5380"/>
    </tableStyle>
    <tableStyle name="Estilo de Segmentação de Dados 1" pivot="0" table="0" count="1" xr9:uid="{D77F7B18-2121-4E3C-ADF9-E43B69AC1021}">
      <tableStyleElement type="wholeTable" dxfId="5379"/>
    </tableStyle>
  </tableStyles>
  <colors>
    <mruColors>
      <color rgb="FFFFFF00"/>
      <color rgb="FFCFFFE7"/>
      <color rgb="FF002A7E"/>
      <color rgb="FFFFFFBA"/>
      <color rgb="FFFFFFBD"/>
      <color rgb="FF4FD199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4" tint="-0.24994659260841701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theme="4" tint="-0.49998474074526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 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</xdr:rowOff>
    </xdr:from>
    <xdr:to>
      <xdr:col>1</xdr:col>
      <xdr:colOff>1465898</xdr:colOff>
      <xdr:row>1</xdr:row>
      <xdr:rowOff>904876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7E363F2E-05B5-4FED-A8C6-080F674F5F40}"/>
            </a:ext>
          </a:extLst>
        </xdr:cNvPr>
        <xdr:cNvGrpSpPr/>
      </xdr:nvGrpSpPr>
      <xdr:grpSpPr>
        <a:xfrm>
          <a:off x="0" y="2"/>
          <a:ext cx="2578418" cy="1095374"/>
          <a:chOff x="2438400" y="563357"/>
          <a:chExt cx="3124200" cy="1267495"/>
        </a:xfrm>
      </xdr:grpSpPr>
      <xdr:sp macro="" textlink="">
        <xdr:nvSpPr>
          <xdr:cNvPr id="9" name="Rounded Rectangle 3">
            <a:extLst>
              <a:ext uri="{FF2B5EF4-FFF2-40B4-BE49-F238E27FC236}">
                <a16:creationId xmlns:a16="http://schemas.microsoft.com/office/drawing/2014/main" id="{F491F763-32AF-6E83-43BF-4D248F2842D7}"/>
              </a:ext>
            </a:extLst>
          </xdr:cNvPr>
          <xdr:cNvSpPr/>
        </xdr:nvSpPr>
        <xdr:spPr>
          <a:xfrm flipH="1">
            <a:off x="2438400" y="563361"/>
            <a:ext cx="2146519" cy="126723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ounded Rectangle 3">
            <a:extLst>
              <a:ext uri="{FF2B5EF4-FFF2-40B4-BE49-F238E27FC236}">
                <a16:creationId xmlns:a16="http://schemas.microsoft.com/office/drawing/2014/main" id="{23F1B1C4-E6EA-E656-7132-99354D9092D0}"/>
              </a:ext>
            </a:extLst>
          </xdr:cNvPr>
          <xdr:cNvSpPr/>
        </xdr:nvSpPr>
        <xdr:spPr>
          <a:xfrm flipV="1">
            <a:off x="4583724" y="563357"/>
            <a:ext cx="978876" cy="126749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55751393-BC5C-0DAD-98C3-A79818AC66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5656" y="974361"/>
            <a:ext cx="1699172" cy="787998"/>
          </a:xfrm>
          <a:prstGeom prst="rect">
            <a:avLst/>
          </a:prstGeom>
        </xdr:spPr>
      </xdr:pic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CCA9575A-E999-A41D-C22F-EC66DED078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48855" y="624116"/>
            <a:ext cx="2307773" cy="4159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NISCLEY%20CALDEIRA%20(62)%209271-2654\01_KRAFT%20HEINZ\06_2022\FO-NR-MAN-003-%20Registro%20de%20Calibr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ESTRAL"/>
      <sheetName val="ANUAL"/>
      <sheetName val="APOIO"/>
      <sheetName val="Plan1"/>
    </sheetNames>
    <sheetDataSet>
      <sheetData sheetId="0"/>
      <sheetData sheetId="1"/>
      <sheetData sheetId="2"/>
      <sheetData sheetId="3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qualidade.suporty.com.br/sistema/login/?next=/sistema/" TargetMode="External"/><Relationship Id="rId1" Type="http://schemas.openxmlformats.org/officeDocument/2006/relationships/hyperlink" Target="https://heinz365.sharepoint.com/:x:/r/sites/Automacao-Neropolis/_layouts/15/Doc.aspx?sourcedoc=%7B49D444E0-972C-4F91-A476-038C98C66A02%7D&amp;file=AN-NR-MAN-1001%20v%2007%20-%20Registro%20de%20Calibra%C3%A7%C3%A3o..xlsx&amp;action=default&amp;mobileredirect=tru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CERTIFICADOS\ANUAL\07_JULHO_2026\507991.pdf" TargetMode="External"/><Relationship Id="rId2" Type="http://schemas.openxmlformats.org/officeDocument/2006/relationships/hyperlink" Target="https://qualidade.suporty.com.br/sistema/login/?next=/sistema/" TargetMode="External"/><Relationship Id="rId1" Type="http://schemas.openxmlformats.org/officeDocument/2006/relationships/hyperlink" Target="https://heinz365.sharepoint.com/:x:/r/sites/Automacao-Neropolis/_layouts/15/Doc.aspx?sourcedoc=%7B49D444E0-972C-4F91-A476-038C98C66A02%7D&amp;file=AN-NR-MAN-1001%20v%2007%20-%20Registro%20de%20Calibra%C3%A7%C3%A3o..xlsx&amp;action=default&amp;mobileredirect=tru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..\CERTIFICADOS\ANUAL\07_JULHO_2026\507992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O633"/>
  <sheetViews>
    <sheetView showGridLines="0" tabSelected="1" zoomScale="60" zoomScaleNormal="60" workbookViewId="0">
      <pane xSplit="1" ySplit="9" topLeftCell="F303" activePane="bottomRight" state="frozen"/>
      <selection activeCell="C42" sqref="C42"/>
      <selection pane="topRight" activeCell="C42" sqref="C42"/>
      <selection pane="bottomLeft" activeCell="C42" sqref="C42"/>
      <selection pane="bottomRight" activeCell="A321" sqref="A321:XFD321"/>
    </sheetView>
  </sheetViews>
  <sheetFormatPr defaultColWidth="12.59765625" defaultRowHeight="15" customHeight="1" x14ac:dyDescent="0.25"/>
  <cols>
    <col min="1" max="1" width="39.796875" customWidth="1"/>
    <col min="2" max="2" width="30.59765625" customWidth="1"/>
    <col min="3" max="3" width="28.3984375" customWidth="1"/>
    <col min="4" max="4" width="50.296875" customWidth="1"/>
    <col min="5" max="5" width="17.796875" customWidth="1"/>
    <col min="6" max="6" width="26.59765625" customWidth="1"/>
    <col min="7" max="8" width="31.09765625" customWidth="1"/>
    <col min="9" max="9" width="15.19921875" customWidth="1"/>
    <col min="10" max="10" width="13.09765625" customWidth="1"/>
    <col min="11" max="15" width="20.69921875" customWidth="1"/>
    <col min="16" max="16" width="15.59765625" style="97" customWidth="1"/>
    <col min="17" max="17" width="16.69921875" style="97" customWidth="1"/>
    <col min="18" max="18" width="21.8984375" customWidth="1"/>
    <col min="19" max="19" width="19.59765625" bestFit="1" customWidth="1"/>
    <col min="20" max="20" width="18.09765625" bestFit="1" customWidth="1"/>
    <col min="21" max="21" width="104.19921875" hidden="1" customWidth="1"/>
    <col min="22" max="22" width="12.19921875" hidden="1" customWidth="1"/>
    <col min="23" max="23" width="21.3984375" style="73" bestFit="1" customWidth="1"/>
    <col min="24" max="24" width="19.296875" style="73" bestFit="1" customWidth="1"/>
    <col min="25" max="25" width="17.296875" bestFit="1" customWidth="1"/>
    <col min="26" max="26" width="30.796875" customWidth="1"/>
    <col min="27" max="27" width="17.296875" bestFit="1" customWidth="1"/>
    <col min="28" max="28" width="13.296875" bestFit="1" customWidth="1"/>
    <col min="29" max="29" width="14.296875" bestFit="1" customWidth="1"/>
    <col min="30" max="30" width="26" customWidth="1"/>
    <col min="31" max="31" width="18.8984375" bestFit="1" customWidth="1"/>
    <col min="32" max="32" width="78.19921875" customWidth="1"/>
    <col min="33" max="35" width="7.59765625" customWidth="1"/>
    <col min="36" max="36" width="2.19921875" customWidth="1"/>
    <col min="37" max="37" width="11.19921875" hidden="1" customWidth="1"/>
    <col min="38" max="41" width="26.5" hidden="1" customWidth="1"/>
  </cols>
  <sheetData>
    <row r="1" spans="1:41" ht="30.6" customHeight="1" x14ac:dyDescent="0.3">
      <c r="A1" s="170" t="e" vm="1">
        <v>#VALUE!</v>
      </c>
      <c r="B1" s="170"/>
      <c r="C1" s="167"/>
      <c r="D1" s="127"/>
      <c r="E1" s="191" t="s">
        <v>0</v>
      </c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1"/>
      <c r="X1" s="191"/>
      <c r="Y1" s="191"/>
      <c r="Z1" s="191"/>
      <c r="AA1" s="191"/>
      <c r="AB1" s="191"/>
      <c r="AC1" s="193"/>
      <c r="AD1" s="149"/>
      <c r="AE1" s="178" t="s">
        <v>1</v>
      </c>
      <c r="AF1" s="175" t="s">
        <v>5801</v>
      </c>
    </row>
    <row r="2" spans="1:41" ht="51.75" customHeight="1" x14ac:dyDescent="0.3">
      <c r="A2" s="170"/>
      <c r="B2" s="170"/>
      <c r="C2" s="167"/>
      <c r="D2" s="127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2"/>
      <c r="W2" s="191"/>
      <c r="X2" s="191"/>
      <c r="Y2" s="191"/>
      <c r="Z2" s="191"/>
      <c r="AA2" s="191"/>
      <c r="AB2" s="191"/>
      <c r="AC2" s="193"/>
      <c r="AD2" s="149"/>
      <c r="AE2" s="179"/>
      <c r="AF2" s="176"/>
    </row>
    <row r="3" spans="1:41" ht="60.6" customHeight="1" x14ac:dyDescent="0.3">
      <c r="A3" s="171"/>
      <c r="B3" s="171"/>
      <c r="C3" s="168"/>
      <c r="D3" s="128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2"/>
      <c r="W3" s="191"/>
      <c r="X3" s="191"/>
      <c r="Y3" s="191"/>
      <c r="Z3" s="191"/>
      <c r="AA3" s="191"/>
      <c r="AB3" s="191"/>
      <c r="AC3" s="193"/>
      <c r="AD3" s="149"/>
      <c r="AE3" s="179"/>
      <c r="AF3" s="177"/>
    </row>
    <row r="4" spans="1:41" ht="40.950000000000003" customHeight="1" x14ac:dyDescent="0.3">
      <c r="A4" s="17" t="s">
        <v>2</v>
      </c>
      <c r="B4" s="18" t="s">
        <v>3</v>
      </c>
      <c r="C4" s="196" t="e" vm="2">
        <v>#VALUE!</v>
      </c>
      <c r="D4" s="197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K4" s="19" t="s">
        <v>4</v>
      </c>
      <c r="AL4" s="20" t="s">
        <v>5</v>
      </c>
    </row>
    <row r="5" spans="1:41" ht="14.4" hidden="1" x14ac:dyDescent="0.3">
      <c r="A5" s="17"/>
      <c r="B5" s="21"/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23"/>
      <c r="R5" s="24"/>
      <c r="S5" s="25"/>
      <c r="T5" s="26"/>
      <c r="U5" s="26"/>
      <c r="V5" s="26"/>
      <c r="W5" s="27"/>
      <c r="X5" s="27"/>
      <c r="Y5" s="28"/>
      <c r="Z5" s="26"/>
      <c r="AA5" s="27"/>
      <c r="AB5" s="29"/>
      <c r="AC5" s="30"/>
      <c r="AD5" s="30"/>
      <c r="AE5" s="31"/>
      <c r="AF5" s="32"/>
      <c r="AK5" s="19" t="s">
        <v>6</v>
      </c>
      <c r="AL5" s="20" t="s">
        <v>7</v>
      </c>
    </row>
    <row r="6" spans="1:41" ht="43.95" customHeight="1" x14ac:dyDescent="0.3">
      <c r="A6" s="17" t="s">
        <v>8</v>
      </c>
      <c r="B6" s="33" t="s">
        <v>9</v>
      </c>
      <c r="C6" s="198" t="e" vm="3">
        <v>#VALUE!</v>
      </c>
      <c r="D6" s="199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35"/>
      <c r="AK6" s="19" t="s">
        <v>10</v>
      </c>
      <c r="AL6" s="20" t="s">
        <v>3639</v>
      </c>
    </row>
    <row r="7" spans="1:41" ht="37.200000000000003" customHeight="1" x14ac:dyDescent="0.3">
      <c r="A7" s="36" t="s">
        <v>11</v>
      </c>
      <c r="B7" s="36" t="s">
        <v>12</v>
      </c>
      <c r="C7" s="36"/>
      <c r="D7" s="172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90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K7" s="19" t="s">
        <v>13</v>
      </c>
      <c r="AL7" s="37" t="s">
        <v>14</v>
      </c>
      <c r="AM7" s="37" t="s">
        <v>14</v>
      </c>
      <c r="AN7" s="37" t="s">
        <v>14</v>
      </c>
      <c r="AO7" s="37" t="s">
        <v>14</v>
      </c>
    </row>
    <row r="8" spans="1:41" ht="15" customHeight="1" x14ac:dyDescent="0.25"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38"/>
      <c r="V8" s="39"/>
      <c r="W8" s="27"/>
      <c r="X8" s="27"/>
      <c r="Y8" s="27"/>
      <c r="Z8" s="27"/>
      <c r="AA8" s="27"/>
      <c r="AB8" s="27"/>
      <c r="AC8" s="27"/>
      <c r="AD8" s="27"/>
      <c r="AE8" s="27"/>
      <c r="AF8" s="27"/>
    </row>
    <row r="9" spans="1:41" ht="70.2" customHeight="1" x14ac:dyDescent="0.25">
      <c r="A9" s="40" t="s">
        <v>664</v>
      </c>
      <c r="B9" s="40" t="s">
        <v>15</v>
      </c>
      <c r="C9" s="40" t="s">
        <v>5861</v>
      </c>
      <c r="D9" s="40" t="s">
        <v>16</v>
      </c>
      <c r="E9" s="40" t="s">
        <v>17</v>
      </c>
      <c r="F9" s="40" t="s">
        <v>5604</v>
      </c>
      <c r="G9" s="40" t="s">
        <v>19</v>
      </c>
      <c r="H9" s="40" t="s">
        <v>20</v>
      </c>
      <c r="I9" s="40" t="s">
        <v>21</v>
      </c>
      <c r="J9" s="40" t="s">
        <v>22</v>
      </c>
      <c r="K9" s="41" t="s">
        <v>23</v>
      </c>
      <c r="L9" s="41" t="s">
        <v>24</v>
      </c>
      <c r="M9" s="41" t="s">
        <v>5533</v>
      </c>
      <c r="N9" s="42" t="s">
        <v>5532</v>
      </c>
      <c r="O9" s="42" t="s">
        <v>25</v>
      </c>
      <c r="P9" s="43" t="s">
        <v>26</v>
      </c>
      <c r="Q9" s="43" t="s">
        <v>4933</v>
      </c>
      <c r="R9" s="43" t="s">
        <v>28</v>
      </c>
      <c r="S9" s="43" t="s">
        <v>29</v>
      </c>
      <c r="T9" s="43" t="s">
        <v>30</v>
      </c>
      <c r="U9" s="43" t="s">
        <v>31</v>
      </c>
      <c r="V9" s="43" t="s">
        <v>5531</v>
      </c>
      <c r="W9" s="42" t="s">
        <v>3621</v>
      </c>
      <c r="X9" s="43" t="s">
        <v>32</v>
      </c>
      <c r="Y9" s="43" t="s">
        <v>33</v>
      </c>
      <c r="Z9" s="43" t="s">
        <v>34</v>
      </c>
      <c r="AA9" s="40" t="s">
        <v>35</v>
      </c>
      <c r="AB9" s="44" t="s">
        <v>36</v>
      </c>
      <c r="AC9" s="45" t="s">
        <v>37</v>
      </c>
      <c r="AD9" s="45" t="s">
        <v>5528</v>
      </c>
      <c r="AE9" s="40" t="s">
        <v>38</v>
      </c>
      <c r="AF9" s="40" t="s">
        <v>5529</v>
      </c>
    </row>
    <row r="10" spans="1:41" ht="30" customHeight="1" x14ac:dyDescent="0.3">
      <c r="A10" s="9" t="s">
        <v>327</v>
      </c>
      <c r="B10" s="5" t="s">
        <v>10</v>
      </c>
      <c r="C10" s="5" t="s">
        <v>5862</v>
      </c>
      <c r="D10" s="61" t="s">
        <v>328</v>
      </c>
      <c r="E10" s="7" t="s">
        <v>256</v>
      </c>
      <c r="F10" s="7" t="s">
        <v>257</v>
      </c>
      <c r="G10" s="61" t="s">
        <v>328</v>
      </c>
      <c r="H10" s="61" t="s">
        <v>328</v>
      </c>
      <c r="I10" s="62" t="s">
        <v>329</v>
      </c>
      <c r="J10" s="62" t="s">
        <v>329</v>
      </c>
      <c r="K10" s="5" t="s">
        <v>45</v>
      </c>
      <c r="L10" s="5" t="s">
        <v>10</v>
      </c>
      <c r="M10" s="5" t="s">
        <v>10</v>
      </c>
      <c r="N10" s="5" t="s">
        <v>10</v>
      </c>
      <c r="O10" s="46" t="s">
        <v>46</v>
      </c>
      <c r="P10" s="99">
        <v>46129</v>
      </c>
      <c r="Q10" s="100">
        <f>IF(P10="","",P10+183)</f>
        <v>46312</v>
      </c>
      <c r="R10" s="63" t="s">
        <v>3618</v>
      </c>
      <c r="S10" s="63" t="s">
        <v>5292</v>
      </c>
      <c r="T10" s="7">
        <v>1.2E-2</v>
      </c>
      <c r="U10" s="5" t="s">
        <v>10</v>
      </c>
      <c r="V10" s="7">
        <f t="shared" ref="V10:V15" si="0">IFERROR(IF(U10&gt;0,T10*100/U10,T10),T10)</f>
        <v>1.2E-2</v>
      </c>
      <c r="W10" s="5" t="s">
        <v>10</v>
      </c>
      <c r="X10" s="5" t="s">
        <v>330</v>
      </c>
      <c r="Y10" s="7" t="s">
        <v>56</v>
      </c>
      <c r="Z10" s="48" t="str">
        <f t="shared" ref="Z10:Z15" si="1">IFERROR(IF(W10="-",$AL$6,CHOOSE(IF(T10="",1,2),$AL$7,IF(V10&gt;W10,$AL$5,$AL$4))),"-")</f>
        <v>A DEFINIR</v>
      </c>
      <c r="AA10" s="47">
        <v>11599516</v>
      </c>
      <c r="AB10" s="5" t="s">
        <v>2711</v>
      </c>
      <c r="AC10" s="5" t="s">
        <v>48</v>
      </c>
      <c r="AD10" s="5" t="s">
        <v>5530</v>
      </c>
      <c r="AE10" s="5" t="str">
        <f t="shared" ref="AE10:AE15" ca="1" si="2">IFERROR(IF(OR(AND(YEAR(Q10)=YEAR(TODAY()),MONTH(Q10)&gt;MONTH(TODAY())),(YEAR(Q10)&gt;YEAR(TODAY()))),$AK$4,IF(AND(YEAR(Q10)=YEAR(TODAY()),MONTH(Q10)=MONTH(TODAY())),$AK$5,IF(Q10="",$AK$6,$AK$7))),"-")</f>
        <v>NO PRAZO</v>
      </c>
      <c r="AF10" s="51"/>
      <c r="AJ10" s="50"/>
    </row>
    <row r="11" spans="1:41" ht="30" customHeight="1" x14ac:dyDescent="0.25">
      <c r="A11" s="9" t="s">
        <v>331</v>
      </c>
      <c r="B11" s="5" t="s">
        <v>10</v>
      </c>
      <c r="C11" s="5" t="s">
        <v>5862</v>
      </c>
      <c r="D11" s="61" t="s">
        <v>328</v>
      </c>
      <c r="E11" s="7" t="s">
        <v>256</v>
      </c>
      <c r="F11" s="7" t="s">
        <v>257</v>
      </c>
      <c r="G11" s="61" t="s">
        <v>328</v>
      </c>
      <c r="H11" s="61" t="s">
        <v>328</v>
      </c>
      <c r="I11" s="62" t="s">
        <v>329</v>
      </c>
      <c r="J11" s="62" t="s">
        <v>329</v>
      </c>
      <c r="K11" s="5" t="s">
        <v>45</v>
      </c>
      <c r="L11" s="5" t="s">
        <v>10</v>
      </c>
      <c r="M11" s="5" t="s">
        <v>10</v>
      </c>
      <c r="N11" s="5" t="s">
        <v>10</v>
      </c>
      <c r="O11" s="46" t="s">
        <v>46</v>
      </c>
      <c r="P11" s="99">
        <v>46129</v>
      </c>
      <c r="Q11" s="100">
        <f>IF(P11="","",P11+183)</f>
        <v>46312</v>
      </c>
      <c r="R11" s="63" t="s">
        <v>3619</v>
      </c>
      <c r="S11" s="63" t="s">
        <v>5293</v>
      </c>
      <c r="T11" s="7">
        <v>1.2E-2</v>
      </c>
      <c r="U11" s="5" t="s">
        <v>10</v>
      </c>
      <c r="V11" s="7">
        <f t="shared" si="0"/>
        <v>1.2E-2</v>
      </c>
      <c r="W11" s="5" t="s">
        <v>10</v>
      </c>
      <c r="X11" s="5" t="s">
        <v>330</v>
      </c>
      <c r="Y11" s="7" t="s">
        <v>56</v>
      </c>
      <c r="Z11" s="48" t="str">
        <f t="shared" si="1"/>
        <v>A DEFINIR</v>
      </c>
      <c r="AA11" s="47">
        <v>11599887</v>
      </c>
      <c r="AB11" s="5" t="s">
        <v>2712</v>
      </c>
      <c r="AC11" s="5" t="s">
        <v>48</v>
      </c>
      <c r="AD11" s="5" t="s">
        <v>5530</v>
      </c>
      <c r="AE11" s="5" t="str">
        <f t="shared" ca="1" si="2"/>
        <v>NO PRAZO</v>
      </c>
      <c r="AF11" s="51"/>
    </row>
    <row r="12" spans="1:41" ht="30" customHeight="1" x14ac:dyDescent="0.25">
      <c r="A12" s="9" t="s">
        <v>1784</v>
      </c>
      <c r="B12" s="5" t="s">
        <v>10</v>
      </c>
      <c r="C12" s="5" t="s">
        <v>5862</v>
      </c>
      <c r="D12" s="61" t="s">
        <v>328</v>
      </c>
      <c r="E12" s="7" t="s">
        <v>256</v>
      </c>
      <c r="F12" s="7" t="s">
        <v>257</v>
      </c>
      <c r="G12" s="61" t="s">
        <v>328</v>
      </c>
      <c r="H12" s="61" t="s">
        <v>328</v>
      </c>
      <c r="I12" s="62" t="s">
        <v>1804</v>
      </c>
      <c r="J12" s="62" t="s">
        <v>1804</v>
      </c>
      <c r="K12" s="5" t="s">
        <v>45</v>
      </c>
      <c r="L12" s="5" t="s">
        <v>10</v>
      </c>
      <c r="M12" s="5" t="s">
        <v>10</v>
      </c>
      <c r="N12" s="5" t="s">
        <v>10</v>
      </c>
      <c r="O12" s="46" t="s">
        <v>46</v>
      </c>
      <c r="P12" s="99">
        <v>46205</v>
      </c>
      <c r="Q12" s="100">
        <f>IF(P12="","",P12+184)</f>
        <v>46389</v>
      </c>
      <c r="R12" s="63" t="s">
        <v>4306</v>
      </c>
      <c r="S12" s="63" t="s">
        <v>5749</v>
      </c>
      <c r="T12" s="7">
        <v>6.2E-2</v>
      </c>
      <c r="U12" s="5" t="s">
        <v>10</v>
      </c>
      <c r="V12" s="7">
        <f t="shared" si="0"/>
        <v>6.2E-2</v>
      </c>
      <c r="W12" s="5" t="s">
        <v>10</v>
      </c>
      <c r="X12" s="5" t="s">
        <v>330</v>
      </c>
      <c r="Y12" s="7" t="s">
        <v>56</v>
      </c>
      <c r="Z12" s="48" t="str">
        <f t="shared" si="1"/>
        <v>A DEFINIR</v>
      </c>
      <c r="AA12" s="47">
        <v>11604001</v>
      </c>
      <c r="AB12" s="5" t="s">
        <v>2841</v>
      </c>
      <c r="AC12" s="5" t="s">
        <v>48</v>
      </c>
      <c r="AD12" s="5" t="s">
        <v>5632</v>
      </c>
      <c r="AE12" s="5" t="str">
        <f t="shared" ca="1" si="2"/>
        <v>NO PRAZO</v>
      </c>
      <c r="AF12" s="51"/>
    </row>
    <row r="13" spans="1:41" ht="30" customHeight="1" x14ac:dyDescent="0.25">
      <c r="A13" s="9" t="s">
        <v>1783</v>
      </c>
      <c r="B13" s="5" t="s">
        <v>10</v>
      </c>
      <c r="C13" s="5" t="s">
        <v>5862</v>
      </c>
      <c r="D13" s="61" t="s">
        <v>328</v>
      </c>
      <c r="E13" s="7" t="s">
        <v>256</v>
      </c>
      <c r="F13" s="7" t="s">
        <v>257</v>
      </c>
      <c r="G13" s="61" t="s">
        <v>328</v>
      </c>
      <c r="H13" s="61" t="s">
        <v>328</v>
      </c>
      <c r="I13" s="62" t="s">
        <v>333</v>
      </c>
      <c r="J13" s="62" t="s">
        <v>333</v>
      </c>
      <c r="K13" s="5" t="s">
        <v>45</v>
      </c>
      <c r="L13" s="5" t="s">
        <v>10</v>
      </c>
      <c r="M13" s="5" t="s">
        <v>10</v>
      </c>
      <c r="N13" s="5" t="s">
        <v>10</v>
      </c>
      <c r="O13" s="46" t="s">
        <v>46</v>
      </c>
      <c r="P13" s="99">
        <v>46205</v>
      </c>
      <c r="Q13" s="100">
        <f>IF(P13="","",P13+184)</f>
        <v>46389</v>
      </c>
      <c r="R13" s="63" t="s">
        <v>4307</v>
      </c>
      <c r="S13" s="63" t="s">
        <v>5750</v>
      </c>
      <c r="T13" s="7">
        <v>2.1000000000000001E-2</v>
      </c>
      <c r="U13" s="5" t="s">
        <v>10</v>
      </c>
      <c r="V13" s="7">
        <f t="shared" si="0"/>
        <v>2.1000000000000001E-2</v>
      </c>
      <c r="W13" s="5" t="s">
        <v>10</v>
      </c>
      <c r="X13" s="5" t="s">
        <v>330</v>
      </c>
      <c r="Y13" s="7" t="s">
        <v>56</v>
      </c>
      <c r="Z13" s="48" t="str">
        <f t="shared" si="1"/>
        <v>A DEFINIR</v>
      </c>
      <c r="AA13" s="47">
        <v>11604002</v>
      </c>
      <c r="AB13" s="5" t="s">
        <v>2842</v>
      </c>
      <c r="AC13" s="5" t="s">
        <v>48</v>
      </c>
      <c r="AD13" s="5" t="s">
        <v>5632</v>
      </c>
      <c r="AE13" s="5" t="str">
        <f t="shared" ca="1" si="2"/>
        <v>NO PRAZO</v>
      </c>
      <c r="AF13" s="51"/>
    </row>
    <row r="14" spans="1:41" ht="30" customHeight="1" x14ac:dyDescent="0.25">
      <c r="A14" s="9" t="s">
        <v>332</v>
      </c>
      <c r="B14" s="5" t="s">
        <v>10</v>
      </c>
      <c r="C14" s="5" t="s">
        <v>5862</v>
      </c>
      <c r="D14" s="61" t="s">
        <v>328</v>
      </c>
      <c r="E14" s="7" t="s">
        <v>256</v>
      </c>
      <c r="F14" s="7" t="s">
        <v>257</v>
      </c>
      <c r="G14" s="61" t="s">
        <v>328</v>
      </c>
      <c r="H14" s="61" t="s">
        <v>328</v>
      </c>
      <c r="I14" s="62" t="s">
        <v>333</v>
      </c>
      <c r="J14" s="62" t="s">
        <v>333</v>
      </c>
      <c r="K14" s="5" t="s">
        <v>45</v>
      </c>
      <c r="L14" s="5" t="s">
        <v>10</v>
      </c>
      <c r="M14" s="5" t="s">
        <v>10</v>
      </c>
      <c r="N14" s="5" t="s">
        <v>10</v>
      </c>
      <c r="O14" s="46" t="s">
        <v>46</v>
      </c>
      <c r="P14" s="99">
        <v>46129</v>
      </c>
      <c r="Q14" s="100">
        <f>IF(P14="","",P14+183)</f>
        <v>46312</v>
      </c>
      <c r="R14" s="63" t="s">
        <v>3620</v>
      </c>
      <c r="S14" s="63" t="s">
        <v>5294</v>
      </c>
      <c r="T14" s="7">
        <v>1.2E-2</v>
      </c>
      <c r="U14" s="5" t="s">
        <v>10</v>
      </c>
      <c r="V14" s="7">
        <f t="shared" si="0"/>
        <v>1.2E-2</v>
      </c>
      <c r="W14" s="5" t="s">
        <v>10</v>
      </c>
      <c r="X14" s="5" t="s">
        <v>330</v>
      </c>
      <c r="Y14" s="7" t="s">
        <v>56</v>
      </c>
      <c r="Z14" s="48" t="str">
        <f t="shared" si="1"/>
        <v>A DEFINIR</v>
      </c>
      <c r="AA14" s="47">
        <v>11599517</v>
      </c>
      <c r="AB14" s="5" t="s">
        <v>2713</v>
      </c>
      <c r="AC14" s="5" t="s">
        <v>48</v>
      </c>
      <c r="AD14" s="5" t="s">
        <v>5530</v>
      </c>
      <c r="AE14" s="5" t="str">
        <f t="shared" ca="1" si="2"/>
        <v>NO PRAZO</v>
      </c>
      <c r="AF14" s="51"/>
    </row>
    <row r="15" spans="1:41" ht="30" customHeight="1" x14ac:dyDescent="0.25">
      <c r="A15" s="9" t="s">
        <v>334</v>
      </c>
      <c r="B15" s="5" t="s">
        <v>10</v>
      </c>
      <c r="C15" s="5" t="s">
        <v>5862</v>
      </c>
      <c r="D15" s="61" t="s">
        <v>328</v>
      </c>
      <c r="E15" s="7" t="s">
        <v>256</v>
      </c>
      <c r="F15" s="7" t="s">
        <v>257</v>
      </c>
      <c r="G15" s="61" t="s">
        <v>328</v>
      </c>
      <c r="H15" s="61" t="s">
        <v>328</v>
      </c>
      <c r="I15" s="62" t="s">
        <v>333</v>
      </c>
      <c r="J15" s="62" t="s">
        <v>333</v>
      </c>
      <c r="K15" s="5" t="s">
        <v>45</v>
      </c>
      <c r="L15" s="5" t="s">
        <v>10</v>
      </c>
      <c r="M15" s="5" t="s">
        <v>10</v>
      </c>
      <c r="N15" s="5" t="s">
        <v>10</v>
      </c>
      <c r="O15" s="46" t="s">
        <v>46</v>
      </c>
      <c r="P15" s="99">
        <v>46153</v>
      </c>
      <c r="Q15" s="100">
        <f>IF(P15="","",P15+184)</f>
        <v>46337</v>
      </c>
      <c r="R15" s="63" t="s">
        <v>3772</v>
      </c>
      <c r="S15" s="63" t="s">
        <v>5375</v>
      </c>
      <c r="T15" s="7">
        <v>6.2E-2</v>
      </c>
      <c r="U15" s="5" t="s">
        <v>10</v>
      </c>
      <c r="V15" s="7">
        <f t="shared" si="0"/>
        <v>6.2E-2</v>
      </c>
      <c r="W15" s="5" t="s">
        <v>10</v>
      </c>
      <c r="X15" s="5" t="s">
        <v>330</v>
      </c>
      <c r="Y15" s="7" t="s">
        <v>56</v>
      </c>
      <c r="Z15" s="48" t="str">
        <f t="shared" si="1"/>
        <v>A DEFINIR</v>
      </c>
      <c r="AA15" s="47">
        <v>11599518</v>
      </c>
      <c r="AB15" s="5" t="s">
        <v>2781</v>
      </c>
      <c r="AC15" s="5" t="s">
        <v>48</v>
      </c>
      <c r="AD15" s="5" t="s">
        <v>5530</v>
      </c>
      <c r="AE15" s="5" t="str">
        <f t="shared" ca="1" si="2"/>
        <v>NO PRAZO</v>
      </c>
      <c r="AF15" s="51"/>
    </row>
    <row r="16" spans="1:41" ht="30" customHeight="1" x14ac:dyDescent="0.25">
      <c r="A16" s="5" t="s">
        <v>2070</v>
      </c>
      <c r="B16" s="5" t="s">
        <v>10</v>
      </c>
      <c r="C16" s="5" t="s">
        <v>5863</v>
      </c>
      <c r="D16" s="7" t="s">
        <v>2069</v>
      </c>
      <c r="E16" s="7" t="s">
        <v>50</v>
      </c>
      <c r="F16" s="7" t="s">
        <v>2050</v>
      </c>
      <c r="G16" s="5" t="s">
        <v>2057</v>
      </c>
      <c r="H16" s="7" t="s">
        <v>2062</v>
      </c>
      <c r="I16" s="7" t="s">
        <v>2065</v>
      </c>
      <c r="J16" s="7" t="s">
        <v>2064</v>
      </c>
      <c r="K16" s="5" t="s">
        <v>10</v>
      </c>
      <c r="L16" s="5" t="s">
        <v>10</v>
      </c>
      <c r="M16" s="5" t="s">
        <v>10</v>
      </c>
      <c r="N16" s="5" t="s">
        <v>45</v>
      </c>
      <c r="O16" s="119" t="s">
        <v>46</v>
      </c>
      <c r="P16" s="101">
        <v>46089</v>
      </c>
      <c r="Q16" s="100">
        <f>IF(P16="","",P16+184)</f>
        <v>46273</v>
      </c>
      <c r="R16" s="5" t="s">
        <v>3164</v>
      </c>
      <c r="S16" s="5" t="s">
        <v>5023</v>
      </c>
      <c r="T16" s="7">
        <v>0.4</v>
      </c>
      <c r="U16" s="5" t="s">
        <v>10</v>
      </c>
      <c r="V16" s="7">
        <f t="shared" ref="V16:V78" si="3">IFERROR(IF(U16&gt;0,T16*100/U16,T16),T16)</f>
        <v>0.4</v>
      </c>
      <c r="W16" s="5">
        <v>0.5</v>
      </c>
      <c r="X16" s="5" t="s">
        <v>55</v>
      </c>
      <c r="Y16" s="7" t="s">
        <v>56</v>
      </c>
      <c r="Z16" s="48" t="str">
        <f t="shared" ref="Z16:Z78" si="4">IFERROR(IF(W16="-",$AL$6,CHOOSE(IF(T16="",1,2),$AL$7,IF(V16&gt;W16,$AL$5,$AL$4))),"-")</f>
        <v>APROVADO</v>
      </c>
      <c r="AA16" s="47">
        <v>11542184</v>
      </c>
      <c r="AB16" s="5" t="s">
        <v>3275</v>
      </c>
      <c r="AC16" s="5" t="s">
        <v>48</v>
      </c>
      <c r="AD16" s="5" t="s">
        <v>5530</v>
      </c>
      <c r="AE16" s="5" t="str">
        <f t="shared" ref="AE16:AE39" ca="1" si="5">IFERROR(IF(OR(AND(YEAR(Q16)=YEAR(TODAY()),MONTH(Q16)&gt;MONTH(TODAY())),(YEAR(Q16)&gt;YEAR(TODAY()))),$AK$4,IF(AND(YEAR(Q16)=YEAR(TODAY()),MONTH(Q16)=MONTH(TODAY())),$AK$5,IF(Q16="",$AK$6,$AK$7))),"-")</f>
        <v>NO PRAZO</v>
      </c>
      <c r="AF16" s="51"/>
      <c r="AH16" s="20" t="s">
        <v>95</v>
      </c>
    </row>
    <row r="17" spans="1:32" ht="30" customHeight="1" x14ac:dyDescent="0.25">
      <c r="A17" s="9" t="s">
        <v>381</v>
      </c>
      <c r="B17" s="5" t="s">
        <v>10</v>
      </c>
      <c r="C17" s="5" t="s">
        <v>5862</v>
      </c>
      <c r="D17" s="7" t="s">
        <v>2099</v>
      </c>
      <c r="E17" s="7" t="s">
        <v>40</v>
      </c>
      <c r="F17" s="7" t="s">
        <v>354</v>
      </c>
      <c r="G17" s="61" t="s">
        <v>355</v>
      </c>
      <c r="H17" s="61" t="s">
        <v>359</v>
      </c>
      <c r="I17" s="61" t="s">
        <v>382</v>
      </c>
      <c r="J17" s="62" t="s">
        <v>383</v>
      </c>
      <c r="K17" s="5" t="s">
        <v>45</v>
      </c>
      <c r="L17" s="5" t="s">
        <v>10</v>
      </c>
      <c r="M17" s="5" t="s">
        <v>10</v>
      </c>
      <c r="N17" s="5" t="s">
        <v>10</v>
      </c>
      <c r="O17" s="46" t="s">
        <v>46</v>
      </c>
      <c r="P17" s="99">
        <v>46102</v>
      </c>
      <c r="Q17" s="100">
        <f>IF(P17="","",P17+184)</f>
        <v>46286</v>
      </c>
      <c r="R17" s="63" t="s">
        <v>3429</v>
      </c>
      <c r="S17" s="63" t="s">
        <v>5062</v>
      </c>
      <c r="T17" s="7">
        <v>1.04</v>
      </c>
      <c r="U17" s="5" t="s">
        <v>10</v>
      </c>
      <c r="V17" s="7">
        <f t="shared" si="3"/>
        <v>1.04</v>
      </c>
      <c r="W17" s="48" t="s">
        <v>10</v>
      </c>
      <c r="X17" s="5" t="s">
        <v>384</v>
      </c>
      <c r="Y17" s="7" t="s">
        <v>56</v>
      </c>
      <c r="Z17" s="48" t="str">
        <f t="shared" si="4"/>
        <v>A DEFINIR</v>
      </c>
      <c r="AA17" s="47">
        <v>11599627</v>
      </c>
      <c r="AB17" s="5" t="s">
        <v>2608</v>
      </c>
      <c r="AC17" s="5" t="s">
        <v>48</v>
      </c>
      <c r="AD17" s="5" t="s">
        <v>5530</v>
      </c>
      <c r="AE17" s="5" t="str">
        <f t="shared" ca="1" si="5"/>
        <v>NO PRAZO</v>
      </c>
      <c r="AF17" s="49"/>
    </row>
    <row r="18" spans="1:32" ht="30" customHeight="1" x14ac:dyDescent="0.25">
      <c r="A18" s="9" t="s">
        <v>386</v>
      </c>
      <c r="B18" s="5" t="s">
        <v>10</v>
      </c>
      <c r="C18" s="5" t="s">
        <v>5862</v>
      </c>
      <c r="D18" s="7" t="s">
        <v>2099</v>
      </c>
      <c r="E18" s="7" t="s">
        <v>40</v>
      </c>
      <c r="F18" s="7" t="s">
        <v>354</v>
      </c>
      <c r="G18" s="61" t="s">
        <v>355</v>
      </c>
      <c r="H18" s="61" t="s">
        <v>374</v>
      </c>
      <c r="I18" s="61" t="s">
        <v>382</v>
      </c>
      <c r="J18" s="62" t="s">
        <v>383</v>
      </c>
      <c r="K18" s="5" t="s">
        <v>45</v>
      </c>
      <c r="L18" s="5" t="s">
        <v>10</v>
      </c>
      <c r="M18" s="5" t="s">
        <v>10</v>
      </c>
      <c r="N18" s="5" t="s">
        <v>10</v>
      </c>
      <c r="O18" s="46" t="s">
        <v>46</v>
      </c>
      <c r="P18" s="99">
        <v>46102</v>
      </c>
      <c r="Q18" s="100">
        <f>IF(P18="","",P18+184)</f>
        <v>46286</v>
      </c>
      <c r="R18" s="63" t="s">
        <v>3430</v>
      </c>
      <c r="S18" s="63" t="s">
        <v>5063</v>
      </c>
      <c r="T18" s="7">
        <v>1.22</v>
      </c>
      <c r="U18" s="5" t="s">
        <v>10</v>
      </c>
      <c r="V18" s="7">
        <f t="shared" si="3"/>
        <v>1.22</v>
      </c>
      <c r="W18" s="48" t="s">
        <v>10</v>
      </c>
      <c r="X18" s="5" t="s">
        <v>384</v>
      </c>
      <c r="Y18" s="7" t="s">
        <v>56</v>
      </c>
      <c r="Z18" s="48" t="str">
        <f t="shared" si="4"/>
        <v>A DEFINIR</v>
      </c>
      <c r="AA18" s="47">
        <v>11599629</v>
      </c>
      <c r="AB18" s="5" t="s">
        <v>2609</v>
      </c>
      <c r="AC18" s="5" t="s">
        <v>48</v>
      </c>
      <c r="AD18" s="5" t="s">
        <v>5530</v>
      </c>
      <c r="AE18" s="5" t="str">
        <f t="shared" ca="1" si="5"/>
        <v>NO PRAZO</v>
      </c>
      <c r="AF18" s="49"/>
    </row>
    <row r="19" spans="1:32" ht="30" customHeight="1" x14ac:dyDescent="0.25">
      <c r="A19" s="9" t="s">
        <v>387</v>
      </c>
      <c r="B19" s="5" t="s">
        <v>10</v>
      </c>
      <c r="C19" s="5" t="s">
        <v>5862</v>
      </c>
      <c r="D19" s="7" t="s">
        <v>2099</v>
      </c>
      <c r="E19" s="7" t="s">
        <v>40</v>
      </c>
      <c r="F19" s="7" t="s">
        <v>354</v>
      </c>
      <c r="G19" s="61" t="s">
        <v>355</v>
      </c>
      <c r="H19" s="61" t="s">
        <v>372</v>
      </c>
      <c r="I19" s="61" t="s">
        <v>3461</v>
      </c>
      <c r="J19" s="62" t="s">
        <v>383</v>
      </c>
      <c r="K19" s="5" t="s">
        <v>45</v>
      </c>
      <c r="L19" s="5" t="s">
        <v>10</v>
      </c>
      <c r="M19" s="5" t="s">
        <v>10</v>
      </c>
      <c r="N19" s="5" t="s">
        <v>10</v>
      </c>
      <c r="O19" s="46" t="s">
        <v>46</v>
      </c>
      <c r="P19" s="99">
        <v>46102</v>
      </c>
      <c r="Q19" s="100">
        <f>IF(P19="","",P19+184)</f>
        <v>46286</v>
      </c>
      <c r="R19" s="63" t="s">
        <v>3431</v>
      </c>
      <c r="S19" s="63" t="s">
        <v>5064</v>
      </c>
      <c r="T19" s="7">
        <v>1.18</v>
      </c>
      <c r="U19" s="5" t="s">
        <v>10</v>
      </c>
      <c r="V19" s="7">
        <f t="shared" si="3"/>
        <v>1.18</v>
      </c>
      <c r="W19" s="48" t="s">
        <v>10</v>
      </c>
      <c r="X19" s="5" t="s">
        <v>388</v>
      </c>
      <c r="Y19" s="7" t="s">
        <v>56</v>
      </c>
      <c r="Z19" s="48" t="str">
        <f t="shared" si="4"/>
        <v>A DEFINIR</v>
      </c>
      <c r="AA19" s="47">
        <v>11599630</v>
      </c>
      <c r="AB19" s="5" t="s">
        <v>2610</v>
      </c>
      <c r="AC19" s="5" t="s">
        <v>48</v>
      </c>
      <c r="AD19" s="5" t="s">
        <v>5530</v>
      </c>
      <c r="AE19" s="5" t="str">
        <f t="shared" ca="1" si="5"/>
        <v>NO PRAZO</v>
      </c>
      <c r="AF19" s="49"/>
    </row>
    <row r="20" spans="1:32" ht="30" customHeight="1" x14ac:dyDescent="0.25">
      <c r="A20" s="8" t="s">
        <v>623</v>
      </c>
      <c r="B20" s="5" t="s">
        <v>10</v>
      </c>
      <c r="C20" s="5" t="s">
        <v>5862</v>
      </c>
      <c r="D20" s="7" t="s">
        <v>3627</v>
      </c>
      <c r="E20" s="7" t="s">
        <v>50</v>
      </c>
      <c r="F20" s="7" t="s">
        <v>596</v>
      </c>
      <c r="G20" s="7" t="s">
        <v>598</v>
      </c>
      <c r="H20" s="7" t="s">
        <v>598</v>
      </c>
      <c r="I20" s="7" t="s">
        <v>53</v>
      </c>
      <c r="J20" s="7" t="s">
        <v>601</v>
      </c>
      <c r="K20" s="7" t="s">
        <v>45</v>
      </c>
      <c r="L20" s="5" t="s">
        <v>10</v>
      </c>
      <c r="M20" s="5" t="s">
        <v>10</v>
      </c>
      <c r="N20" s="5" t="s">
        <v>10</v>
      </c>
      <c r="O20" s="46" t="s">
        <v>46</v>
      </c>
      <c r="P20" s="100">
        <v>46116</v>
      </c>
      <c r="Q20" s="100">
        <f t="shared" ref="Q20:Q39" si="6">IF(P20="","",P20+183)</f>
        <v>46299</v>
      </c>
      <c r="R20" s="5" t="s">
        <v>3513</v>
      </c>
      <c r="S20" s="5" t="s">
        <v>5198</v>
      </c>
      <c r="T20" s="7">
        <v>0.17100000000000001</v>
      </c>
      <c r="U20" s="5" t="s">
        <v>340</v>
      </c>
      <c r="V20" s="7">
        <f t="shared" si="3"/>
        <v>0.17100000000000001</v>
      </c>
      <c r="W20" s="5">
        <v>0.5</v>
      </c>
      <c r="X20" s="5" t="s">
        <v>55</v>
      </c>
      <c r="Y20" s="7" t="s">
        <v>56</v>
      </c>
      <c r="Z20" s="48" t="str">
        <f t="shared" si="4"/>
        <v>APROVADO</v>
      </c>
      <c r="AA20" s="47">
        <v>11601347</v>
      </c>
      <c r="AB20" s="5" t="s">
        <v>2772</v>
      </c>
      <c r="AC20" s="5" t="s">
        <v>48</v>
      </c>
      <c r="AD20" s="5" t="s">
        <v>5530</v>
      </c>
      <c r="AE20" s="5" t="str">
        <f t="shared" ca="1" si="5"/>
        <v>NO PRAZO</v>
      </c>
      <c r="AF20" s="49"/>
    </row>
    <row r="21" spans="1:32" ht="30" customHeight="1" x14ac:dyDescent="0.25">
      <c r="A21" s="7" t="s">
        <v>528</v>
      </c>
      <c r="B21" s="5" t="s">
        <v>10</v>
      </c>
      <c r="C21" s="5" t="s">
        <v>5862</v>
      </c>
      <c r="D21" s="7" t="s">
        <v>529</v>
      </c>
      <c r="E21" s="7" t="s">
        <v>40</v>
      </c>
      <c r="F21" s="7" t="s">
        <v>518</v>
      </c>
      <c r="G21" s="7" t="s">
        <v>530</v>
      </c>
      <c r="H21" s="7" t="s">
        <v>531</v>
      </c>
      <c r="I21" s="7" t="s">
        <v>1717</v>
      </c>
      <c r="J21" s="7" t="s">
        <v>533</v>
      </c>
      <c r="K21" s="7" t="s">
        <v>45</v>
      </c>
      <c r="L21" s="5" t="s">
        <v>10</v>
      </c>
      <c r="M21" s="5" t="s">
        <v>10</v>
      </c>
      <c r="N21" s="5" t="s">
        <v>10</v>
      </c>
      <c r="O21" s="46" t="s">
        <v>46</v>
      </c>
      <c r="P21" s="100">
        <v>46121</v>
      </c>
      <c r="Q21" s="100">
        <f t="shared" si="6"/>
        <v>46304</v>
      </c>
      <c r="R21" s="5" t="s">
        <v>3489</v>
      </c>
      <c r="S21" s="5" t="s">
        <v>5229</v>
      </c>
      <c r="T21" s="7">
        <v>0.45500000000000002</v>
      </c>
      <c r="U21" s="5" t="s">
        <v>340</v>
      </c>
      <c r="V21" s="7">
        <f t="shared" si="3"/>
        <v>0.45500000000000002</v>
      </c>
      <c r="W21" s="5">
        <v>0.5</v>
      </c>
      <c r="X21" s="5" t="s">
        <v>55</v>
      </c>
      <c r="Y21" s="7" t="s">
        <v>56</v>
      </c>
      <c r="Z21" s="48" t="str">
        <f t="shared" si="4"/>
        <v>APROVADO</v>
      </c>
      <c r="AA21" s="47">
        <v>11540762</v>
      </c>
      <c r="AB21" s="5" t="s">
        <v>2747</v>
      </c>
      <c r="AC21" s="5" t="s">
        <v>48</v>
      </c>
      <c r="AD21" s="5" t="s">
        <v>5530</v>
      </c>
      <c r="AE21" s="5" t="str">
        <f t="shared" ca="1" si="5"/>
        <v>NO PRAZO</v>
      </c>
      <c r="AF21" s="81"/>
    </row>
    <row r="22" spans="1:32" ht="30" customHeight="1" x14ac:dyDescent="0.25">
      <c r="A22" s="7" t="s">
        <v>534</v>
      </c>
      <c r="B22" s="5" t="s">
        <v>10</v>
      </c>
      <c r="C22" s="5" t="s">
        <v>5862</v>
      </c>
      <c r="D22" s="7" t="s">
        <v>529</v>
      </c>
      <c r="E22" s="7" t="s">
        <v>40</v>
      </c>
      <c r="F22" s="7" t="s">
        <v>518</v>
      </c>
      <c r="G22" s="7" t="s">
        <v>535</v>
      </c>
      <c r="H22" s="7" t="s">
        <v>531</v>
      </c>
      <c r="I22" s="7" t="s">
        <v>1717</v>
      </c>
      <c r="J22" s="7" t="s">
        <v>533</v>
      </c>
      <c r="K22" s="7" t="s">
        <v>45</v>
      </c>
      <c r="L22" s="5" t="s">
        <v>10</v>
      </c>
      <c r="M22" s="5" t="s">
        <v>10</v>
      </c>
      <c r="N22" s="5" t="s">
        <v>10</v>
      </c>
      <c r="O22" s="46" t="s">
        <v>46</v>
      </c>
      <c r="P22" s="100">
        <v>46121</v>
      </c>
      <c r="Q22" s="100">
        <f t="shared" si="6"/>
        <v>46304</v>
      </c>
      <c r="R22" s="5" t="s">
        <v>3490</v>
      </c>
      <c r="S22" s="5" t="s">
        <v>5233</v>
      </c>
      <c r="T22" s="7">
        <v>0.27100000000000002</v>
      </c>
      <c r="U22" s="5" t="s">
        <v>340</v>
      </c>
      <c r="V22" s="7">
        <f t="shared" si="3"/>
        <v>0.27100000000000002</v>
      </c>
      <c r="W22" s="5">
        <v>0.5</v>
      </c>
      <c r="X22" s="5" t="s">
        <v>55</v>
      </c>
      <c r="Y22" s="7" t="s">
        <v>56</v>
      </c>
      <c r="Z22" s="48" t="str">
        <f t="shared" si="4"/>
        <v>APROVADO</v>
      </c>
      <c r="AA22" s="47">
        <v>11540771</v>
      </c>
      <c r="AB22" s="5" t="s">
        <v>2748</v>
      </c>
      <c r="AC22" s="5" t="s">
        <v>48</v>
      </c>
      <c r="AD22" s="5" t="s">
        <v>5530</v>
      </c>
      <c r="AE22" s="5" t="str">
        <f t="shared" ca="1" si="5"/>
        <v>NO PRAZO</v>
      </c>
      <c r="AF22" s="49"/>
    </row>
    <row r="23" spans="1:32" ht="30" customHeight="1" x14ac:dyDescent="0.25">
      <c r="A23" s="7" t="s">
        <v>536</v>
      </c>
      <c r="B23" s="5" t="s">
        <v>10</v>
      </c>
      <c r="C23" s="5" t="s">
        <v>5862</v>
      </c>
      <c r="D23" s="7" t="s">
        <v>5343</v>
      </c>
      <c r="E23" s="7" t="s">
        <v>40</v>
      </c>
      <c r="F23" s="7" t="s">
        <v>518</v>
      </c>
      <c r="G23" s="7" t="s">
        <v>537</v>
      </c>
      <c r="H23" s="7" t="s">
        <v>531</v>
      </c>
      <c r="I23" s="7" t="s">
        <v>519</v>
      </c>
      <c r="J23" s="7" t="s">
        <v>520</v>
      </c>
      <c r="K23" s="7" t="s">
        <v>45</v>
      </c>
      <c r="L23" s="5" t="s">
        <v>10</v>
      </c>
      <c r="M23" s="5" t="s">
        <v>10</v>
      </c>
      <c r="N23" s="5" t="s">
        <v>10</v>
      </c>
      <c r="O23" s="46" t="s">
        <v>46</v>
      </c>
      <c r="P23" s="100">
        <v>46127</v>
      </c>
      <c r="Q23" s="100">
        <f t="shared" si="6"/>
        <v>46310</v>
      </c>
      <c r="R23" s="7" t="s">
        <v>3557</v>
      </c>
      <c r="S23" s="7" t="s">
        <v>5254</v>
      </c>
      <c r="T23" s="7">
        <v>0.155</v>
      </c>
      <c r="U23" s="5" t="s">
        <v>340</v>
      </c>
      <c r="V23" s="7">
        <f t="shared" si="3"/>
        <v>0.155</v>
      </c>
      <c r="W23" s="5">
        <v>0.5</v>
      </c>
      <c r="X23" s="5" t="s">
        <v>55</v>
      </c>
      <c r="Y23" s="7" t="s">
        <v>56</v>
      </c>
      <c r="Z23" s="48" t="str">
        <f t="shared" si="4"/>
        <v>APROVADO</v>
      </c>
      <c r="AA23" s="47">
        <v>11540780</v>
      </c>
      <c r="AB23" s="5" t="s">
        <v>2702</v>
      </c>
      <c r="AC23" s="5" t="s">
        <v>48</v>
      </c>
      <c r="AD23" s="5" t="s">
        <v>5530</v>
      </c>
      <c r="AE23" s="5" t="str">
        <f t="shared" ca="1" si="5"/>
        <v>NO PRAZO</v>
      </c>
      <c r="AF23" s="49"/>
    </row>
    <row r="24" spans="1:32" ht="30" customHeight="1" x14ac:dyDescent="0.25">
      <c r="A24" s="7" t="s">
        <v>538</v>
      </c>
      <c r="B24" s="5" t="s">
        <v>10</v>
      </c>
      <c r="C24" s="5" t="s">
        <v>5862</v>
      </c>
      <c r="D24" s="7" t="s">
        <v>529</v>
      </c>
      <c r="E24" s="7" t="s">
        <v>40</v>
      </c>
      <c r="F24" s="7" t="s">
        <v>518</v>
      </c>
      <c r="G24" s="7" t="s">
        <v>539</v>
      </c>
      <c r="H24" s="7" t="s">
        <v>531</v>
      </c>
      <c r="I24" s="7" t="s">
        <v>519</v>
      </c>
      <c r="J24" s="7" t="s">
        <v>520</v>
      </c>
      <c r="K24" s="7" t="s">
        <v>45</v>
      </c>
      <c r="L24" s="5" t="s">
        <v>10</v>
      </c>
      <c r="M24" s="5" t="s">
        <v>10</v>
      </c>
      <c r="N24" s="5" t="s">
        <v>10</v>
      </c>
      <c r="O24" s="46" t="s">
        <v>46</v>
      </c>
      <c r="P24" s="100">
        <v>46121</v>
      </c>
      <c r="Q24" s="100">
        <f t="shared" si="6"/>
        <v>46304</v>
      </c>
      <c r="R24" s="5" t="s">
        <v>3491</v>
      </c>
      <c r="S24" s="5" t="s">
        <v>5245</v>
      </c>
      <c r="T24" s="7">
        <v>0.17100000000000001</v>
      </c>
      <c r="U24" s="5" t="s">
        <v>340</v>
      </c>
      <c r="V24" s="7">
        <f t="shared" si="3"/>
        <v>0.17100000000000001</v>
      </c>
      <c r="W24" s="5">
        <v>0.5</v>
      </c>
      <c r="X24" s="5" t="s">
        <v>55</v>
      </c>
      <c r="Y24" s="7" t="s">
        <v>56</v>
      </c>
      <c r="Z24" s="48" t="str">
        <f t="shared" si="4"/>
        <v>APROVADO</v>
      </c>
      <c r="AA24" s="47">
        <v>11540796</v>
      </c>
      <c r="AB24" s="5" t="s">
        <v>2703</v>
      </c>
      <c r="AC24" s="5" t="s">
        <v>48</v>
      </c>
      <c r="AD24" s="5" t="s">
        <v>5530</v>
      </c>
      <c r="AE24" s="5" t="str">
        <f t="shared" ca="1" si="5"/>
        <v>NO PRAZO</v>
      </c>
      <c r="AF24" s="49"/>
    </row>
    <row r="25" spans="1:32" ht="30" customHeight="1" x14ac:dyDescent="0.25">
      <c r="A25" s="7" t="s">
        <v>540</v>
      </c>
      <c r="B25" s="5" t="s">
        <v>10</v>
      </c>
      <c r="C25" s="5" t="s">
        <v>5862</v>
      </c>
      <c r="D25" s="7" t="s">
        <v>529</v>
      </c>
      <c r="E25" s="7" t="s">
        <v>40</v>
      </c>
      <c r="F25" s="7" t="s">
        <v>518</v>
      </c>
      <c r="G25" s="7" t="s">
        <v>530</v>
      </c>
      <c r="H25" s="7" t="s">
        <v>541</v>
      </c>
      <c r="I25" s="7" t="s">
        <v>1717</v>
      </c>
      <c r="J25" s="7" t="s">
        <v>533</v>
      </c>
      <c r="K25" s="7" t="s">
        <v>45</v>
      </c>
      <c r="L25" s="5" t="s">
        <v>10</v>
      </c>
      <c r="M25" s="5" t="s">
        <v>10</v>
      </c>
      <c r="N25" s="5" t="s">
        <v>10</v>
      </c>
      <c r="O25" s="46" t="s">
        <v>46</v>
      </c>
      <c r="P25" s="100">
        <v>46121</v>
      </c>
      <c r="Q25" s="100">
        <f t="shared" si="6"/>
        <v>46304</v>
      </c>
      <c r="R25" s="5" t="s">
        <v>3587</v>
      </c>
      <c r="S25" s="5" t="s">
        <v>5230</v>
      </c>
      <c r="T25" s="7">
        <v>0.155</v>
      </c>
      <c r="U25" s="5" t="s">
        <v>340</v>
      </c>
      <c r="V25" s="7">
        <f t="shared" si="3"/>
        <v>0.155</v>
      </c>
      <c r="W25" s="5">
        <v>0.5</v>
      </c>
      <c r="X25" s="5" t="s">
        <v>55</v>
      </c>
      <c r="Y25" s="7" t="s">
        <v>56</v>
      </c>
      <c r="Z25" s="48" t="str">
        <f t="shared" si="4"/>
        <v>APROVADO</v>
      </c>
      <c r="AA25" s="47">
        <v>11540763</v>
      </c>
      <c r="AB25" s="5" t="s">
        <v>2749</v>
      </c>
      <c r="AC25" s="5" t="s">
        <v>48</v>
      </c>
      <c r="AD25" s="5" t="s">
        <v>5530</v>
      </c>
      <c r="AE25" s="5" t="str">
        <f t="shared" ca="1" si="5"/>
        <v>NO PRAZO</v>
      </c>
      <c r="AF25" s="49"/>
    </row>
    <row r="26" spans="1:32" ht="30" customHeight="1" x14ac:dyDescent="0.25">
      <c r="A26" s="7" t="s">
        <v>542</v>
      </c>
      <c r="B26" s="5" t="s">
        <v>10</v>
      </c>
      <c r="C26" s="5" t="s">
        <v>5862</v>
      </c>
      <c r="D26" s="7" t="s">
        <v>529</v>
      </c>
      <c r="E26" s="7" t="s">
        <v>40</v>
      </c>
      <c r="F26" s="7" t="s">
        <v>518</v>
      </c>
      <c r="G26" s="7" t="s">
        <v>535</v>
      </c>
      <c r="H26" s="7" t="s">
        <v>541</v>
      </c>
      <c r="I26" s="7" t="s">
        <v>1717</v>
      </c>
      <c r="J26" s="7" t="s">
        <v>533</v>
      </c>
      <c r="K26" s="7" t="s">
        <v>45</v>
      </c>
      <c r="L26" s="5" t="s">
        <v>10</v>
      </c>
      <c r="M26" s="5" t="s">
        <v>10</v>
      </c>
      <c r="N26" s="5" t="s">
        <v>10</v>
      </c>
      <c r="O26" s="46" t="s">
        <v>46</v>
      </c>
      <c r="P26" s="100">
        <v>46121</v>
      </c>
      <c r="Q26" s="100">
        <f t="shared" si="6"/>
        <v>46304</v>
      </c>
      <c r="R26" s="5" t="s">
        <v>3492</v>
      </c>
      <c r="S26" s="5" t="s">
        <v>5234</v>
      </c>
      <c r="T26" s="7">
        <v>0.17100000000000001</v>
      </c>
      <c r="U26" s="5" t="s">
        <v>340</v>
      </c>
      <c r="V26" s="7">
        <f t="shared" si="3"/>
        <v>0.17100000000000001</v>
      </c>
      <c r="W26" s="5">
        <v>0.5</v>
      </c>
      <c r="X26" s="5" t="s">
        <v>55</v>
      </c>
      <c r="Y26" s="7" t="s">
        <v>56</v>
      </c>
      <c r="Z26" s="48" t="str">
        <f t="shared" si="4"/>
        <v>APROVADO</v>
      </c>
      <c r="AA26" s="47">
        <v>11540772</v>
      </c>
      <c r="AB26" s="5" t="s">
        <v>2750</v>
      </c>
      <c r="AC26" s="5" t="s">
        <v>48</v>
      </c>
      <c r="AD26" s="5" t="s">
        <v>5530</v>
      </c>
      <c r="AE26" s="5" t="str">
        <f t="shared" ca="1" si="5"/>
        <v>NO PRAZO</v>
      </c>
      <c r="AF26" s="49"/>
    </row>
    <row r="27" spans="1:32" ht="30" customHeight="1" x14ac:dyDescent="0.25">
      <c r="A27" s="7" t="s">
        <v>543</v>
      </c>
      <c r="B27" s="5" t="s">
        <v>10</v>
      </c>
      <c r="C27" s="5" t="s">
        <v>5862</v>
      </c>
      <c r="D27" s="7" t="s">
        <v>5343</v>
      </c>
      <c r="E27" s="7" t="s">
        <v>40</v>
      </c>
      <c r="F27" s="7" t="s">
        <v>518</v>
      </c>
      <c r="G27" s="7" t="s">
        <v>537</v>
      </c>
      <c r="H27" s="7" t="s">
        <v>541</v>
      </c>
      <c r="I27" s="7" t="s">
        <v>101</v>
      </c>
      <c r="J27" s="7" t="s">
        <v>520</v>
      </c>
      <c r="K27" s="7" t="s">
        <v>45</v>
      </c>
      <c r="L27" s="5" t="s">
        <v>10</v>
      </c>
      <c r="M27" s="5" t="s">
        <v>10</v>
      </c>
      <c r="N27" s="5" t="s">
        <v>10</v>
      </c>
      <c r="O27" s="46" t="s">
        <v>46</v>
      </c>
      <c r="P27" s="100">
        <v>46127</v>
      </c>
      <c r="Q27" s="100">
        <f t="shared" si="6"/>
        <v>46310</v>
      </c>
      <c r="R27" s="5" t="s">
        <v>3558</v>
      </c>
      <c r="S27" s="5" t="s">
        <v>5255</v>
      </c>
      <c r="T27" s="7">
        <v>0.155</v>
      </c>
      <c r="U27" s="5" t="s">
        <v>340</v>
      </c>
      <c r="V27" s="7">
        <f t="shared" si="3"/>
        <v>0.155</v>
      </c>
      <c r="W27" s="5">
        <v>0.5</v>
      </c>
      <c r="X27" s="5" t="s">
        <v>55</v>
      </c>
      <c r="Y27" s="7" t="s">
        <v>56</v>
      </c>
      <c r="Z27" s="48" t="str">
        <f t="shared" si="4"/>
        <v>APROVADO</v>
      </c>
      <c r="AA27" s="47">
        <v>11540781</v>
      </c>
      <c r="AB27" s="5" t="s">
        <v>2704</v>
      </c>
      <c r="AC27" s="5" t="s">
        <v>48</v>
      </c>
      <c r="AD27" s="5" t="s">
        <v>5530</v>
      </c>
      <c r="AE27" s="5" t="str">
        <f t="shared" ca="1" si="5"/>
        <v>NO PRAZO</v>
      </c>
      <c r="AF27" s="49"/>
    </row>
    <row r="28" spans="1:32" ht="30" customHeight="1" x14ac:dyDescent="0.25">
      <c r="A28" s="7" t="s">
        <v>544</v>
      </c>
      <c r="B28" s="5" t="s">
        <v>10</v>
      </c>
      <c r="C28" s="5" t="s">
        <v>5862</v>
      </c>
      <c r="D28" s="7" t="s">
        <v>529</v>
      </c>
      <c r="E28" s="7" t="s">
        <v>40</v>
      </c>
      <c r="F28" s="7" t="s">
        <v>518</v>
      </c>
      <c r="G28" s="7" t="s">
        <v>539</v>
      </c>
      <c r="H28" s="7" t="s">
        <v>541</v>
      </c>
      <c r="I28" s="7" t="s">
        <v>101</v>
      </c>
      <c r="J28" s="7" t="s">
        <v>520</v>
      </c>
      <c r="K28" s="7" t="s">
        <v>45</v>
      </c>
      <c r="L28" s="5" t="s">
        <v>10</v>
      </c>
      <c r="M28" s="5" t="s">
        <v>10</v>
      </c>
      <c r="N28" s="5" t="s">
        <v>10</v>
      </c>
      <c r="O28" s="46" t="s">
        <v>46</v>
      </c>
      <c r="P28" s="100">
        <v>46121</v>
      </c>
      <c r="Q28" s="100">
        <f t="shared" si="6"/>
        <v>46304</v>
      </c>
      <c r="R28" s="5" t="s">
        <v>3503</v>
      </c>
      <c r="S28" s="5" t="s">
        <v>5246</v>
      </c>
      <c r="T28" s="7">
        <v>0.255</v>
      </c>
      <c r="U28" s="5" t="s">
        <v>340</v>
      </c>
      <c r="V28" s="7">
        <f t="shared" si="3"/>
        <v>0.255</v>
      </c>
      <c r="W28" s="5">
        <v>0.5</v>
      </c>
      <c r="X28" s="5" t="s">
        <v>55</v>
      </c>
      <c r="Y28" s="7" t="s">
        <v>56</v>
      </c>
      <c r="Z28" s="48" t="str">
        <f t="shared" si="4"/>
        <v>APROVADO</v>
      </c>
      <c r="AA28" s="47">
        <v>11540797</v>
      </c>
      <c r="AB28" s="5" t="s">
        <v>2705</v>
      </c>
      <c r="AC28" s="5" t="s">
        <v>48</v>
      </c>
      <c r="AD28" s="5" t="s">
        <v>5530</v>
      </c>
      <c r="AE28" s="5" t="str">
        <f t="shared" ca="1" si="5"/>
        <v>NO PRAZO</v>
      </c>
      <c r="AF28" s="49"/>
    </row>
    <row r="29" spans="1:32" ht="30" customHeight="1" x14ac:dyDescent="0.25">
      <c r="A29" s="7" t="s">
        <v>545</v>
      </c>
      <c r="B29" s="5" t="s">
        <v>10</v>
      </c>
      <c r="C29" s="5" t="s">
        <v>5862</v>
      </c>
      <c r="D29" s="7" t="s">
        <v>529</v>
      </c>
      <c r="E29" s="7" t="s">
        <v>40</v>
      </c>
      <c r="F29" s="7" t="s">
        <v>518</v>
      </c>
      <c r="G29" s="7" t="s">
        <v>530</v>
      </c>
      <c r="H29" s="7" t="s">
        <v>546</v>
      </c>
      <c r="I29" s="7" t="s">
        <v>1717</v>
      </c>
      <c r="J29" s="7" t="s">
        <v>533</v>
      </c>
      <c r="K29" s="7" t="s">
        <v>45</v>
      </c>
      <c r="L29" s="5" t="s">
        <v>10</v>
      </c>
      <c r="M29" s="5" t="s">
        <v>10</v>
      </c>
      <c r="N29" s="5" t="s">
        <v>10</v>
      </c>
      <c r="O29" s="46" t="s">
        <v>46</v>
      </c>
      <c r="P29" s="100">
        <v>46121</v>
      </c>
      <c r="Q29" s="100">
        <f t="shared" si="6"/>
        <v>46304</v>
      </c>
      <c r="R29" s="5" t="s">
        <v>3493</v>
      </c>
      <c r="S29" s="5" t="s">
        <v>5231</v>
      </c>
      <c r="T29" s="7">
        <v>0.17100000000000001</v>
      </c>
      <c r="U29" s="5" t="s">
        <v>340</v>
      </c>
      <c r="V29" s="7">
        <f t="shared" si="3"/>
        <v>0.17100000000000001</v>
      </c>
      <c r="W29" s="5">
        <v>0.5</v>
      </c>
      <c r="X29" s="5" t="s">
        <v>55</v>
      </c>
      <c r="Y29" s="7" t="s">
        <v>56</v>
      </c>
      <c r="Z29" s="48" t="str">
        <f t="shared" si="4"/>
        <v>APROVADO</v>
      </c>
      <c r="AA29" s="47">
        <v>11540764</v>
      </c>
      <c r="AB29" s="5" t="s">
        <v>2751</v>
      </c>
      <c r="AC29" s="5" t="s">
        <v>48</v>
      </c>
      <c r="AD29" s="5" t="s">
        <v>5530</v>
      </c>
      <c r="AE29" s="5" t="str">
        <f t="shared" ca="1" si="5"/>
        <v>NO PRAZO</v>
      </c>
      <c r="AF29" s="49"/>
    </row>
    <row r="30" spans="1:32" ht="30" customHeight="1" x14ac:dyDescent="0.25">
      <c r="A30" s="7" t="s">
        <v>547</v>
      </c>
      <c r="B30" s="5" t="s">
        <v>10</v>
      </c>
      <c r="C30" s="5" t="s">
        <v>5862</v>
      </c>
      <c r="D30" s="7" t="s">
        <v>529</v>
      </c>
      <c r="E30" s="7" t="s">
        <v>40</v>
      </c>
      <c r="F30" s="7" t="s">
        <v>518</v>
      </c>
      <c r="G30" s="7" t="s">
        <v>535</v>
      </c>
      <c r="H30" s="7" t="s">
        <v>546</v>
      </c>
      <c r="I30" s="7" t="s">
        <v>1717</v>
      </c>
      <c r="J30" s="7" t="s">
        <v>533</v>
      </c>
      <c r="K30" s="7" t="s">
        <v>45</v>
      </c>
      <c r="L30" s="5" t="s">
        <v>10</v>
      </c>
      <c r="M30" s="5" t="s">
        <v>10</v>
      </c>
      <c r="N30" s="5" t="s">
        <v>10</v>
      </c>
      <c r="O30" s="46" t="s">
        <v>46</v>
      </c>
      <c r="P30" s="100">
        <v>46121</v>
      </c>
      <c r="Q30" s="100">
        <f t="shared" si="6"/>
        <v>46304</v>
      </c>
      <c r="R30" s="5" t="s">
        <v>3504</v>
      </c>
      <c r="S30" s="5" t="s">
        <v>5235</v>
      </c>
      <c r="T30" s="7">
        <v>0.17100000000000001</v>
      </c>
      <c r="U30" s="5" t="s">
        <v>340</v>
      </c>
      <c r="V30" s="7">
        <f t="shared" si="3"/>
        <v>0.17100000000000001</v>
      </c>
      <c r="W30" s="5">
        <v>0.5</v>
      </c>
      <c r="X30" s="5" t="s">
        <v>55</v>
      </c>
      <c r="Y30" s="7" t="s">
        <v>56</v>
      </c>
      <c r="Z30" s="48" t="str">
        <f t="shared" si="4"/>
        <v>APROVADO</v>
      </c>
      <c r="AA30" s="47">
        <v>11540773</v>
      </c>
      <c r="AB30" s="5" t="s">
        <v>2752</v>
      </c>
      <c r="AC30" s="5" t="s">
        <v>48</v>
      </c>
      <c r="AD30" s="5" t="s">
        <v>5530</v>
      </c>
      <c r="AE30" s="5" t="str">
        <f t="shared" ca="1" si="5"/>
        <v>NO PRAZO</v>
      </c>
      <c r="AF30" s="49"/>
    </row>
    <row r="31" spans="1:32" ht="30" customHeight="1" x14ac:dyDescent="0.25">
      <c r="A31" s="7" t="s">
        <v>548</v>
      </c>
      <c r="B31" s="5" t="s">
        <v>10</v>
      </c>
      <c r="C31" s="5" t="s">
        <v>5862</v>
      </c>
      <c r="D31" s="7" t="s">
        <v>5343</v>
      </c>
      <c r="E31" s="7" t="s">
        <v>40</v>
      </c>
      <c r="F31" s="7" t="s">
        <v>518</v>
      </c>
      <c r="G31" s="7" t="s">
        <v>537</v>
      </c>
      <c r="H31" s="7" t="s">
        <v>546</v>
      </c>
      <c r="I31" s="7" t="s">
        <v>532</v>
      </c>
      <c r="J31" s="7" t="s">
        <v>520</v>
      </c>
      <c r="K31" s="7" t="s">
        <v>45</v>
      </c>
      <c r="L31" s="5" t="s">
        <v>10</v>
      </c>
      <c r="M31" s="5" t="s">
        <v>10</v>
      </c>
      <c r="N31" s="5" t="s">
        <v>10</v>
      </c>
      <c r="O31" s="46" t="s">
        <v>46</v>
      </c>
      <c r="P31" s="100">
        <v>46127</v>
      </c>
      <c r="Q31" s="100">
        <f t="shared" si="6"/>
        <v>46310</v>
      </c>
      <c r="R31" s="5" t="s">
        <v>3505</v>
      </c>
      <c r="S31" s="5" t="s">
        <v>5256</v>
      </c>
      <c r="T31" s="7">
        <v>0.255</v>
      </c>
      <c r="U31" s="5" t="s">
        <v>340</v>
      </c>
      <c r="V31" s="7">
        <f t="shared" si="3"/>
        <v>0.255</v>
      </c>
      <c r="W31" s="5">
        <v>0.5</v>
      </c>
      <c r="X31" s="5" t="s">
        <v>55</v>
      </c>
      <c r="Y31" s="7" t="s">
        <v>56</v>
      </c>
      <c r="Z31" s="48" t="str">
        <f t="shared" si="4"/>
        <v>APROVADO</v>
      </c>
      <c r="AA31" s="47">
        <v>11540782</v>
      </c>
      <c r="AB31" s="5" t="s">
        <v>2706</v>
      </c>
      <c r="AC31" s="5" t="s">
        <v>48</v>
      </c>
      <c r="AD31" s="5" t="s">
        <v>5530</v>
      </c>
      <c r="AE31" s="5" t="str">
        <f t="shared" ca="1" si="5"/>
        <v>NO PRAZO</v>
      </c>
      <c r="AF31" s="49"/>
    </row>
    <row r="32" spans="1:32" ht="30" customHeight="1" x14ac:dyDescent="0.25">
      <c r="A32" s="7" t="s">
        <v>549</v>
      </c>
      <c r="B32" s="5" t="s">
        <v>10</v>
      </c>
      <c r="C32" s="5" t="s">
        <v>5862</v>
      </c>
      <c r="D32" s="7" t="s">
        <v>529</v>
      </c>
      <c r="E32" s="7" t="s">
        <v>40</v>
      </c>
      <c r="F32" s="7" t="s">
        <v>518</v>
      </c>
      <c r="G32" s="7" t="s">
        <v>539</v>
      </c>
      <c r="H32" s="7" t="s">
        <v>546</v>
      </c>
      <c r="I32" s="7" t="s">
        <v>532</v>
      </c>
      <c r="J32" s="7" t="s">
        <v>520</v>
      </c>
      <c r="K32" s="7" t="s">
        <v>45</v>
      </c>
      <c r="L32" s="5" t="s">
        <v>10</v>
      </c>
      <c r="M32" s="5" t="s">
        <v>10</v>
      </c>
      <c r="N32" s="5" t="s">
        <v>10</v>
      </c>
      <c r="O32" s="46" t="s">
        <v>46</v>
      </c>
      <c r="P32" s="100">
        <v>46121</v>
      </c>
      <c r="Q32" s="100">
        <f t="shared" si="6"/>
        <v>46304</v>
      </c>
      <c r="R32" s="5" t="s">
        <v>3506</v>
      </c>
      <c r="S32" s="5" t="s">
        <v>5247</v>
      </c>
      <c r="T32" s="7">
        <v>0.27100000000000002</v>
      </c>
      <c r="U32" s="5" t="s">
        <v>340</v>
      </c>
      <c r="V32" s="7">
        <f t="shared" si="3"/>
        <v>0.27100000000000002</v>
      </c>
      <c r="W32" s="5">
        <v>0.5</v>
      </c>
      <c r="X32" s="5" t="s">
        <v>55</v>
      </c>
      <c r="Y32" s="7" t="s">
        <v>56</v>
      </c>
      <c r="Z32" s="48" t="str">
        <f t="shared" si="4"/>
        <v>APROVADO</v>
      </c>
      <c r="AA32" s="47">
        <v>11540798</v>
      </c>
      <c r="AB32" s="5" t="s">
        <v>2707</v>
      </c>
      <c r="AC32" s="5" t="s">
        <v>48</v>
      </c>
      <c r="AD32" s="5" t="s">
        <v>5530</v>
      </c>
      <c r="AE32" s="5" t="str">
        <f t="shared" ca="1" si="5"/>
        <v>NO PRAZO</v>
      </c>
      <c r="AF32" s="49"/>
    </row>
    <row r="33" spans="1:32" ht="30" customHeight="1" x14ac:dyDescent="0.25">
      <c r="A33" s="7" t="s">
        <v>550</v>
      </c>
      <c r="B33" s="5" t="s">
        <v>10</v>
      </c>
      <c r="C33" s="5" t="s">
        <v>5862</v>
      </c>
      <c r="D33" s="7" t="s">
        <v>529</v>
      </c>
      <c r="E33" s="7" t="s">
        <v>40</v>
      </c>
      <c r="F33" s="7" t="s">
        <v>518</v>
      </c>
      <c r="G33" s="7" t="s">
        <v>530</v>
      </c>
      <c r="H33" s="7" t="s">
        <v>551</v>
      </c>
      <c r="I33" s="7" t="s">
        <v>1717</v>
      </c>
      <c r="J33" s="7" t="s">
        <v>533</v>
      </c>
      <c r="K33" s="7" t="s">
        <v>45</v>
      </c>
      <c r="L33" s="5" t="s">
        <v>10</v>
      </c>
      <c r="M33" s="5" t="s">
        <v>10</v>
      </c>
      <c r="N33" s="5" t="s">
        <v>10</v>
      </c>
      <c r="O33" s="46" t="s">
        <v>46</v>
      </c>
      <c r="P33" s="100">
        <v>46121</v>
      </c>
      <c r="Q33" s="100">
        <f t="shared" si="6"/>
        <v>46304</v>
      </c>
      <c r="R33" s="5" t="s">
        <v>3507</v>
      </c>
      <c r="S33" s="5" t="s">
        <v>5232</v>
      </c>
      <c r="T33" s="7">
        <v>0.17100000000000001</v>
      </c>
      <c r="U33" s="5" t="s">
        <v>340</v>
      </c>
      <c r="V33" s="7">
        <f t="shared" si="3"/>
        <v>0.17100000000000001</v>
      </c>
      <c r="W33" s="5">
        <v>0.5</v>
      </c>
      <c r="X33" s="5" t="s">
        <v>55</v>
      </c>
      <c r="Y33" s="7" t="s">
        <v>56</v>
      </c>
      <c r="Z33" s="48" t="str">
        <f t="shared" si="4"/>
        <v>APROVADO</v>
      </c>
      <c r="AA33" s="47">
        <v>11540765</v>
      </c>
      <c r="AB33" s="5" t="s">
        <v>2753</v>
      </c>
      <c r="AC33" s="5" t="s">
        <v>48</v>
      </c>
      <c r="AD33" s="5" t="s">
        <v>5530</v>
      </c>
      <c r="AE33" s="5" t="str">
        <f t="shared" ca="1" si="5"/>
        <v>NO PRAZO</v>
      </c>
      <c r="AF33" s="49"/>
    </row>
    <row r="34" spans="1:32" ht="30" customHeight="1" x14ac:dyDescent="0.25">
      <c r="A34" s="7" t="s">
        <v>552</v>
      </c>
      <c r="B34" s="5" t="s">
        <v>10</v>
      </c>
      <c r="C34" s="5" t="s">
        <v>5862</v>
      </c>
      <c r="D34" s="7" t="s">
        <v>529</v>
      </c>
      <c r="E34" s="7" t="s">
        <v>40</v>
      </c>
      <c r="F34" s="7" t="s">
        <v>518</v>
      </c>
      <c r="G34" s="7" t="s">
        <v>535</v>
      </c>
      <c r="H34" s="7" t="s">
        <v>551</v>
      </c>
      <c r="I34" s="7" t="s">
        <v>101</v>
      </c>
      <c r="J34" s="7" t="s">
        <v>533</v>
      </c>
      <c r="K34" s="7" t="s">
        <v>45</v>
      </c>
      <c r="L34" s="5" t="s">
        <v>10</v>
      </c>
      <c r="M34" s="5" t="s">
        <v>10</v>
      </c>
      <c r="N34" s="5" t="s">
        <v>10</v>
      </c>
      <c r="O34" s="46" t="s">
        <v>46</v>
      </c>
      <c r="P34" s="100">
        <v>46121</v>
      </c>
      <c r="Q34" s="100">
        <f t="shared" si="6"/>
        <v>46304</v>
      </c>
      <c r="R34" s="5" t="s">
        <v>3494</v>
      </c>
      <c r="S34" s="5" t="s">
        <v>5236</v>
      </c>
      <c r="T34" s="7">
        <v>0.27100000000000002</v>
      </c>
      <c r="U34" s="5" t="s">
        <v>340</v>
      </c>
      <c r="V34" s="7">
        <f t="shared" si="3"/>
        <v>0.27100000000000002</v>
      </c>
      <c r="W34" s="5">
        <v>0.5</v>
      </c>
      <c r="X34" s="5" t="s">
        <v>55</v>
      </c>
      <c r="Y34" s="7" t="s">
        <v>56</v>
      </c>
      <c r="Z34" s="48" t="str">
        <f t="shared" si="4"/>
        <v>APROVADO</v>
      </c>
      <c r="AA34" s="47">
        <v>11540774</v>
      </c>
      <c r="AB34" s="5" t="s">
        <v>2754</v>
      </c>
      <c r="AC34" s="5" t="s">
        <v>48</v>
      </c>
      <c r="AD34" s="5" t="s">
        <v>5530</v>
      </c>
      <c r="AE34" s="5" t="str">
        <f t="shared" ca="1" si="5"/>
        <v>NO PRAZO</v>
      </c>
      <c r="AF34" s="49"/>
    </row>
    <row r="35" spans="1:32" ht="30" customHeight="1" x14ac:dyDescent="0.25">
      <c r="A35" s="7" t="s">
        <v>553</v>
      </c>
      <c r="B35" s="5" t="s">
        <v>10</v>
      </c>
      <c r="C35" s="5" t="s">
        <v>5862</v>
      </c>
      <c r="D35" s="7" t="s">
        <v>5343</v>
      </c>
      <c r="E35" s="7" t="s">
        <v>40</v>
      </c>
      <c r="F35" s="7" t="s">
        <v>518</v>
      </c>
      <c r="G35" s="7" t="s">
        <v>537</v>
      </c>
      <c r="H35" s="7" t="s">
        <v>551</v>
      </c>
      <c r="I35" s="7" t="s">
        <v>532</v>
      </c>
      <c r="J35" s="7" t="s">
        <v>520</v>
      </c>
      <c r="K35" s="7" t="s">
        <v>45</v>
      </c>
      <c r="L35" s="5" t="s">
        <v>10</v>
      </c>
      <c r="M35" s="5" t="s">
        <v>10</v>
      </c>
      <c r="N35" s="5" t="s">
        <v>10</v>
      </c>
      <c r="O35" s="46" t="s">
        <v>46</v>
      </c>
      <c r="P35" s="100">
        <v>46127</v>
      </c>
      <c r="Q35" s="100">
        <f t="shared" si="6"/>
        <v>46310</v>
      </c>
      <c r="R35" s="5" t="s">
        <v>3559</v>
      </c>
      <c r="S35" s="5" t="s">
        <v>5257</v>
      </c>
      <c r="T35" s="7">
        <v>0.155</v>
      </c>
      <c r="U35" s="5" t="s">
        <v>340</v>
      </c>
      <c r="V35" s="7">
        <f t="shared" si="3"/>
        <v>0.155</v>
      </c>
      <c r="W35" s="5">
        <v>0.5</v>
      </c>
      <c r="X35" s="5" t="s">
        <v>55</v>
      </c>
      <c r="Y35" s="7" t="s">
        <v>56</v>
      </c>
      <c r="Z35" s="48" t="str">
        <f t="shared" si="4"/>
        <v>APROVADO</v>
      </c>
      <c r="AA35" s="47">
        <v>11540783</v>
      </c>
      <c r="AB35" s="5" t="s">
        <v>2717</v>
      </c>
      <c r="AC35" s="5" t="s">
        <v>48</v>
      </c>
      <c r="AD35" s="5" t="s">
        <v>5530</v>
      </c>
      <c r="AE35" s="5" t="str">
        <f t="shared" ca="1" si="5"/>
        <v>NO PRAZO</v>
      </c>
      <c r="AF35" s="49"/>
    </row>
    <row r="36" spans="1:32" ht="30" customHeight="1" x14ac:dyDescent="0.25">
      <c r="A36" s="7" t="s">
        <v>554</v>
      </c>
      <c r="B36" s="5" t="s">
        <v>10</v>
      </c>
      <c r="C36" s="5" t="s">
        <v>5862</v>
      </c>
      <c r="D36" s="7" t="s">
        <v>529</v>
      </c>
      <c r="E36" s="7" t="s">
        <v>40</v>
      </c>
      <c r="F36" s="7" t="s">
        <v>518</v>
      </c>
      <c r="G36" s="7" t="s">
        <v>539</v>
      </c>
      <c r="H36" s="7" t="s">
        <v>551</v>
      </c>
      <c r="I36" s="7" t="s">
        <v>532</v>
      </c>
      <c r="J36" s="7" t="s">
        <v>520</v>
      </c>
      <c r="K36" s="7" t="s">
        <v>45</v>
      </c>
      <c r="L36" s="5" t="s">
        <v>10</v>
      </c>
      <c r="M36" s="5" t="s">
        <v>10</v>
      </c>
      <c r="N36" s="5" t="s">
        <v>10</v>
      </c>
      <c r="O36" s="46" t="s">
        <v>46</v>
      </c>
      <c r="P36" s="100">
        <v>46121</v>
      </c>
      <c r="Q36" s="100">
        <f t="shared" si="6"/>
        <v>46304</v>
      </c>
      <c r="R36" s="5" t="s">
        <v>3495</v>
      </c>
      <c r="S36" s="5" t="s">
        <v>5248</v>
      </c>
      <c r="T36" s="7">
        <v>0.33300000000000002</v>
      </c>
      <c r="U36" s="5" t="s">
        <v>340</v>
      </c>
      <c r="V36" s="7">
        <f t="shared" si="3"/>
        <v>0.33300000000000002</v>
      </c>
      <c r="W36" s="5">
        <v>0.5</v>
      </c>
      <c r="X36" s="5" t="s">
        <v>55</v>
      </c>
      <c r="Y36" s="7" t="s">
        <v>56</v>
      </c>
      <c r="Z36" s="48" t="str">
        <f t="shared" si="4"/>
        <v>APROVADO</v>
      </c>
      <c r="AA36" s="47">
        <v>11540799</v>
      </c>
      <c r="AB36" s="5" t="s">
        <v>2718</v>
      </c>
      <c r="AC36" s="5" t="s">
        <v>48</v>
      </c>
      <c r="AD36" s="5" t="s">
        <v>5530</v>
      </c>
      <c r="AE36" s="5" t="str">
        <f t="shared" ca="1" si="5"/>
        <v>NO PRAZO</v>
      </c>
      <c r="AF36" s="49"/>
    </row>
    <row r="37" spans="1:32" ht="30" customHeight="1" x14ac:dyDescent="0.25">
      <c r="A37" s="7" t="s">
        <v>555</v>
      </c>
      <c r="B37" s="5" t="s">
        <v>10</v>
      </c>
      <c r="C37" s="5" t="s">
        <v>5862</v>
      </c>
      <c r="D37" s="7" t="s">
        <v>5343</v>
      </c>
      <c r="E37" s="7" t="s">
        <v>40</v>
      </c>
      <c r="F37" s="7" t="s">
        <v>518</v>
      </c>
      <c r="G37" s="7" t="s">
        <v>556</v>
      </c>
      <c r="H37" s="7" t="s">
        <v>546</v>
      </c>
      <c r="I37" s="7" t="s">
        <v>101</v>
      </c>
      <c r="J37" s="7" t="s">
        <v>533</v>
      </c>
      <c r="K37" s="7" t="s">
        <v>45</v>
      </c>
      <c r="L37" s="5" t="s">
        <v>10</v>
      </c>
      <c r="M37" s="5" t="s">
        <v>10</v>
      </c>
      <c r="N37" s="5" t="s">
        <v>10</v>
      </c>
      <c r="O37" s="46" t="s">
        <v>46</v>
      </c>
      <c r="P37" s="100">
        <v>46127</v>
      </c>
      <c r="Q37" s="100">
        <f t="shared" si="6"/>
        <v>46310</v>
      </c>
      <c r="R37" s="7" t="s">
        <v>3537</v>
      </c>
      <c r="S37" s="7" t="s">
        <v>5258</v>
      </c>
      <c r="T37" s="7">
        <v>0.27100000000000002</v>
      </c>
      <c r="U37" s="5" t="s">
        <v>340</v>
      </c>
      <c r="V37" s="7">
        <f t="shared" si="3"/>
        <v>0.27100000000000002</v>
      </c>
      <c r="W37" s="5">
        <v>0.5</v>
      </c>
      <c r="X37" s="5" t="s">
        <v>55</v>
      </c>
      <c r="Y37" s="7" t="s">
        <v>56</v>
      </c>
      <c r="Z37" s="48" t="str">
        <f t="shared" si="4"/>
        <v>APROVADO</v>
      </c>
      <c r="AA37" s="47">
        <v>11540756</v>
      </c>
      <c r="AB37" s="5" t="s">
        <v>2755</v>
      </c>
      <c r="AC37" s="5" t="s">
        <v>48</v>
      </c>
      <c r="AD37" s="5" t="s">
        <v>5530</v>
      </c>
      <c r="AE37" s="5" t="str">
        <f t="shared" ca="1" si="5"/>
        <v>NO PRAZO</v>
      </c>
      <c r="AF37" s="49"/>
    </row>
    <row r="38" spans="1:32" ht="30" customHeight="1" x14ac:dyDescent="0.25">
      <c r="A38" s="7" t="s">
        <v>557</v>
      </c>
      <c r="B38" s="5" t="s">
        <v>10</v>
      </c>
      <c r="C38" s="5" t="s">
        <v>5862</v>
      </c>
      <c r="D38" s="7" t="s">
        <v>5343</v>
      </c>
      <c r="E38" s="7" t="s">
        <v>40</v>
      </c>
      <c r="F38" s="7" t="s">
        <v>518</v>
      </c>
      <c r="G38" s="7" t="s">
        <v>556</v>
      </c>
      <c r="H38" s="7" t="s">
        <v>558</v>
      </c>
      <c r="I38" s="7" t="s">
        <v>101</v>
      </c>
      <c r="J38" s="7" t="s">
        <v>533</v>
      </c>
      <c r="K38" s="7" t="s">
        <v>45</v>
      </c>
      <c r="L38" s="5" t="s">
        <v>10</v>
      </c>
      <c r="M38" s="5" t="s">
        <v>10</v>
      </c>
      <c r="N38" s="5" t="s">
        <v>10</v>
      </c>
      <c r="O38" s="46" t="s">
        <v>46</v>
      </c>
      <c r="P38" s="100">
        <v>46127</v>
      </c>
      <c r="Q38" s="100">
        <f t="shared" si="6"/>
        <v>46310</v>
      </c>
      <c r="R38" s="5" t="s">
        <v>3538</v>
      </c>
      <c r="S38" s="5" t="s">
        <v>5259</v>
      </c>
      <c r="T38" s="7">
        <v>0.27100000000000002</v>
      </c>
      <c r="U38" s="5" t="s">
        <v>340</v>
      </c>
      <c r="V38" s="7">
        <f t="shared" si="3"/>
        <v>0.27100000000000002</v>
      </c>
      <c r="W38" s="5">
        <v>0.5</v>
      </c>
      <c r="X38" s="5" t="s">
        <v>55</v>
      </c>
      <c r="Y38" s="7" t="s">
        <v>56</v>
      </c>
      <c r="Z38" s="48" t="str">
        <f t="shared" si="4"/>
        <v>APROVADO</v>
      </c>
      <c r="AA38" s="47">
        <v>11540757</v>
      </c>
      <c r="AB38" s="5" t="s">
        <v>2756</v>
      </c>
      <c r="AC38" s="5" t="s">
        <v>48</v>
      </c>
      <c r="AD38" s="5" t="s">
        <v>5530</v>
      </c>
      <c r="AE38" s="5" t="str">
        <f t="shared" ca="1" si="5"/>
        <v>NO PRAZO</v>
      </c>
      <c r="AF38" s="49"/>
    </row>
    <row r="39" spans="1:32" ht="30" customHeight="1" x14ac:dyDescent="0.25">
      <c r="A39" s="7" t="s">
        <v>559</v>
      </c>
      <c r="B39" s="5" t="s">
        <v>10</v>
      </c>
      <c r="C39" s="5" t="s">
        <v>5862</v>
      </c>
      <c r="D39" s="7" t="s">
        <v>5343</v>
      </c>
      <c r="E39" s="7" t="s">
        <v>40</v>
      </c>
      <c r="F39" s="7" t="s">
        <v>518</v>
      </c>
      <c r="G39" s="7" t="s">
        <v>556</v>
      </c>
      <c r="H39" s="7" t="s">
        <v>560</v>
      </c>
      <c r="I39" s="7" t="s">
        <v>101</v>
      </c>
      <c r="J39" s="7" t="s">
        <v>561</v>
      </c>
      <c r="K39" s="7" t="s">
        <v>45</v>
      </c>
      <c r="L39" s="5" t="s">
        <v>10</v>
      </c>
      <c r="M39" s="5" t="s">
        <v>10</v>
      </c>
      <c r="N39" s="5" t="s">
        <v>10</v>
      </c>
      <c r="O39" s="46" t="s">
        <v>46</v>
      </c>
      <c r="P39" s="100">
        <v>46127</v>
      </c>
      <c r="Q39" s="100">
        <f t="shared" si="6"/>
        <v>46310</v>
      </c>
      <c r="R39" s="5" t="s">
        <v>3539</v>
      </c>
      <c r="S39" s="5" t="s">
        <v>5260</v>
      </c>
      <c r="T39" s="7">
        <v>0.255</v>
      </c>
      <c r="U39" s="5" t="s">
        <v>340</v>
      </c>
      <c r="V39" s="7">
        <f t="shared" si="3"/>
        <v>0.255</v>
      </c>
      <c r="W39" s="5">
        <v>0.5</v>
      </c>
      <c r="X39" s="5" t="s">
        <v>55</v>
      </c>
      <c r="Y39" s="7" t="s">
        <v>56</v>
      </c>
      <c r="Z39" s="48" t="str">
        <f t="shared" si="4"/>
        <v>APROVADO</v>
      </c>
      <c r="AA39" s="47">
        <v>11540758</v>
      </c>
      <c r="AB39" s="5" t="s">
        <v>2757</v>
      </c>
      <c r="AC39" s="5" t="s">
        <v>48</v>
      </c>
      <c r="AD39" s="5" t="s">
        <v>5530</v>
      </c>
      <c r="AE39" s="5" t="str">
        <f t="shared" ca="1" si="5"/>
        <v>NO PRAZO</v>
      </c>
      <c r="AF39" s="49"/>
    </row>
    <row r="40" spans="1:32" ht="30" customHeight="1" x14ac:dyDescent="0.25">
      <c r="A40" s="6" t="s">
        <v>3550</v>
      </c>
      <c r="B40" s="6" t="s">
        <v>624</v>
      </c>
      <c r="C40" s="5" t="s">
        <v>5862</v>
      </c>
      <c r="D40" s="7" t="s">
        <v>2066</v>
      </c>
      <c r="E40" s="7" t="s">
        <v>50</v>
      </c>
      <c r="F40" s="7" t="s">
        <v>596</v>
      </c>
      <c r="G40" s="7" t="s">
        <v>604</v>
      </c>
      <c r="H40" s="7" t="s">
        <v>598</v>
      </c>
      <c r="I40" s="7" t="s">
        <v>3552</v>
      </c>
      <c r="J40" s="7" t="s">
        <v>605</v>
      </c>
      <c r="K40" s="7" t="s">
        <v>45</v>
      </c>
      <c r="L40" s="5" t="s">
        <v>10</v>
      </c>
      <c r="M40" s="5" t="s">
        <v>10</v>
      </c>
      <c r="N40" s="5" t="s">
        <v>10</v>
      </c>
      <c r="O40" s="46" t="s">
        <v>46</v>
      </c>
      <c r="P40" s="101">
        <v>45949</v>
      </c>
      <c r="Q40" s="100">
        <f>IF(P40="","",P40+182)</f>
        <v>46131</v>
      </c>
      <c r="R40" s="5" t="s">
        <v>2187</v>
      </c>
      <c r="S40" s="5" t="s">
        <v>3580</v>
      </c>
      <c r="T40" s="7">
        <v>0.31</v>
      </c>
      <c r="U40" s="5" t="s">
        <v>340</v>
      </c>
      <c r="V40" s="7">
        <f t="shared" si="3"/>
        <v>0.31</v>
      </c>
      <c r="W40" s="5">
        <v>0.5</v>
      </c>
      <c r="X40" s="5" t="s">
        <v>55</v>
      </c>
      <c r="Y40" s="7" t="s">
        <v>56</v>
      </c>
      <c r="Z40" s="48" t="str">
        <f t="shared" si="4"/>
        <v>APROVADO</v>
      </c>
      <c r="AA40" s="47">
        <v>11606550</v>
      </c>
      <c r="AB40" s="5" t="s">
        <v>3992</v>
      </c>
      <c r="AC40" s="5" t="s">
        <v>48</v>
      </c>
      <c r="AD40" s="5" t="s">
        <v>5530</v>
      </c>
      <c r="AE40" s="5" t="s">
        <v>3062</v>
      </c>
      <c r="AF40" s="53" t="s">
        <v>3730</v>
      </c>
    </row>
    <row r="41" spans="1:32" ht="30" customHeight="1" x14ac:dyDescent="0.25">
      <c r="A41" s="6" t="s">
        <v>3551</v>
      </c>
      <c r="B41" s="6" t="s">
        <v>628</v>
      </c>
      <c r="C41" s="5" t="s">
        <v>5862</v>
      </c>
      <c r="D41" s="7" t="s">
        <v>2066</v>
      </c>
      <c r="E41" s="7" t="s">
        <v>50</v>
      </c>
      <c r="F41" s="7" t="s">
        <v>596</v>
      </c>
      <c r="G41" s="7" t="s">
        <v>629</v>
      </c>
      <c r="H41" s="7" t="s">
        <v>598</v>
      </c>
      <c r="I41" s="7" t="s">
        <v>3552</v>
      </c>
      <c r="J41" s="7" t="s">
        <v>605</v>
      </c>
      <c r="K41" s="7" t="s">
        <v>45</v>
      </c>
      <c r="L41" s="5" t="s">
        <v>10</v>
      </c>
      <c r="M41" s="5" t="s">
        <v>10</v>
      </c>
      <c r="N41" s="5" t="s">
        <v>10</v>
      </c>
      <c r="O41" s="46" t="s">
        <v>46</v>
      </c>
      <c r="P41" s="101">
        <v>45949</v>
      </c>
      <c r="Q41" s="100">
        <f>IF(P41="","",P41+182)</f>
        <v>46131</v>
      </c>
      <c r="R41" s="5" t="s">
        <v>2188</v>
      </c>
      <c r="S41" s="5" t="s">
        <v>3581</v>
      </c>
      <c r="T41" s="7">
        <v>0.26</v>
      </c>
      <c r="U41" s="5" t="s">
        <v>340</v>
      </c>
      <c r="V41" s="7">
        <f t="shared" si="3"/>
        <v>0.26</v>
      </c>
      <c r="W41" s="5">
        <v>0.5</v>
      </c>
      <c r="X41" s="5" t="s">
        <v>55</v>
      </c>
      <c r="Y41" s="7" t="s">
        <v>56</v>
      </c>
      <c r="Z41" s="48" t="str">
        <f t="shared" si="4"/>
        <v>APROVADO</v>
      </c>
      <c r="AA41" s="47">
        <v>11606551</v>
      </c>
      <c r="AB41" s="5" t="s">
        <v>3993</v>
      </c>
      <c r="AC41" s="5" t="s">
        <v>48</v>
      </c>
      <c r="AD41" s="5" t="s">
        <v>5530</v>
      </c>
      <c r="AE41" s="5" t="s">
        <v>3062</v>
      </c>
      <c r="AF41" s="53" t="s">
        <v>3730</v>
      </c>
    </row>
    <row r="42" spans="1:32" ht="30" customHeight="1" x14ac:dyDescent="0.25">
      <c r="A42" s="9" t="s">
        <v>389</v>
      </c>
      <c r="B42" s="5" t="s">
        <v>10</v>
      </c>
      <c r="C42" s="5" t="s">
        <v>5862</v>
      </c>
      <c r="D42" s="7" t="s">
        <v>2099</v>
      </c>
      <c r="E42" s="7" t="s">
        <v>40</v>
      </c>
      <c r="F42" s="7" t="s">
        <v>354</v>
      </c>
      <c r="G42" s="61" t="s">
        <v>355</v>
      </c>
      <c r="H42" s="61" t="s">
        <v>376</v>
      </c>
      <c r="I42" s="61" t="s">
        <v>382</v>
      </c>
      <c r="J42" s="62" t="s">
        <v>383</v>
      </c>
      <c r="K42" s="5" t="s">
        <v>45</v>
      </c>
      <c r="L42" s="5" t="s">
        <v>10</v>
      </c>
      <c r="M42" s="5" t="s">
        <v>10</v>
      </c>
      <c r="N42" s="5" t="s">
        <v>10</v>
      </c>
      <c r="O42" s="46" t="s">
        <v>46</v>
      </c>
      <c r="P42" s="99">
        <v>46102</v>
      </c>
      <c r="Q42" s="100">
        <f t="shared" ref="Q42:Q54" si="7">IF(P42="","",P42+184)</f>
        <v>46286</v>
      </c>
      <c r="R42" s="63" t="s">
        <v>3432</v>
      </c>
      <c r="S42" s="63" t="s">
        <v>5065</v>
      </c>
      <c r="T42" s="7">
        <v>1.32</v>
      </c>
      <c r="U42" s="5" t="s">
        <v>10</v>
      </c>
      <c r="V42" s="7">
        <f t="shared" si="3"/>
        <v>1.32</v>
      </c>
      <c r="W42" s="48" t="s">
        <v>10</v>
      </c>
      <c r="X42" s="5" t="s">
        <v>384</v>
      </c>
      <c r="Y42" s="7" t="s">
        <v>56</v>
      </c>
      <c r="Z42" s="48" t="str">
        <f t="shared" si="4"/>
        <v>A DEFINIR</v>
      </c>
      <c r="AA42" s="47">
        <v>11599631</v>
      </c>
      <c r="AB42" s="5" t="s">
        <v>2611</v>
      </c>
      <c r="AC42" s="5" t="s">
        <v>48</v>
      </c>
      <c r="AD42" s="5" t="s">
        <v>5530</v>
      </c>
      <c r="AE42" s="5" t="str">
        <f t="shared" ref="AE42:AE69" ca="1" si="8">IFERROR(IF(OR(AND(YEAR(Q42)=YEAR(TODAY()),MONTH(Q42)&gt;MONTH(TODAY())),(YEAR(Q42)&gt;YEAR(TODAY()))),$AK$4,IF(AND(YEAR(Q42)=YEAR(TODAY()),MONTH(Q42)=MONTH(TODAY())),$AK$5,IF(Q42="",$AK$6,$AK$7))),"-")</f>
        <v>NO PRAZO</v>
      </c>
      <c r="AF42" s="49"/>
    </row>
    <row r="43" spans="1:32" ht="30" customHeight="1" x14ac:dyDescent="0.25">
      <c r="A43" s="5" t="s">
        <v>2068</v>
      </c>
      <c r="B43" s="5" t="s">
        <v>10</v>
      </c>
      <c r="C43" s="5" t="s">
        <v>5863</v>
      </c>
      <c r="D43" s="7" t="s">
        <v>2066</v>
      </c>
      <c r="E43" s="7" t="s">
        <v>50</v>
      </c>
      <c r="F43" s="7" t="s">
        <v>2050</v>
      </c>
      <c r="G43" s="5" t="s">
        <v>2054</v>
      </c>
      <c r="H43" s="7" t="s">
        <v>2059</v>
      </c>
      <c r="I43" s="7" t="s">
        <v>2098</v>
      </c>
      <c r="J43" s="7" t="s">
        <v>2064</v>
      </c>
      <c r="K43" s="5" t="s">
        <v>10</v>
      </c>
      <c r="L43" s="5" t="s">
        <v>10</v>
      </c>
      <c r="M43" s="5" t="s">
        <v>10</v>
      </c>
      <c r="N43" s="5" t="s">
        <v>45</v>
      </c>
      <c r="O43" s="119" t="s">
        <v>46</v>
      </c>
      <c r="P43" s="101">
        <v>46089</v>
      </c>
      <c r="Q43" s="100">
        <f t="shared" si="7"/>
        <v>46273</v>
      </c>
      <c r="R43" s="5" t="s">
        <v>3159</v>
      </c>
      <c r="S43" s="5" t="s">
        <v>5187</v>
      </c>
      <c r="T43" s="7">
        <v>0.315</v>
      </c>
      <c r="U43" s="5" t="s">
        <v>10</v>
      </c>
      <c r="V43" s="7">
        <f t="shared" si="3"/>
        <v>0.315</v>
      </c>
      <c r="W43" s="5">
        <v>0.5</v>
      </c>
      <c r="X43" s="5" t="s">
        <v>55</v>
      </c>
      <c r="Y43" s="7" t="s">
        <v>56</v>
      </c>
      <c r="Z43" s="48" t="str">
        <f t="shared" si="4"/>
        <v>APROVADO</v>
      </c>
      <c r="AA43" s="47">
        <v>11540807</v>
      </c>
      <c r="AB43" s="5" t="s">
        <v>3270</v>
      </c>
      <c r="AC43" s="5" t="s">
        <v>48</v>
      </c>
      <c r="AD43" s="5" t="s">
        <v>5530</v>
      </c>
      <c r="AE43" s="5" t="str">
        <f t="shared" ca="1" si="8"/>
        <v>NO PRAZO</v>
      </c>
      <c r="AF43" s="49"/>
    </row>
    <row r="44" spans="1:32" ht="30" customHeight="1" x14ac:dyDescent="0.25">
      <c r="A44" s="5" t="s">
        <v>2051</v>
      </c>
      <c r="B44" s="5" t="s">
        <v>10</v>
      </c>
      <c r="C44" s="5" t="s">
        <v>5863</v>
      </c>
      <c r="D44" s="7" t="s">
        <v>2066</v>
      </c>
      <c r="E44" s="7" t="s">
        <v>50</v>
      </c>
      <c r="F44" s="7" t="s">
        <v>2050</v>
      </c>
      <c r="G44" s="5" t="s">
        <v>2055</v>
      </c>
      <c r="H44" s="7" t="s">
        <v>2060</v>
      </c>
      <c r="I44" s="7" t="s">
        <v>2098</v>
      </c>
      <c r="J44" s="7" t="s">
        <v>2064</v>
      </c>
      <c r="K44" s="5" t="s">
        <v>10</v>
      </c>
      <c r="L44" s="5" t="s">
        <v>10</v>
      </c>
      <c r="M44" s="5" t="s">
        <v>10</v>
      </c>
      <c r="N44" s="5" t="s">
        <v>45</v>
      </c>
      <c r="O44" s="119" t="s">
        <v>46</v>
      </c>
      <c r="P44" s="101">
        <v>46089</v>
      </c>
      <c r="Q44" s="100">
        <f t="shared" si="7"/>
        <v>46273</v>
      </c>
      <c r="R44" s="5" t="s">
        <v>3161</v>
      </c>
      <c r="S44" s="5" t="s">
        <v>5016</v>
      </c>
      <c r="T44" s="7">
        <v>0.315</v>
      </c>
      <c r="U44" s="5" t="s">
        <v>10</v>
      </c>
      <c r="V44" s="7">
        <f t="shared" si="3"/>
        <v>0.315</v>
      </c>
      <c r="W44" s="5">
        <v>0.5</v>
      </c>
      <c r="X44" s="5" t="s">
        <v>55</v>
      </c>
      <c r="Y44" s="7" t="s">
        <v>56</v>
      </c>
      <c r="Z44" s="48" t="str">
        <f t="shared" si="4"/>
        <v>APROVADO</v>
      </c>
      <c r="AA44" s="47">
        <v>11540808</v>
      </c>
      <c r="AB44" s="5" t="s">
        <v>3272</v>
      </c>
      <c r="AC44" s="5" t="s">
        <v>48</v>
      </c>
      <c r="AD44" s="5" t="s">
        <v>5530</v>
      </c>
      <c r="AE44" s="5" t="str">
        <f t="shared" ca="1" si="8"/>
        <v>NO PRAZO</v>
      </c>
      <c r="AF44" s="49"/>
    </row>
    <row r="45" spans="1:32" ht="30" customHeight="1" x14ac:dyDescent="0.25">
      <c r="A45" s="5" t="s">
        <v>2052</v>
      </c>
      <c r="B45" s="5" t="s">
        <v>10</v>
      </c>
      <c r="C45" s="5" t="s">
        <v>5863</v>
      </c>
      <c r="D45" s="7" t="s">
        <v>2066</v>
      </c>
      <c r="E45" s="7" t="s">
        <v>50</v>
      </c>
      <c r="F45" s="7" t="s">
        <v>2050</v>
      </c>
      <c r="G45" s="5" t="s">
        <v>2056</v>
      </c>
      <c r="H45" s="7" t="s">
        <v>2061</v>
      </c>
      <c r="I45" s="7" t="s">
        <v>2098</v>
      </c>
      <c r="J45" s="7" t="s">
        <v>2064</v>
      </c>
      <c r="K45" s="5" t="s">
        <v>10</v>
      </c>
      <c r="L45" s="5" t="s">
        <v>10</v>
      </c>
      <c r="M45" s="5" t="s">
        <v>10</v>
      </c>
      <c r="N45" s="5" t="s">
        <v>45</v>
      </c>
      <c r="O45" s="119" t="s">
        <v>46</v>
      </c>
      <c r="P45" s="101">
        <v>46089</v>
      </c>
      <c r="Q45" s="100">
        <f t="shared" si="7"/>
        <v>46273</v>
      </c>
      <c r="R45" s="5" t="s">
        <v>3163</v>
      </c>
      <c r="S45" s="5" t="s">
        <v>5017</v>
      </c>
      <c r="T45" s="7">
        <v>0.313</v>
      </c>
      <c r="U45" s="5" t="s">
        <v>10</v>
      </c>
      <c r="V45" s="7">
        <f t="shared" si="3"/>
        <v>0.313</v>
      </c>
      <c r="W45" s="5">
        <v>0.5</v>
      </c>
      <c r="X45" s="5" t="s">
        <v>55</v>
      </c>
      <c r="Y45" s="7" t="s">
        <v>56</v>
      </c>
      <c r="Z45" s="48" t="str">
        <f t="shared" si="4"/>
        <v>APROVADO</v>
      </c>
      <c r="AA45" s="47">
        <v>11540809</v>
      </c>
      <c r="AB45" s="5" t="s">
        <v>3274</v>
      </c>
      <c r="AC45" s="5" t="s">
        <v>48</v>
      </c>
      <c r="AD45" s="5" t="s">
        <v>5530</v>
      </c>
      <c r="AE45" s="5" t="str">
        <f t="shared" ca="1" si="8"/>
        <v>NO PRAZO</v>
      </c>
      <c r="AF45" s="49"/>
    </row>
    <row r="46" spans="1:32" ht="30" customHeight="1" x14ac:dyDescent="0.25">
      <c r="A46" s="5" t="s">
        <v>2053</v>
      </c>
      <c r="B46" s="5" t="s">
        <v>10</v>
      </c>
      <c r="C46" s="5" t="s">
        <v>5863</v>
      </c>
      <c r="D46" s="7" t="s">
        <v>2066</v>
      </c>
      <c r="E46" s="7" t="s">
        <v>50</v>
      </c>
      <c r="F46" s="7" t="s">
        <v>2050</v>
      </c>
      <c r="G46" s="5" t="s">
        <v>2057</v>
      </c>
      <c r="H46" s="7" t="s">
        <v>2062</v>
      </c>
      <c r="I46" s="7" t="s">
        <v>2098</v>
      </c>
      <c r="J46" s="7" t="s">
        <v>2064</v>
      </c>
      <c r="K46" s="5" t="s">
        <v>10</v>
      </c>
      <c r="L46" s="5" t="s">
        <v>10</v>
      </c>
      <c r="M46" s="5" t="s">
        <v>10</v>
      </c>
      <c r="N46" s="5" t="s">
        <v>45</v>
      </c>
      <c r="O46" s="119" t="s">
        <v>46</v>
      </c>
      <c r="P46" s="101">
        <v>46089</v>
      </c>
      <c r="Q46" s="100">
        <f t="shared" si="7"/>
        <v>46273</v>
      </c>
      <c r="R46" s="5" t="s">
        <v>3165</v>
      </c>
      <c r="S46" s="5" t="s">
        <v>5361</v>
      </c>
      <c r="T46" s="7">
        <v>0.27100000000000002</v>
      </c>
      <c r="U46" s="5" t="s">
        <v>10</v>
      </c>
      <c r="V46" s="7">
        <f t="shared" si="3"/>
        <v>0.27100000000000002</v>
      </c>
      <c r="W46" s="5">
        <v>0.5</v>
      </c>
      <c r="X46" s="5" t="s">
        <v>55</v>
      </c>
      <c r="Y46" s="7" t="s">
        <v>56</v>
      </c>
      <c r="Z46" s="48" t="str">
        <f t="shared" si="4"/>
        <v>APROVADO</v>
      </c>
      <c r="AA46" s="47">
        <v>11540810</v>
      </c>
      <c r="AB46" s="5" t="s">
        <v>3276</v>
      </c>
      <c r="AC46" s="5" t="s">
        <v>48</v>
      </c>
      <c r="AD46" s="5" t="s">
        <v>5530</v>
      </c>
      <c r="AE46" s="5" t="str">
        <f t="shared" ca="1" si="8"/>
        <v>NO PRAZO</v>
      </c>
      <c r="AF46" s="49"/>
    </row>
    <row r="47" spans="1:32" ht="30" customHeight="1" x14ac:dyDescent="0.25">
      <c r="A47" s="5" t="s">
        <v>2076</v>
      </c>
      <c r="B47" s="5" t="s">
        <v>10</v>
      </c>
      <c r="C47" s="5" t="s">
        <v>5863</v>
      </c>
      <c r="D47" s="7" t="s">
        <v>2066</v>
      </c>
      <c r="E47" s="7" t="s">
        <v>50</v>
      </c>
      <c r="F47" s="7" t="s">
        <v>2050</v>
      </c>
      <c r="G47" s="5" t="s">
        <v>2058</v>
      </c>
      <c r="H47" s="7" t="s">
        <v>2063</v>
      </c>
      <c r="I47" s="7" t="s">
        <v>2098</v>
      </c>
      <c r="J47" s="7" t="s">
        <v>2064</v>
      </c>
      <c r="K47" s="5" t="s">
        <v>10</v>
      </c>
      <c r="L47" s="5" t="s">
        <v>10</v>
      </c>
      <c r="M47" s="5" t="s">
        <v>10</v>
      </c>
      <c r="N47" s="5" t="s">
        <v>45</v>
      </c>
      <c r="O47" s="119" t="s">
        <v>46</v>
      </c>
      <c r="P47" s="101">
        <v>46089</v>
      </c>
      <c r="Q47" s="100">
        <f t="shared" si="7"/>
        <v>46273</v>
      </c>
      <c r="R47" s="5" t="s">
        <v>3167</v>
      </c>
      <c r="S47" s="5" t="s">
        <v>5018</v>
      </c>
      <c r="T47" s="7">
        <v>0.23499999999999999</v>
      </c>
      <c r="U47" s="5" t="s">
        <v>10</v>
      </c>
      <c r="V47" s="7">
        <f t="shared" si="3"/>
        <v>0.23499999999999999</v>
      </c>
      <c r="W47" s="5">
        <v>0.5</v>
      </c>
      <c r="X47" s="5" t="s">
        <v>55</v>
      </c>
      <c r="Y47" s="7" t="s">
        <v>56</v>
      </c>
      <c r="Z47" s="48" t="str">
        <f t="shared" si="4"/>
        <v>APROVADO</v>
      </c>
      <c r="AA47" s="47">
        <v>11540811</v>
      </c>
      <c r="AB47" s="5" t="s">
        <v>3278</v>
      </c>
      <c r="AC47" s="5" t="s">
        <v>48</v>
      </c>
      <c r="AD47" s="5" t="s">
        <v>5530</v>
      </c>
      <c r="AE47" s="5" t="str">
        <f t="shared" ca="1" si="8"/>
        <v>NO PRAZO</v>
      </c>
      <c r="AF47" s="49"/>
    </row>
    <row r="48" spans="1:32" ht="30" customHeight="1" x14ac:dyDescent="0.25">
      <c r="A48" s="9" t="s">
        <v>358</v>
      </c>
      <c r="B48" s="5" t="s">
        <v>10</v>
      </c>
      <c r="C48" s="5" t="s">
        <v>5862</v>
      </c>
      <c r="D48" s="61" t="s">
        <v>348</v>
      </c>
      <c r="E48" s="7" t="s">
        <v>40</v>
      </c>
      <c r="F48" s="7" t="s">
        <v>354</v>
      </c>
      <c r="G48" s="61" t="s">
        <v>355</v>
      </c>
      <c r="H48" s="61" t="s">
        <v>359</v>
      </c>
      <c r="I48" s="61" t="s">
        <v>360</v>
      </c>
      <c r="J48" s="62" t="s">
        <v>361</v>
      </c>
      <c r="K48" s="5" t="s">
        <v>45</v>
      </c>
      <c r="L48" s="5" t="s">
        <v>10</v>
      </c>
      <c r="M48" s="5" t="s">
        <v>10</v>
      </c>
      <c r="N48" s="5" t="s">
        <v>10</v>
      </c>
      <c r="O48" s="46" t="s">
        <v>46</v>
      </c>
      <c r="P48" s="99">
        <v>46102</v>
      </c>
      <c r="Q48" s="100">
        <f t="shared" si="7"/>
        <v>46286</v>
      </c>
      <c r="R48" s="63" t="s">
        <v>3409</v>
      </c>
      <c r="S48" s="63" t="s">
        <v>5066</v>
      </c>
      <c r="T48" s="7">
        <v>0.26</v>
      </c>
      <c r="U48" s="5" t="s">
        <v>10</v>
      </c>
      <c r="V48" s="7">
        <f t="shared" si="3"/>
        <v>0.26</v>
      </c>
      <c r="W48" s="5">
        <v>0.5</v>
      </c>
      <c r="X48" s="5" t="s">
        <v>55</v>
      </c>
      <c r="Y48" s="7" t="s">
        <v>56</v>
      </c>
      <c r="Z48" s="48" t="str">
        <f t="shared" si="4"/>
        <v>APROVADO</v>
      </c>
      <c r="AA48" s="47">
        <v>11603048</v>
      </c>
      <c r="AB48" s="5" t="s">
        <v>2593</v>
      </c>
      <c r="AC48" s="5" t="s">
        <v>48</v>
      </c>
      <c r="AD48" s="5" t="s">
        <v>5530</v>
      </c>
      <c r="AE48" s="5" t="str">
        <f t="shared" ca="1" si="8"/>
        <v>NO PRAZO</v>
      </c>
      <c r="AF48" s="49"/>
    </row>
    <row r="49" spans="1:32" ht="30" customHeight="1" x14ac:dyDescent="0.25">
      <c r="A49" s="9" t="s">
        <v>371</v>
      </c>
      <c r="B49" s="5" t="s">
        <v>10</v>
      </c>
      <c r="C49" s="5" t="s">
        <v>5862</v>
      </c>
      <c r="D49" s="61" t="s">
        <v>348</v>
      </c>
      <c r="E49" s="7" t="s">
        <v>40</v>
      </c>
      <c r="F49" s="7" t="s">
        <v>354</v>
      </c>
      <c r="G49" s="61" t="s">
        <v>355</v>
      </c>
      <c r="H49" s="61" t="s">
        <v>372</v>
      </c>
      <c r="I49" s="61" t="s">
        <v>370</v>
      </c>
      <c r="J49" s="62" t="s">
        <v>361</v>
      </c>
      <c r="K49" s="5" t="s">
        <v>45</v>
      </c>
      <c r="L49" s="5" t="s">
        <v>10</v>
      </c>
      <c r="M49" s="5" t="s">
        <v>10</v>
      </c>
      <c r="N49" s="5" t="s">
        <v>10</v>
      </c>
      <c r="O49" s="46" t="s">
        <v>46</v>
      </c>
      <c r="P49" s="99">
        <v>46102</v>
      </c>
      <c r="Q49" s="100">
        <f t="shared" si="7"/>
        <v>46286</v>
      </c>
      <c r="R49" s="63" t="s">
        <v>3411</v>
      </c>
      <c r="S49" s="63" t="s">
        <v>5068</v>
      </c>
      <c r="T49" s="7">
        <v>0.26</v>
      </c>
      <c r="U49" s="5" t="s">
        <v>10</v>
      </c>
      <c r="V49" s="7">
        <f t="shared" si="3"/>
        <v>0.26</v>
      </c>
      <c r="W49" s="5">
        <v>0.5</v>
      </c>
      <c r="X49" s="5" t="s">
        <v>55</v>
      </c>
      <c r="Y49" s="7" t="s">
        <v>56</v>
      </c>
      <c r="Z49" s="48" t="str">
        <f t="shared" si="4"/>
        <v>APROVADO</v>
      </c>
      <c r="AA49" s="47">
        <v>11599618</v>
      </c>
      <c r="AB49" s="5" t="s">
        <v>2601</v>
      </c>
      <c r="AC49" s="5" t="s">
        <v>48</v>
      </c>
      <c r="AD49" s="5" t="s">
        <v>5530</v>
      </c>
      <c r="AE49" s="5" t="str">
        <f t="shared" ca="1" si="8"/>
        <v>NO PRAZO</v>
      </c>
      <c r="AF49" s="49"/>
    </row>
    <row r="50" spans="1:32" ht="30" customHeight="1" x14ac:dyDescent="0.25">
      <c r="A50" s="9" t="s">
        <v>373</v>
      </c>
      <c r="B50" s="5" t="s">
        <v>10</v>
      </c>
      <c r="C50" s="5" t="s">
        <v>5862</v>
      </c>
      <c r="D50" s="61" t="s">
        <v>348</v>
      </c>
      <c r="E50" s="7" t="s">
        <v>40</v>
      </c>
      <c r="F50" s="7" t="s">
        <v>354</v>
      </c>
      <c r="G50" s="61" t="s">
        <v>355</v>
      </c>
      <c r="H50" s="61" t="s">
        <v>374</v>
      </c>
      <c r="I50" s="61" t="s">
        <v>370</v>
      </c>
      <c r="J50" s="62" t="s">
        <v>361</v>
      </c>
      <c r="K50" s="5" t="s">
        <v>45</v>
      </c>
      <c r="L50" s="5" t="s">
        <v>10</v>
      </c>
      <c r="M50" s="5" t="s">
        <v>10</v>
      </c>
      <c r="N50" s="5" t="s">
        <v>10</v>
      </c>
      <c r="O50" s="46" t="s">
        <v>46</v>
      </c>
      <c r="P50" s="99">
        <v>46102</v>
      </c>
      <c r="Q50" s="100">
        <f t="shared" si="7"/>
        <v>46286</v>
      </c>
      <c r="R50" s="63" t="s">
        <v>3410</v>
      </c>
      <c r="S50" s="63" t="s">
        <v>5069</v>
      </c>
      <c r="T50" s="7">
        <v>0.25900000000000001</v>
      </c>
      <c r="U50" s="5" t="s">
        <v>10</v>
      </c>
      <c r="V50" s="7">
        <f t="shared" si="3"/>
        <v>0.25900000000000001</v>
      </c>
      <c r="W50" s="5">
        <v>0.5</v>
      </c>
      <c r="X50" s="5" t="s">
        <v>55</v>
      </c>
      <c r="Y50" s="7" t="s">
        <v>56</v>
      </c>
      <c r="Z50" s="48" t="str">
        <f t="shared" si="4"/>
        <v>APROVADO</v>
      </c>
      <c r="AA50" s="47">
        <v>11599619</v>
      </c>
      <c r="AB50" s="5" t="s">
        <v>2602</v>
      </c>
      <c r="AC50" s="5" t="s">
        <v>48</v>
      </c>
      <c r="AD50" s="5" t="s">
        <v>5530</v>
      </c>
      <c r="AE50" s="5" t="str">
        <f t="shared" ca="1" si="8"/>
        <v>NO PRAZO</v>
      </c>
      <c r="AF50" s="49"/>
    </row>
    <row r="51" spans="1:32" ht="30" customHeight="1" x14ac:dyDescent="0.25">
      <c r="A51" s="9" t="s">
        <v>375</v>
      </c>
      <c r="B51" s="5" t="s">
        <v>10</v>
      </c>
      <c r="C51" s="5" t="s">
        <v>5862</v>
      </c>
      <c r="D51" s="61" t="s">
        <v>348</v>
      </c>
      <c r="E51" s="7" t="s">
        <v>40</v>
      </c>
      <c r="F51" s="7" t="s">
        <v>354</v>
      </c>
      <c r="G51" s="61" t="s">
        <v>355</v>
      </c>
      <c r="H51" s="61" t="s">
        <v>376</v>
      </c>
      <c r="I51" s="5" t="s">
        <v>360</v>
      </c>
      <c r="J51" s="62" t="s">
        <v>361</v>
      </c>
      <c r="K51" s="5" t="s">
        <v>45</v>
      </c>
      <c r="L51" s="5" t="s">
        <v>10</v>
      </c>
      <c r="M51" s="5" t="s">
        <v>10</v>
      </c>
      <c r="N51" s="5" t="s">
        <v>10</v>
      </c>
      <c r="O51" s="46" t="s">
        <v>46</v>
      </c>
      <c r="P51" s="99">
        <v>46102</v>
      </c>
      <c r="Q51" s="100">
        <f t="shared" si="7"/>
        <v>46286</v>
      </c>
      <c r="R51" s="63" t="s">
        <v>3412</v>
      </c>
      <c r="S51" s="63" t="s">
        <v>5067</v>
      </c>
      <c r="T51" s="7">
        <v>0.161</v>
      </c>
      <c r="U51" s="5" t="s">
        <v>10</v>
      </c>
      <c r="V51" s="7">
        <f t="shared" si="3"/>
        <v>0.161</v>
      </c>
      <c r="W51" s="5">
        <v>0.5</v>
      </c>
      <c r="X51" s="5" t="s">
        <v>55</v>
      </c>
      <c r="Y51" s="7" t="s">
        <v>56</v>
      </c>
      <c r="Z51" s="48" t="str">
        <f t="shared" si="4"/>
        <v>APROVADO</v>
      </c>
      <c r="AA51" s="47">
        <v>11599620</v>
      </c>
      <c r="AB51" s="5" t="s">
        <v>2603</v>
      </c>
      <c r="AC51" s="5" t="s">
        <v>48</v>
      </c>
      <c r="AD51" s="5" t="s">
        <v>5530</v>
      </c>
      <c r="AE51" s="5" t="str">
        <f t="shared" ca="1" si="8"/>
        <v>NO PRAZO</v>
      </c>
      <c r="AF51" s="49"/>
    </row>
    <row r="52" spans="1:32" ht="30" customHeight="1" x14ac:dyDescent="0.25">
      <c r="A52" s="9" t="s">
        <v>377</v>
      </c>
      <c r="B52" s="5" t="s">
        <v>10</v>
      </c>
      <c r="C52" s="5" t="s">
        <v>5862</v>
      </c>
      <c r="D52" s="61" t="s">
        <v>348</v>
      </c>
      <c r="E52" s="7" t="s">
        <v>40</v>
      </c>
      <c r="F52" s="7" t="s">
        <v>354</v>
      </c>
      <c r="G52" s="61" t="s">
        <v>355</v>
      </c>
      <c r="H52" s="61" t="s">
        <v>372</v>
      </c>
      <c r="I52" s="61" t="s">
        <v>370</v>
      </c>
      <c r="J52" s="62" t="s">
        <v>361</v>
      </c>
      <c r="K52" s="5" t="s">
        <v>45</v>
      </c>
      <c r="L52" s="5" t="s">
        <v>10</v>
      </c>
      <c r="M52" s="5" t="s">
        <v>10</v>
      </c>
      <c r="N52" s="5" t="s">
        <v>10</v>
      </c>
      <c r="O52" s="46" t="s">
        <v>46</v>
      </c>
      <c r="P52" s="99">
        <v>46102</v>
      </c>
      <c r="Q52" s="100">
        <f t="shared" si="7"/>
        <v>46286</v>
      </c>
      <c r="R52" s="63" t="s">
        <v>3425</v>
      </c>
      <c r="S52" s="63" t="s">
        <v>5070</v>
      </c>
      <c r="T52" s="7">
        <v>0.16</v>
      </c>
      <c r="U52" s="5" t="s">
        <v>10</v>
      </c>
      <c r="V52" s="7">
        <f t="shared" si="3"/>
        <v>0.16</v>
      </c>
      <c r="W52" s="5">
        <v>0.5</v>
      </c>
      <c r="X52" s="5" t="s">
        <v>55</v>
      </c>
      <c r="Y52" s="7" t="s">
        <v>56</v>
      </c>
      <c r="Z52" s="48" t="str">
        <f t="shared" si="4"/>
        <v>APROVADO</v>
      </c>
      <c r="AA52" s="47">
        <v>11599621</v>
      </c>
      <c r="AB52" s="5" t="s">
        <v>2604</v>
      </c>
      <c r="AC52" s="5" t="s">
        <v>48</v>
      </c>
      <c r="AD52" s="5" t="s">
        <v>5530</v>
      </c>
      <c r="AE52" s="5" t="str">
        <f t="shared" ca="1" si="8"/>
        <v>NO PRAZO</v>
      </c>
      <c r="AF52" s="49"/>
    </row>
    <row r="53" spans="1:32" ht="30" customHeight="1" x14ac:dyDescent="0.25">
      <c r="A53" s="9" t="s">
        <v>378</v>
      </c>
      <c r="B53" s="5" t="s">
        <v>10</v>
      </c>
      <c r="C53" s="5" t="s">
        <v>5862</v>
      </c>
      <c r="D53" s="61" t="s">
        <v>348</v>
      </c>
      <c r="E53" s="7" t="s">
        <v>40</v>
      </c>
      <c r="F53" s="7" t="s">
        <v>354</v>
      </c>
      <c r="G53" s="61" t="s">
        <v>355</v>
      </c>
      <c r="H53" s="61" t="s">
        <v>2097</v>
      </c>
      <c r="I53" s="61" t="s">
        <v>370</v>
      </c>
      <c r="J53" s="62" t="s">
        <v>361</v>
      </c>
      <c r="K53" s="5" t="s">
        <v>45</v>
      </c>
      <c r="L53" s="5" t="s">
        <v>10</v>
      </c>
      <c r="M53" s="5" t="s">
        <v>10</v>
      </c>
      <c r="N53" s="5" t="s">
        <v>10</v>
      </c>
      <c r="O53" s="46" t="s">
        <v>46</v>
      </c>
      <c r="P53" s="99">
        <v>46102</v>
      </c>
      <c r="Q53" s="100">
        <f t="shared" si="7"/>
        <v>46286</v>
      </c>
      <c r="R53" s="63" t="s">
        <v>3426</v>
      </c>
      <c r="S53" s="63" t="s">
        <v>5071</v>
      </c>
      <c r="T53" s="7">
        <v>0.16</v>
      </c>
      <c r="U53" s="5" t="s">
        <v>10</v>
      </c>
      <c r="V53" s="7">
        <f t="shared" si="3"/>
        <v>0.16</v>
      </c>
      <c r="W53" s="5">
        <v>0.5</v>
      </c>
      <c r="X53" s="5" t="s">
        <v>55</v>
      </c>
      <c r="Y53" s="7" t="s">
        <v>56</v>
      </c>
      <c r="Z53" s="48" t="str">
        <f t="shared" si="4"/>
        <v>APROVADO</v>
      </c>
      <c r="AA53" s="47">
        <v>11599622</v>
      </c>
      <c r="AB53" s="5" t="s">
        <v>2605</v>
      </c>
      <c r="AC53" s="5" t="s">
        <v>48</v>
      </c>
      <c r="AD53" s="5" t="s">
        <v>5530</v>
      </c>
      <c r="AE53" s="5" t="str">
        <f t="shared" ca="1" si="8"/>
        <v>NO PRAZO</v>
      </c>
      <c r="AF53" s="49"/>
    </row>
    <row r="54" spans="1:32" ht="30" customHeight="1" x14ac:dyDescent="0.25">
      <c r="A54" s="9" t="s">
        <v>379</v>
      </c>
      <c r="B54" s="5" t="s">
        <v>10</v>
      </c>
      <c r="C54" s="5" t="s">
        <v>5862</v>
      </c>
      <c r="D54" s="61" t="s">
        <v>348</v>
      </c>
      <c r="E54" s="7" t="s">
        <v>40</v>
      </c>
      <c r="F54" s="7" t="s">
        <v>354</v>
      </c>
      <c r="G54" s="61" t="s">
        <v>355</v>
      </c>
      <c r="H54" s="61" t="s">
        <v>376</v>
      </c>
      <c r="I54" s="61" t="s">
        <v>370</v>
      </c>
      <c r="J54" s="62" t="s">
        <v>361</v>
      </c>
      <c r="K54" s="5" t="s">
        <v>45</v>
      </c>
      <c r="L54" s="5" t="s">
        <v>10</v>
      </c>
      <c r="M54" s="5" t="s">
        <v>10</v>
      </c>
      <c r="N54" s="5" t="s">
        <v>10</v>
      </c>
      <c r="O54" s="46" t="s">
        <v>46</v>
      </c>
      <c r="P54" s="147">
        <v>46102</v>
      </c>
      <c r="Q54" s="100">
        <f t="shared" si="7"/>
        <v>46286</v>
      </c>
      <c r="R54" s="63" t="s">
        <v>3427</v>
      </c>
      <c r="S54" s="63" t="s">
        <v>5072</v>
      </c>
      <c r="T54" s="7">
        <v>0.18</v>
      </c>
      <c r="U54" s="5" t="s">
        <v>10</v>
      </c>
      <c r="V54" s="7">
        <f t="shared" si="3"/>
        <v>0.18</v>
      </c>
      <c r="W54" s="5">
        <v>0.5</v>
      </c>
      <c r="X54" s="5" t="s">
        <v>55</v>
      </c>
      <c r="Y54" s="7" t="s">
        <v>56</v>
      </c>
      <c r="Z54" s="48" t="str">
        <f t="shared" si="4"/>
        <v>APROVADO</v>
      </c>
      <c r="AA54" s="47">
        <v>11599625</v>
      </c>
      <c r="AB54" s="5" t="s">
        <v>2606</v>
      </c>
      <c r="AC54" s="5" t="s">
        <v>48</v>
      </c>
      <c r="AD54" s="5" t="s">
        <v>5530</v>
      </c>
      <c r="AE54" s="5" t="str">
        <f t="shared" ca="1" si="8"/>
        <v>NO PRAZO</v>
      </c>
      <c r="AF54" s="49"/>
    </row>
    <row r="55" spans="1:32" ht="30" customHeight="1" x14ac:dyDescent="0.25">
      <c r="A55" s="9" t="s">
        <v>425</v>
      </c>
      <c r="B55" s="5" t="s">
        <v>10</v>
      </c>
      <c r="C55" s="5" t="s">
        <v>5862</v>
      </c>
      <c r="D55" s="5" t="s">
        <v>348</v>
      </c>
      <c r="E55" s="7" t="s">
        <v>40</v>
      </c>
      <c r="F55" s="7" t="s">
        <v>354</v>
      </c>
      <c r="G55" s="61" t="s">
        <v>403</v>
      </c>
      <c r="H55" s="61" t="s">
        <v>10</v>
      </c>
      <c r="I55" s="61" t="s">
        <v>626</v>
      </c>
      <c r="J55" s="62" t="s">
        <v>426</v>
      </c>
      <c r="K55" s="5" t="s">
        <v>45</v>
      </c>
      <c r="L55" s="5" t="s">
        <v>10</v>
      </c>
      <c r="M55" s="5" t="s">
        <v>10</v>
      </c>
      <c r="N55" s="5" t="s">
        <v>10</v>
      </c>
      <c r="O55" s="46" t="s">
        <v>46</v>
      </c>
      <c r="P55" s="99">
        <v>46071</v>
      </c>
      <c r="Q55" s="100">
        <f t="shared" ref="Q55:Q60" si="9">IF(P55="","",P55+181)</f>
        <v>46252</v>
      </c>
      <c r="R55" s="63" t="s">
        <v>3525</v>
      </c>
      <c r="S55" s="63" t="s">
        <v>4892</v>
      </c>
      <c r="T55" s="7">
        <v>0.16</v>
      </c>
      <c r="U55" s="5" t="s">
        <v>10</v>
      </c>
      <c r="V55" s="7">
        <f t="shared" si="3"/>
        <v>0.16</v>
      </c>
      <c r="W55" s="5">
        <v>0.5</v>
      </c>
      <c r="X55" s="5" t="s">
        <v>55</v>
      </c>
      <c r="Y55" s="7" t="s">
        <v>56</v>
      </c>
      <c r="Z55" s="48" t="str">
        <f t="shared" si="4"/>
        <v>APROVADO</v>
      </c>
      <c r="AA55" s="47">
        <v>11599908</v>
      </c>
      <c r="AB55" s="5" t="s">
        <v>2735</v>
      </c>
      <c r="AC55" s="5" t="s">
        <v>48</v>
      </c>
      <c r="AD55" s="5" t="s">
        <v>5530</v>
      </c>
      <c r="AE55" s="5" t="str">
        <f t="shared" ca="1" si="8"/>
        <v>CALIBRAR</v>
      </c>
      <c r="AF55" s="49"/>
    </row>
    <row r="56" spans="1:32" ht="30" customHeight="1" x14ac:dyDescent="0.25">
      <c r="A56" s="9" t="s">
        <v>427</v>
      </c>
      <c r="B56" s="5" t="s">
        <v>10</v>
      </c>
      <c r="C56" s="5" t="s">
        <v>5862</v>
      </c>
      <c r="D56" s="5" t="s">
        <v>348</v>
      </c>
      <c r="E56" s="7" t="s">
        <v>40</v>
      </c>
      <c r="F56" s="7" t="s">
        <v>354</v>
      </c>
      <c r="G56" s="61" t="s">
        <v>403</v>
      </c>
      <c r="H56" s="61" t="s">
        <v>10</v>
      </c>
      <c r="I56" s="61" t="s">
        <v>370</v>
      </c>
      <c r="J56" s="62" t="s">
        <v>426</v>
      </c>
      <c r="K56" s="5" t="s">
        <v>45</v>
      </c>
      <c r="L56" s="5" t="s">
        <v>10</v>
      </c>
      <c r="M56" s="5" t="s">
        <v>10</v>
      </c>
      <c r="N56" s="5" t="s">
        <v>10</v>
      </c>
      <c r="O56" s="46" t="s">
        <v>46</v>
      </c>
      <c r="P56" s="99">
        <v>46071</v>
      </c>
      <c r="Q56" s="100">
        <f t="shared" si="9"/>
        <v>46252</v>
      </c>
      <c r="R56" s="63" t="s">
        <v>3526</v>
      </c>
      <c r="S56" s="63" t="s">
        <v>4893</v>
      </c>
      <c r="T56" s="7">
        <v>0.159</v>
      </c>
      <c r="U56" s="5" t="s">
        <v>10</v>
      </c>
      <c r="V56" s="7">
        <f t="shared" si="3"/>
        <v>0.159</v>
      </c>
      <c r="W56" s="5">
        <v>0.5</v>
      </c>
      <c r="X56" s="5" t="s">
        <v>55</v>
      </c>
      <c r="Y56" s="7" t="s">
        <v>56</v>
      </c>
      <c r="Z56" s="48" t="str">
        <f t="shared" si="4"/>
        <v>APROVADO</v>
      </c>
      <c r="AA56" s="47">
        <v>11601334</v>
      </c>
      <c r="AB56" s="5" t="s">
        <v>2736</v>
      </c>
      <c r="AC56" s="5" t="s">
        <v>48</v>
      </c>
      <c r="AD56" s="5" t="s">
        <v>5530</v>
      </c>
      <c r="AE56" s="5" t="str">
        <f t="shared" ca="1" si="8"/>
        <v>CALIBRAR</v>
      </c>
      <c r="AF56" s="49"/>
    </row>
    <row r="57" spans="1:32" ht="30" customHeight="1" x14ac:dyDescent="0.25">
      <c r="A57" s="11" t="s">
        <v>428</v>
      </c>
      <c r="B57" s="5" t="s">
        <v>10</v>
      </c>
      <c r="C57" s="5" t="s">
        <v>5862</v>
      </c>
      <c r="D57" s="5" t="s">
        <v>348</v>
      </c>
      <c r="E57" s="7" t="s">
        <v>40</v>
      </c>
      <c r="F57" s="7" t="s">
        <v>354</v>
      </c>
      <c r="G57" s="64" t="s">
        <v>406</v>
      </c>
      <c r="H57" s="64" t="s">
        <v>10</v>
      </c>
      <c r="I57" s="64" t="s">
        <v>370</v>
      </c>
      <c r="J57" s="62" t="s">
        <v>426</v>
      </c>
      <c r="K57" s="5" t="s">
        <v>45</v>
      </c>
      <c r="L57" s="5" t="s">
        <v>10</v>
      </c>
      <c r="M57" s="5" t="s">
        <v>10</v>
      </c>
      <c r="N57" s="5" t="s">
        <v>10</v>
      </c>
      <c r="O57" s="46" t="s">
        <v>46</v>
      </c>
      <c r="P57" s="108">
        <v>46071</v>
      </c>
      <c r="Q57" s="100">
        <f t="shared" si="9"/>
        <v>46252</v>
      </c>
      <c r="R57" s="63" t="s">
        <v>3527</v>
      </c>
      <c r="S57" s="63" t="s">
        <v>4894</v>
      </c>
      <c r="T57" s="7">
        <v>0.159</v>
      </c>
      <c r="U57" s="5" t="s">
        <v>10</v>
      </c>
      <c r="V57" s="7">
        <f t="shared" si="3"/>
        <v>0.159</v>
      </c>
      <c r="W57" s="5">
        <v>0.5</v>
      </c>
      <c r="X57" s="5" t="s">
        <v>55</v>
      </c>
      <c r="Y57" s="7" t="s">
        <v>56</v>
      </c>
      <c r="Z57" s="48" t="str">
        <f t="shared" si="4"/>
        <v>APROVADO</v>
      </c>
      <c r="AA57" s="47">
        <v>11599909</v>
      </c>
      <c r="AB57" s="5" t="s">
        <v>2737</v>
      </c>
      <c r="AC57" s="5" t="s">
        <v>48</v>
      </c>
      <c r="AD57" s="5" t="s">
        <v>5530</v>
      </c>
      <c r="AE57" s="5" t="str">
        <f t="shared" ca="1" si="8"/>
        <v>CALIBRAR</v>
      </c>
      <c r="AF57" s="49"/>
    </row>
    <row r="58" spans="1:32" ht="30" customHeight="1" x14ac:dyDescent="0.25">
      <c r="A58" s="9" t="s">
        <v>429</v>
      </c>
      <c r="B58" s="5" t="s">
        <v>10</v>
      </c>
      <c r="C58" s="5" t="s">
        <v>5862</v>
      </c>
      <c r="D58" s="5" t="s">
        <v>348</v>
      </c>
      <c r="E58" s="7" t="s">
        <v>40</v>
      </c>
      <c r="F58" s="7" t="s">
        <v>354</v>
      </c>
      <c r="G58" s="61" t="s">
        <v>406</v>
      </c>
      <c r="H58" s="61" t="s">
        <v>10</v>
      </c>
      <c r="I58" s="61" t="s">
        <v>370</v>
      </c>
      <c r="J58" s="62" t="s">
        <v>426</v>
      </c>
      <c r="K58" s="5" t="s">
        <v>45</v>
      </c>
      <c r="L58" s="5" t="s">
        <v>10</v>
      </c>
      <c r="M58" s="5" t="s">
        <v>10</v>
      </c>
      <c r="N58" s="5" t="s">
        <v>10</v>
      </c>
      <c r="O58" s="46" t="s">
        <v>46</v>
      </c>
      <c r="P58" s="99">
        <v>46071</v>
      </c>
      <c r="Q58" s="100">
        <f t="shared" si="9"/>
        <v>46252</v>
      </c>
      <c r="R58" s="63" t="s">
        <v>3528</v>
      </c>
      <c r="S58" s="63" t="s">
        <v>4895</v>
      </c>
      <c r="T58" s="7">
        <v>0.16</v>
      </c>
      <c r="U58" s="5" t="s">
        <v>10</v>
      </c>
      <c r="V58" s="7">
        <f t="shared" si="3"/>
        <v>0.16</v>
      </c>
      <c r="W58" s="5">
        <v>0.5</v>
      </c>
      <c r="X58" s="5" t="s">
        <v>55</v>
      </c>
      <c r="Y58" s="7" t="s">
        <v>56</v>
      </c>
      <c r="Z58" s="48" t="str">
        <f t="shared" si="4"/>
        <v>APROVADO</v>
      </c>
      <c r="AA58" s="47">
        <v>11599910</v>
      </c>
      <c r="AB58" s="5" t="s">
        <v>2738</v>
      </c>
      <c r="AC58" s="5" t="s">
        <v>48</v>
      </c>
      <c r="AD58" s="5" t="s">
        <v>5530</v>
      </c>
      <c r="AE58" s="5" t="str">
        <f t="shared" ca="1" si="8"/>
        <v>CALIBRAR</v>
      </c>
      <c r="AF58" s="49"/>
    </row>
    <row r="59" spans="1:32" ht="30" customHeight="1" x14ac:dyDescent="0.25">
      <c r="A59" s="9" t="s">
        <v>430</v>
      </c>
      <c r="B59" s="5" t="s">
        <v>10</v>
      </c>
      <c r="C59" s="5" t="s">
        <v>5862</v>
      </c>
      <c r="D59" s="5" t="s">
        <v>348</v>
      </c>
      <c r="E59" s="7" t="s">
        <v>40</v>
      </c>
      <c r="F59" s="7" t="s">
        <v>354</v>
      </c>
      <c r="G59" s="61" t="s">
        <v>413</v>
      </c>
      <c r="H59" s="61" t="s">
        <v>10</v>
      </c>
      <c r="I59" s="61" t="s">
        <v>370</v>
      </c>
      <c r="J59" s="62" t="s">
        <v>426</v>
      </c>
      <c r="K59" s="5" t="s">
        <v>45</v>
      </c>
      <c r="L59" s="5" t="s">
        <v>10</v>
      </c>
      <c r="M59" s="5" t="s">
        <v>10</v>
      </c>
      <c r="N59" s="5" t="s">
        <v>10</v>
      </c>
      <c r="O59" s="46" t="s">
        <v>46</v>
      </c>
      <c r="P59" s="99">
        <v>46071</v>
      </c>
      <c r="Q59" s="100">
        <f t="shared" si="9"/>
        <v>46252</v>
      </c>
      <c r="R59" s="63" t="s">
        <v>3529</v>
      </c>
      <c r="S59" s="63" t="s">
        <v>4896</v>
      </c>
      <c r="T59" s="7">
        <v>0.159</v>
      </c>
      <c r="U59" s="5" t="s">
        <v>10</v>
      </c>
      <c r="V59" s="7">
        <f t="shared" si="3"/>
        <v>0.159</v>
      </c>
      <c r="W59" s="5">
        <v>0.5</v>
      </c>
      <c r="X59" s="5" t="s">
        <v>55</v>
      </c>
      <c r="Y59" s="7" t="s">
        <v>56</v>
      </c>
      <c r="Z59" s="48" t="str">
        <f t="shared" si="4"/>
        <v>APROVADO</v>
      </c>
      <c r="AA59" s="47">
        <v>11599911</v>
      </c>
      <c r="AB59" s="5" t="s">
        <v>2739</v>
      </c>
      <c r="AC59" s="5" t="s">
        <v>48</v>
      </c>
      <c r="AD59" s="5" t="s">
        <v>5530</v>
      </c>
      <c r="AE59" s="5" t="str">
        <f t="shared" ca="1" si="8"/>
        <v>CALIBRAR</v>
      </c>
      <c r="AF59" s="49"/>
    </row>
    <row r="60" spans="1:32" ht="30" customHeight="1" x14ac:dyDescent="0.25">
      <c r="A60" s="9" t="s">
        <v>431</v>
      </c>
      <c r="B60" s="9" t="s">
        <v>10</v>
      </c>
      <c r="C60" s="5" t="s">
        <v>5862</v>
      </c>
      <c r="D60" s="5" t="s">
        <v>348</v>
      </c>
      <c r="E60" s="7" t="s">
        <v>40</v>
      </c>
      <c r="F60" s="7" t="s">
        <v>354</v>
      </c>
      <c r="G60" s="61" t="s">
        <v>413</v>
      </c>
      <c r="H60" s="61" t="s">
        <v>10</v>
      </c>
      <c r="I60" s="61" t="s">
        <v>370</v>
      </c>
      <c r="J60" s="62" t="s">
        <v>426</v>
      </c>
      <c r="K60" s="5" t="s">
        <v>45</v>
      </c>
      <c r="L60" s="5" t="s">
        <v>10</v>
      </c>
      <c r="M60" s="5" t="s">
        <v>10</v>
      </c>
      <c r="N60" s="5" t="s">
        <v>10</v>
      </c>
      <c r="O60" s="46" t="s">
        <v>46</v>
      </c>
      <c r="P60" s="99">
        <v>46071</v>
      </c>
      <c r="Q60" s="100">
        <f t="shared" si="9"/>
        <v>46252</v>
      </c>
      <c r="R60" s="63" t="s">
        <v>3530</v>
      </c>
      <c r="S60" s="63" t="s">
        <v>4897</v>
      </c>
      <c r="T60" s="7">
        <v>0.159</v>
      </c>
      <c r="U60" s="5" t="s">
        <v>10</v>
      </c>
      <c r="V60" s="7">
        <f t="shared" si="3"/>
        <v>0.159</v>
      </c>
      <c r="W60" s="5">
        <v>0.5</v>
      </c>
      <c r="X60" s="5" t="s">
        <v>55</v>
      </c>
      <c r="Y60" s="7" t="s">
        <v>56</v>
      </c>
      <c r="Z60" s="48" t="str">
        <f t="shared" si="4"/>
        <v>APROVADO</v>
      </c>
      <c r="AA60" s="47">
        <v>11599912</v>
      </c>
      <c r="AB60" s="5" t="s">
        <v>2740</v>
      </c>
      <c r="AC60" s="5" t="s">
        <v>48</v>
      </c>
      <c r="AD60" s="5" t="s">
        <v>5530</v>
      </c>
      <c r="AE60" s="5" t="str">
        <f t="shared" ca="1" si="8"/>
        <v>CALIBRAR</v>
      </c>
      <c r="AF60" s="49"/>
    </row>
    <row r="61" spans="1:32" ht="30" customHeight="1" x14ac:dyDescent="0.25">
      <c r="A61" s="9" t="s">
        <v>432</v>
      </c>
      <c r="B61" s="5" t="s">
        <v>10</v>
      </c>
      <c r="C61" s="5" t="s">
        <v>5862</v>
      </c>
      <c r="D61" s="5" t="s">
        <v>348</v>
      </c>
      <c r="E61" s="7" t="s">
        <v>40</v>
      </c>
      <c r="F61" s="7" t="s">
        <v>354</v>
      </c>
      <c r="G61" s="61" t="s">
        <v>408</v>
      </c>
      <c r="H61" s="61" t="s">
        <v>10</v>
      </c>
      <c r="I61" s="61" t="s">
        <v>370</v>
      </c>
      <c r="J61" s="62" t="s">
        <v>426</v>
      </c>
      <c r="K61" s="5" t="s">
        <v>45</v>
      </c>
      <c r="L61" s="5" t="s">
        <v>10</v>
      </c>
      <c r="M61" s="5" t="s">
        <v>10</v>
      </c>
      <c r="N61" s="5" t="s">
        <v>10</v>
      </c>
      <c r="O61" s="46" t="s">
        <v>46</v>
      </c>
      <c r="P61" s="100">
        <v>46116</v>
      </c>
      <c r="Q61" s="100">
        <f>IF(P61="","",P61+183)</f>
        <v>46299</v>
      </c>
      <c r="R61" s="63" t="s">
        <v>3567</v>
      </c>
      <c r="S61" s="63" t="s">
        <v>5201</v>
      </c>
      <c r="T61" s="7">
        <v>0.159</v>
      </c>
      <c r="U61" s="5" t="s">
        <v>10</v>
      </c>
      <c r="V61" s="7">
        <f t="shared" si="3"/>
        <v>0.159</v>
      </c>
      <c r="W61" s="5">
        <v>0.5</v>
      </c>
      <c r="X61" s="5" t="s">
        <v>55</v>
      </c>
      <c r="Y61" s="7" t="s">
        <v>56</v>
      </c>
      <c r="Z61" s="48" t="str">
        <f t="shared" si="4"/>
        <v>APROVADO</v>
      </c>
      <c r="AA61" s="47">
        <v>11603583</v>
      </c>
      <c r="AB61" s="5" t="s">
        <v>2768</v>
      </c>
      <c r="AC61" s="5" t="s">
        <v>48</v>
      </c>
      <c r="AD61" s="5" t="s">
        <v>5530</v>
      </c>
      <c r="AE61" s="5" t="str">
        <f t="shared" ca="1" si="8"/>
        <v>NO PRAZO</v>
      </c>
      <c r="AF61" s="49"/>
    </row>
    <row r="62" spans="1:32" ht="30" customHeight="1" x14ac:dyDescent="0.25">
      <c r="A62" s="9" t="s">
        <v>433</v>
      </c>
      <c r="B62" s="5" t="s">
        <v>10</v>
      </c>
      <c r="C62" s="5" t="s">
        <v>5862</v>
      </c>
      <c r="D62" s="5" t="s">
        <v>348</v>
      </c>
      <c r="E62" s="7" t="s">
        <v>40</v>
      </c>
      <c r="F62" s="7" t="s">
        <v>354</v>
      </c>
      <c r="G62" s="61" t="s">
        <v>415</v>
      </c>
      <c r="H62" s="61" t="s">
        <v>10</v>
      </c>
      <c r="I62" s="61" t="s">
        <v>370</v>
      </c>
      <c r="J62" s="62" t="s">
        <v>426</v>
      </c>
      <c r="K62" s="5" t="s">
        <v>45</v>
      </c>
      <c r="L62" s="5" t="s">
        <v>10</v>
      </c>
      <c r="M62" s="5" t="s">
        <v>10</v>
      </c>
      <c r="N62" s="5" t="s">
        <v>10</v>
      </c>
      <c r="O62" s="46" t="s">
        <v>46</v>
      </c>
      <c r="P62" s="99">
        <v>46071</v>
      </c>
      <c r="Q62" s="100">
        <f t="shared" ref="Q62:Q67" si="10">IF(P62="","",P62+181)</f>
        <v>46252</v>
      </c>
      <c r="R62" s="63" t="s">
        <v>3560</v>
      </c>
      <c r="S62" s="63" t="s">
        <v>4898</v>
      </c>
      <c r="T62" s="7">
        <v>0.159</v>
      </c>
      <c r="U62" s="5" t="s">
        <v>10</v>
      </c>
      <c r="V62" s="7">
        <f t="shared" si="3"/>
        <v>0.159</v>
      </c>
      <c r="W62" s="5">
        <v>0.5</v>
      </c>
      <c r="X62" s="5" t="s">
        <v>55</v>
      </c>
      <c r="Y62" s="7" t="s">
        <v>56</v>
      </c>
      <c r="Z62" s="48" t="str">
        <f t="shared" si="4"/>
        <v>APROVADO</v>
      </c>
      <c r="AA62" s="47">
        <v>11599915</v>
      </c>
      <c r="AB62" s="5" t="s">
        <v>2741</v>
      </c>
      <c r="AC62" s="5" t="s">
        <v>48</v>
      </c>
      <c r="AD62" s="5" t="s">
        <v>5530</v>
      </c>
      <c r="AE62" s="5" t="str">
        <f t="shared" ca="1" si="8"/>
        <v>CALIBRAR</v>
      </c>
      <c r="AF62" s="49"/>
    </row>
    <row r="63" spans="1:32" ht="30" customHeight="1" x14ac:dyDescent="0.25">
      <c r="A63" s="9" t="s">
        <v>434</v>
      </c>
      <c r="B63" s="5" t="s">
        <v>10</v>
      </c>
      <c r="C63" s="5" t="s">
        <v>5862</v>
      </c>
      <c r="D63" s="5" t="s">
        <v>348</v>
      </c>
      <c r="E63" s="7" t="s">
        <v>40</v>
      </c>
      <c r="F63" s="7" t="s">
        <v>354</v>
      </c>
      <c r="G63" s="61" t="s">
        <v>415</v>
      </c>
      <c r="H63" s="61" t="s">
        <v>10</v>
      </c>
      <c r="I63" s="61" t="s">
        <v>370</v>
      </c>
      <c r="J63" s="62" t="s">
        <v>426</v>
      </c>
      <c r="K63" s="5" t="s">
        <v>45</v>
      </c>
      <c r="L63" s="5" t="s">
        <v>10</v>
      </c>
      <c r="M63" s="5" t="s">
        <v>10</v>
      </c>
      <c r="N63" s="5" t="s">
        <v>10</v>
      </c>
      <c r="O63" s="46" t="s">
        <v>46</v>
      </c>
      <c r="P63" s="99">
        <v>46071</v>
      </c>
      <c r="Q63" s="100">
        <f t="shared" si="10"/>
        <v>46252</v>
      </c>
      <c r="R63" s="63" t="s">
        <v>3561</v>
      </c>
      <c r="S63" s="63" t="s">
        <v>4899</v>
      </c>
      <c r="T63" s="7">
        <v>0.16</v>
      </c>
      <c r="U63" s="5" t="s">
        <v>10</v>
      </c>
      <c r="V63" s="7">
        <f t="shared" si="3"/>
        <v>0.16</v>
      </c>
      <c r="W63" s="5">
        <v>0.5</v>
      </c>
      <c r="X63" s="5" t="s">
        <v>55</v>
      </c>
      <c r="Y63" s="7" t="s">
        <v>56</v>
      </c>
      <c r="Z63" s="48" t="str">
        <f t="shared" si="4"/>
        <v>APROVADO</v>
      </c>
      <c r="AA63" s="47">
        <v>11599916</v>
      </c>
      <c r="AB63" s="5" t="s">
        <v>2742</v>
      </c>
      <c r="AC63" s="5" t="s">
        <v>48</v>
      </c>
      <c r="AD63" s="5" t="s">
        <v>5530</v>
      </c>
      <c r="AE63" s="5" t="str">
        <f t="shared" ca="1" si="8"/>
        <v>CALIBRAR</v>
      </c>
      <c r="AF63" s="49"/>
    </row>
    <row r="64" spans="1:32" ht="30" customHeight="1" x14ac:dyDescent="0.25">
      <c r="A64" s="9" t="s">
        <v>435</v>
      </c>
      <c r="B64" s="5" t="s">
        <v>10</v>
      </c>
      <c r="C64" s="5" t="s">
        <v>5862</v>
      </c>
      <c r="D64" s="5" t="s">
        <v>348</v>
      </c>
      <c r="E64" s="7" t="s">
        <v>40</v>
      </c>
      <c r="F64" s="7" t="s">
        <v>354</v>
      </c>
      <c r="G64" s="61" t="s">
        <v>418</v>
      </c>
      <c r="H64" s="61" t="s">
        <v>10</v>
      </c>
      <c r="I64" s="61" t="s">
        <v>370</v>
      </c>
      <c r="J64" s="62" t="s">
        <v>426</v>
      </c>
      <c r="K64" s="5" t="s">
        <v>45</v>
      </c>
      <c r="L64" s="5" t="s">
        <v>10</v>
      </c>
      <c r="M64" s="5" t="s">
        <v>10</v>
      </c>
      <c r="N64" s="5" t="s">
        <v>10</v>
      </c>
      <c r="O64" s="46" t="s">
        <v>46</v>
      </c>
      <c r="P64" s="99">
        <v>46071</v>
      </c>
      <c r="Q64" s="100">
        <f t="shared" si="10"/>
        <v>46252</v>
      </c>
      <c r="R64" s="63" t="s">
        <v>3562</v>
      </c>
      <c r="S64" s="63" t="s">
        <v>4900</v>
      </c>
      <c r="T64" s="7">
        <v>0.159</v>
      </c>
      <c r="U64" s="5" t="s">
        <v>10</v>
      </c>
      <c r="V64" s="7">
        <f t="shared" si="3"/>
        <v>0.159</v>
      </c>
      <c r="W64" s="5">
        <v>0.5</v>
      </c>
      <c r="X64" s="5" t="s">
        <v>55</v>
      </c>
      <c r="Y64" s="7" t="s">
        <v>56</v>
      </c>
      <c r="Z64" s="48" t="str">
        <f t="shared" si="4"/>
        <v>APROVADO</v>
      </c>
      <c r="AA64" s="47">
        <v>11599917</v>
      </c>
      <c r="AB64" s="5" t="s">
        <v>2743</v>
      </c>
      <c r="AC64" s="5" t="s">
        <v>48</v>
      </c>
      <c r="AD64" s="5" t="s">
        <v>5530</v>
      </c>
      <c r="AE64" s="5" t="str">
        <f t="shared" ca="1" si="8"/>
        <v>CALIBRAR</v>
      </c>
      <c r="AF64" s="49"/>
    </row>
    <row r="65" spans="1:32" ht="30" customHeight="1" x14ac:dyDescent="0.25">
      <c r="A65" s="9" t="s">
        <v>436</v>
      </c>
      <c r="B65" s="5" t="s">
        <v>10</v>
      </c>
      <c r="C65" s="5" t="s">
        <v>5862</v>
      </c>
      <c r="D65" s="5" t="s">
        <v>348</v>
      </c>
      <c r="E65" s="7" t="s">
        <v>40</v>
      </c>
      <c r="F65" s="7" t="s">
        <v>354</v>
      </c>
      <c r="G65" s="61" t="s">
        <v>418</v>
      </c>
      <c r="H65" s="61" t="s">
        <v>10</v>
      </c>
      <c r="I65" s="61" t="s">
        <v>370</v>
      </c>
      <c r="J65" s="62" t="s">
        <v>426</v>
      </c>
      <c r="K65" s="5" t="s">
        <v>45</v>
      </c>
      <c r="L65" s="5" t="s">
        <v>10</v>
      </c>
      <c r="M65" s="5" t="s">
        <v>10</v>
      </c>
      <c r="N65" s="5" t="s">
        <v>10</v>
      </c>
      <c r="O65" s="46" t="s">
        <v>46</v>
      </c>
      <c r="P65" s="99">
        <v>46071</v>
      </c>
      <c r="Q65" s="100">
        <f t="shared" si="10"/>
        <v>46252</v>
      </c>
      <c r="R65" s="63" t="s">
        <v>3563</v>
      </c>
      <c r="S65" s="63" t="s">
        <v>4901</v>
      </c>
      <c r="T65" s="7">
        <v>0.16</v>
      </c>
      <c r="U65" s="5" t="s">
        <v>10</v>
      </c>
      <c r="V65" s="7">
        <f t="shared" si="3"/>
        <v>0.16</v>
      </c>
      <c r="W65" s="5">
        <v>0.5</v>
      </c>
      <c r="X65" s="5" t="s">
        <v>55</v>
      </c>
      <c r="Y65" s="7" t="s">
        <v>56</v>
      </c>
      <c r="Z65" s="48" t="str">
        <f t="shared" si="4"/>
        <v>APROVADO</v>
      </c>
      <c r="AA65" s="47">
        <v>11599918</v>
      </c>
      <c r="AB65" s="5" t="s">
        <v>2744</v>
      </c>
      <c r="AC65" s="5" t="s">
        <v>48</v>
      </c>
      <c r="AD65" s="5" t="s">
        <v>5530</v>
      </c>
      <c r="AE65" s="5" t="str">
        <f t="shared" ca="1" si="8"/>
        <v>CALIBRAR</v>
      </c>
      <c r="AF65" s="49"/>
    </row>
    <row r="66" spans="1:32" ht="30" customHeight="1" x14ac:dyDescent="0.25">
      <c r="A66" s="9" t="s">
        <v>437</v>
      </c>
      <c r="B66" s="5" t="s">
        <v>10</v>
      </c>
      <c r="C66" s="5" t="s">
        <v>5862</v>
      </c>
      <c r="D66" s="5" t="s">
        <v>348</v>
      </c>
      <c r="E66" s="7" t="s">
        <v>40</v>
      </c>
      <c r="F66" s="7" t="s">
        <v>354</v>
      </c>
      <c r="G66" s="61" t="s">
        <v>421</v>
      </c>
      <c r="H66" s="61" t="s">
        <v>10</v>
      </c>
      <c r="I66" s="61" t="s">
        <v>370</v>
      </c>
      <c r="J66" s="62" t="s">
        <v>426</v>
      </c>
      <c r="K66" s="5" t="s">
        <v>45</v>
      </c>
      <c r="L66" s="5" t="s">
        <v>10</v>
      </c>
      <c r="M66" s="5" t="s">
        <v>10</v>
      </c>
      <c r="N66" s="5" t="s">
        <v>10</v>
      </c>
      <c r="O66" s="46" t="s">
        <v>46</v>
      </c>
      <c r="P66" s="99">
        <v>46071</v>
      </c>
      <c r="Q66" s="100">
        <f t="shared" si="10"/>
        <v>46252</v>
      </c>
      <c r="R66" s="63" t="s">
        <v>3564</v>
      </c>
      <c r="S66" s="63" t="s">
        <v>4902</v>
      </c>
      <c r="T66" s="7">
        <v>0.159</v>
      </c>
      <c r="U66" s="5" t="s">
        <v>10</v>
      </c>
      <c r="V66" s="7">
        <f t="shared" si="3"/>
        <v>0.159</v>
      </c>
      <c r="W66" s="5">
        <v>0.5</v>
      </c>
      <c r="X66" s="5" t="s">
        <v>55</v>
      </c>
      <c r="Y66" s="7" t="s">
        <v>56</v>
      </c>
      <c r="Z66" s="48" t="str">
        <f t="shared" si="4"/>
        <v>APROVADO</v>
      </c>
      <c r="AA66" s="47">
        <v>11599919</v>
      </c>
      <c r="AB66" s="5" t="s">
        <v>2745</v>
      </c>
      <c r="AC66" s="5" t="s">
        <v>48</v>
      </c>
      <c r="AD66" s="5" t="s">
        <v>5530</v>
      </c>
      <c r="AE66" s="5" t="str">
        <f t="shared" ca="1" si="8"/>
        <v>CALIBRAR</v>
      </c>
      <c r="AF66" s="49"/>
    </row>
    <row r="67" spans="1:32" ht="30" customHeight="1" x14ac:dyDescent="0.25">
      <c r="A67" s="9" t="s">
        <v>438</v>
      </c>
      <c r="B67" s="5" t="s">
        <v>10</v>
      </c>
      <c r="C67" s="5" t="s">
        <v>5862</v>
      </c>
      <c r="D67" s="5" t="s">
        <v>348</v>
      </c>
      <c r="E67" s="7" t="s">
        <v>40</v>
      </c>
      <c r="F67" s="7" t="s">
        <v>354</v>
      </c>
      <c r="G67" s="61" t="s">
        <v>421</v>
      </c>
      <c r="H67" s="61" t="s">
        <v>10</v>
      </c>
      <c r="I67" s="61" t="s">
        <v>370</v>
      </c>
      <c r="J67" s="62" t="s">
        <v>426</v>
      </c>
      <c r="K67" s="5" t="s">
        <v>45</v>
      </c>
      <c r="L67" s="5" t="s">
        <v>10</v>
      </c>
      <c r="M67" s="5" t="s">
        <v>10</v>
      </c>
      <c r="N67" s="5" t="s">
        <v>10</v>
      </c>
      <c r="O67" s="46" t="s">
        <v>46</v>
      </c>
      <c r="P67" s="99">
        <v>46071</v>
      </c>
      <c r="Q67" s="100">
        <f t="shared" si="10"/>
        <v>46252</v>
      </c>
      <c r="R67" s="63" t="s">
        <v>3565</v>
      </c>
      <c r="S67" s="63" t="s">
        <v>4903</v>
      </c>
      <c r="T67" s="7">
        <v>0.16</v>
      </c>
      <c r="U67" s="5" t="s">
        <v>10</v>
      </c>
      <c r="V67" s="7">
        <f t="shared" si="3"/>
        <v>0.16</v>
      </c>
      <c r="W67" s="5">
        <v>0.5</v>
      </c>
      <c r="X67" s="5" t="s">
        <v>55</v>
      </c>
      <c r="Y67" s="7" t="s">
        <v>56</v>
      </c>
      <c r="Z67" s="48" t="str">
        <f t="shared" si="4"/>
        <v>APROVADO</v>
      </c>
      <c r="AA67" s="47">
        <v>11599920</v>
      </c>
      <c r="AB67" s="5" t="s">
        <v>2746</v>
      </c>
      <c r="AC67" s="5" t="s">
        <v>48</v>
      </c>
      <c r="AD67" s="5" t="s">
        <v>5530</v>
      </c>
      <c r="AE67" s="5" t="str">
        <f t="shared" ca="1" si="8"/>
        <v>CALIBRAR</v>
      </c>
      <c r="AF67" s="49"/>
    </row>
    <row r="68" spans="1:32" ht="30" customHeight="1" x14ac:dyDescent="0.25">
      <c r="A68" s="9" t="s">
        <v>439</v>
      </c>
      <c r="B68" s="5" t="s">
        <v>10</v>
      </c>
      <c r="C68" s="5" t="s">
        <v>5862</v>
      </c>
      <c r="D68" s="5" t="s">
        <v>348</v>
      </c>
      <c r="E68" s="7" t="s">
        <v>40</v>
      </c>
      <c r="F68" s="7" t="s">
        <v>354</v>
      </c>
      <c r="G68" s="61" t="s">
        <v>424</v>
      </c>
      <c r="H68" s="61" t="s">
        <v>10</v>
      </c>
      <c r="I68" s="61" t="s">
        <v>370</v>
      </c>
      <c r="J68" s="62" t="s">
        <v>426</v>
      </c>
      <c r="K68" s="5" t="s">
        <v>45</v>
      </c>
      <c r="L68" s="5" t="s">
        <v>10</v>
      </c>
      <c r="M68" s="5" t="s">
        <v>10</v>
      </c>
      <c r="N68" s="5" t="s">
        <v>10</v>
      </c>
      <c r="O68" s="46" t="s">
        <v>46</v>
      </c>
      <c r="P68" s="100">
        <v>46116</v>
      </c>
      <c r="Q68" s="100">
        <f>IF(P68="","",P68+183)</f>
        <v>46299</v>
      </c>
      <c r="R68" s="63" t="s">
        <v>3566</v>
      </c>
      <c r="S68" s="63" t="s">
        <v>5202</v>
      </c>
      <c r="T68" s="7">
        <v>0.16200000000000001</v>
      </c>
      <c r="U68" s="5" t="s">
        <v>10</v>
      </c>
      <c r="V68" s="7">
        <f t="shared" si="3"/>
        <v>0.16200000000000001</v>
      </c>
      <c r="W68" s="5">
        <v>0.5</v>
      </c>
      <c r="X68" s="5" t="s">
        <v>55</v>
      </c>
      <c r="Y68" s="7" t="s">
        <v>56</v>
      </c>
      <c r="Z68" s="48" t="str">
        <f t="shared" si="4"/>
        <v>APROVADO</v>
      </c>
      <c r="AA68" s="47">
        <v>11599921</v>
      </c>
      <c r="AB68" s="5" t="s">
        <v>2769</v>
      </c>
      <c r="AC68" s="5" t="s">
        <v>48</v>
      </c>
      <c r="AD68" s="5" t="s">
        <v>5530</v>
      </c>
      <c r="AE68" s="5" t="str">
        <f t="shared" ca="1" si="8"/>
        <v>NO PRAZO</v>
      </c>
      <c r="AF68" s="49"/>
    </row>
    <row r="69" spans="1:32" ht="30" customHeight="1" x14ac:dyDescent="0.25">
      <c r="A69" s="7" t="s">
        <v>1724</v>
      </c>
      <c r="B69" s="5" t="s">
        <v>10</v>
      </c>
      <c r="C69" s="5" t="s">
        <v>5862</v>
      </c>
      <c r="D69" s="7" t="s">
        <v>348</v>
      </c>
      <c r="E69" s="7" t="s">
        <v>50</v>
      </c>
      <c r="F69" s="7" t="s">
        <v>3584</v>
      </c>
      <c r="G69" s="7" t="s">
        <v>5320</v>
      </c>
      <c r="H69" s="7" t="s">
        <v>591</v>
      </c>
      <c r="I69" s="7" t="s">
        <v>121</v>
      </c>
      <c r="J69" s="7" t="s">
        <v>450</v>
      </c>
      <c r="K69" s="7" t="s">
        <v>45</v>
      </c>
      <c r="L69" s="5" t="s">
        <v>10</v>
      </c>
      <c r="M69" s="5" t="s">
        <v>10</v>
      </c>
      <c r="N69" s="5" t="s">
        <v>10</v>
      </c>
      <c r="O69" s="46" t="s">
        <v>46</v>
      </c>
      <c r="P69" s="100">
        <v>46116</v>
      </c>
      <c r="Q69" s="100">
        <f>IF(P69="","",P69+183)</f>
        <v>46299</v>
      </c>
      <c r="R69" s="7" t="s">
        <v>3511</v>
      </c>
      <c r="S69" s="7" t="s">
        <v>5203</v>
      </c>
      <c r="T69" s="7">
        <v>0.44</v>
      </c>
      <c r="U69" s="7"/>
      <c r="V69" s="7">
        <f t="shared" si="3"/>
        <v>0.44</v>
      </c>
      <c r="W69" s="5">
        <v>0.5</v>
      </c>
      <c r="X69" s="5" t="s">
        <v>55</v>
      </c>
      <c r="Y69" s="7" t="s">
        <v>56</v>
      </c>
      <c r="Z69" s="48" t="str">
        <f t="shared" si="4"/>
        <v>APROVADO</v>
      </c>
      <c r="AA69" s="47">
        <v>11595674</v>
      </c>
      <c r="AB69" s="5" t="s">
        <v>1725</v>
      </c>
      <c r="AC69" s="5" t="s">
        <v>48</v>
      </c>
      <c r="AD69" s="5" t="s">
        <v>5530</v>
      </c>
      <c r="AE69" s="5" t="str">
        <f t="shared" ca="1" si="8"/>
        <v>NO PRAZO</v>
      </c>
      <c r="AF69" s="49"/>
    </row>
    <row r="70" spans="1:32" ht="30" customHeight="1" x14ac:dyDescent="0.25">
      <c r="A70" s="6" t="s">
        <v>619</v>
      </c>
      <c r="B70" s="5" t="s">
        <v>10</v>
      </c>
      <c r="C70" s="5" t="s">
        <v>5862</v>
      </c>
      <c r="D70" s="7" t="s">
        <v>348</v>
      </c>
      <c r="E70" s="7" t="s">
        <v>50</v>
      </c>
      <c r="F70" s="7" t="s">
        <v>596</v>
      </c>
      <c r="G70" s="7" t="s">
        <v>597</v>
      </c>
      <c r="H70" s="7" t="s">
        <v>598</v>
      </c>
      <c r="I70" s="7" t="s">
        <v>339</v>
      </c>
      <c r="J70" s="7" t="s">
        <v>599</v>
      </c>
      <c r="K70" s="7" t="s">
        <v>45</v>
      </c>
      <c r="L70" s="5" t="s">
        <v>10</v>
      </c>
      <c r="M70" s="5" t="s">
        <v>10</v>
      </c>
      <c r="N70" s="5" t="s">
        <v>10</v>
      </c>
      <c r="O70" s="46" t="s">
        <v>46</v>
      </c>
      <c r="P70" s="101">
        <v>45942</v>
      </c>
      <c r="Q70" s="100">
        <f>IF(P70="","",P70+182)</f>
        <v>46124</v>
      </c>
      <c r="R70" s="5" t="s">
        <v>2186</v>
      </c>
      <c r="S70" s="5" t="s">
        <v>3512</v>
      </c>
      <c r="T70" s="7">
        <v>0.16</v>
      </c>
      <c r="U70" s="5" t="s">
        <v>340</v>
      </c>
      <c r="V70" s="7">
        <f t="shared" si="3"/>
        <v>0.16</v>
      </c>
      <c r="W70" s="5">
        <v>0.5</v>
      </c>
      <c r="X70" s="5" t="s">
        <v>55</v>
      </c>
      <c r="Y70" s="7" t="s">
        <v>56</v>
      </c>
      <c r="Z70" s="48" t="str">
        <f t="shared" si="4"/>
        <v>APROVADO</v>
      </c>
      <c r="AA70" s="47">
        <v>11601341</v>
      </c>
      <c r="AB70" s="5" t="s">
        <v>2771</v>
      </c>
      <c r="AC70" s="5" t="s">
        <v>48</v>
      </c>
      <c r="AD70" s="5" t="s">
        <v>5530</v>
      </c>
      <c r="AE70" s="5" t="s">
        <v>3062</v>
      </c>
      <c r="AF70" s="53" t="s">
        <v>3730</v>
      </c>
    </row>
    <row r="71" spans="1:32" ht="30" customHeight="1" x14ac:dyDescent="0.25">
      <c r="A71" s="9" t="s">
        <v>380</v>
      </c>
      <c r="B71" s="5" t="s">
        <v>10</v>
      </c>
      <c r="C71" s="5" t="s">
        <v>5862</v>
      </c>
      <c r="D71" s="61" t="s">
        <v>348</v>
      </c>
      <c r="E71" s="7" t="s">
        <v>40</v>
      </c>
      <c r="F71" s="7" t="s">
        <v>354</v>
      </c>
      <c r="G71" s="61" t="s">
        <v>355</v>
      </c>
      <c r="H71" s="61" t="s">
        <v>359</v>
      </c>
      <c r="I71" s="61" t="s">
        <v>370</v>
      </c>
      <c r="J71" s="62" t="s">
        <v>361</v>
      </c>
      <c r="K71" s="5" t="s">
        <v>45</v>
      </c>
      <c r="L71" s="5" t="s">
        <v>10</v>
      </c>
      <c r="M71" s="5" t="s">
        <v>10</v>
      </c>
      <c r="N71" s="5" t="s">
        <v>10</v>
      </c>
      <c r="O71" s="46" t="s">
        <v>46</v>
      </c>
      <c r="P71" s="99">
        <v>46102</v>
      </c>
      <c r="Q71" s="100">
        <f>IF(P71="","",P71+184)</f>
        <v>46286</v>
      </c>
      <c r="R71" s="63" t="s">
        <v>3428</v>
      </c>
      <c r="S71" s="63" t="s">
        <v>5073</v>
      </c>
      <c r="T71" s="7">
        <v>0.159</v>
      </c>
      <c r="U71" s="5" t="s">
        <v>10</v>
      </c>
      <c r="V71" s="7">
        <f t="shared" si="3"/>
        <v>0.159</v>
      </c>
      <c r="W71" s="5">
        <v>0.5</v>
      </c>
      <c r="X71" s="5" t="s">
        <v>55</v>
      </c>
      <c r="Y71" s="7" t="s">
        <v>56</v>
      </c>
      <c r="Z71" s="48" t="str">
        <f t="shared" si="4"/>
        <v>APROVADO</v>
      </c>
      <c r="AA71" s="47">
        <v>11599626</v>
      </c>
      <c r="AB71" s="5" t="s">
        <v>2607</v>
      </c>
      <c r="AC71" s="5" t="s">
        <v>48</v>
      </c>
      <c r="AD71" s="5" t="s">
        <v>5530</v>
      </c>
      <c r="AE71" s="5" t="str">
        <f t="shared" ref="AE71:AE101" ca="1" si="11">IFERROR(IF(OR(AND(YEAR(Q71)=YEAR(TODAY()),MONTH(Q71)&gt;MONTH(TODAY())),(YEAR(Q71)&gt;YEAR(TODAY()))),$AK$4,IF(AND(YEAR(Q71)=YEAR(TODAY()),MONTH(Q71)=MONTH(TODAY())),$AK$5,IF(Q71="",$AK$6,$AK$7))),"-")</f>
        <v>NO PRAZO</v>
      </c>
      <c r="AF71" s="49"/>
    </row>
    <row r="72" spans="1:32" ht="30" customHeight="1" x14ac:dyDescent="0.25">
      <c r="A72" s="7" t="s">
        <v>4490</v>
      </c>
      <c r="B72" s="7" t="s">
        <v>10</v>
      </c>
      <c r="C72" s="5" t="s">
        <v>5862</v>
      </c>
      <c r="D72" s="61" t="s">
        <v>348</v>
      </c>
      <c r="E72" s="7" t="s">
        <v>40</v>
      </c>
      <c r="F72" s="7" t="s">
        <v>90</v>
      </c>
      <c r="G72" s="7" t="s">
        <v>97</v>
      </c>
      <c r="H72" s="7" t="s">
        <v>92</v>
      </c>
      <c r="I72" s="126" t="s">
        <v>4489</v>
      </c>
      <c r="J72" s="125" t="s">
        <v>94</v>
      </c>
      <c r="K72" s="5" t="s">
        <v>45</v>
      </c>
      <c r="L72" s="5" t="s">
        <v>10</v>
      </c>
      <c r="M72" s="5" t="s">
        <v>10</v>
      </c>
      <c r="N72" s="5" t="s">
        <v>10</v>
      </c>
      <c r="O72" s="46" t="s">
        <v>46</v>
      </c>
      <c r="P72" s="100">
        <v>46158</v>
      </c>
      <c r="Q72" s="100">
        <f>IF(P72="","",P72+184)</f>
        <v>46342</v>
      </c>
      <c r="R72" s="10" t="s">
        <v>4492</v>
      </c>
      <c r="S72" s="10" t="s">
        <v>5501</v>
      </c>
      <c r="T72" s="7">
        <v>6.3E-2</v>
      </c>
      <c r="U72" s="7" t="s">
        <v>10</v>
      </c>
      <c r="V72" s="7">
        <f t="shared" si="3"/>
        <v>6.3E-2</v>
      </c>
      <c r="W72" s="7">
        <v>0.5</v>
      </c>
      <c r="X72" s="7" t="s">
        <v>55</v>
      </c>
      <c r="Y72" s="7" t="s">
        <v>56</v>
      </c>
      <c r="Z72" s="48" t="str">
        <f t="shared" si="4"/>
        <v>APROVADO</v>
      </c>
      <c r="AA72" s="47">
        <v>11607320</v>
      </c>
      <c r="AB72" s="47" t="s">
        <v>4519</v>
      </c>
      <c r="AC72" s="5" t="s">
        <v>48</v>
      </c>
      <c r="AD72" s="5" t="s">
        <v>5530</v>
      </c>
      <c r="AE72" s="5" t="str">
        <f t="shared" ca="1" si="11"/>
        <v>NO PRAZO</v>
      </c>
      <c r="AF72" s="52"/>
    </row>
    <row r="73" spans="1:32" ht="30" customHeight="1" x14ac:dyDescent="0.25">
      <c r="A73" s="7" t="s">
        <v>4491</v>
      </c>
      <c r="B73" s="7" t="s">
        <v>10</v>
      </c>
      <c r="C73" s="5" t="s">
        <v>5862</v>
      </c>
      <c r="D73" s="61" t="s">
        <v>348</v>
      </c>
      <c r="E73" s="7" t="s">
        <v>40</v>
      </c>
      <c r="F73" s="7" t="s">
        <v>90</v>
      </c>
      <c r="G73" s="7" t="s">
        <v>97</v>
      </c>
      <c r="H73" s="7" t="s">
        <v>92</v>
      </c>
      <c r="I73" s="126" t="s">
        <v>4489</v>
      </c>
      <c r="J73" s="47" t="s">
        <v>94</v>
      </c>
      <c r="K73" s="5" t="s">
        <v>45</v>
      </c>
      <c r="L73" s="5" t="s">
        <v>10</v>
      </c>
      <c r="M73" s="5" t="s">
        <v>10</v>
      </c>
      <c r="N73" s="5" t="s">
        <v>10</v>
      </c>
      <c r="O73" s="46" t="s">
        <v>46</v>
      </c>
      <c r="P73" s="100">
        <v>46158</v>
      </c>
      <c r="Q73" s="100">
        <f>IF(P73="","",P73+184)</f>
        <v>46342</v>
      </c>
      <c r="R73" s="10" t="s">
        <v>4493</v>
      </c>
      <c r="S73" s="10" t="s">
        <v>5502</v>
      </c>
      <c r="T73" s="7">
        <v>0.158</v>
      </c>
      <c r="U73" s="7" t="s">
        <v>10</v>
      </c>
      <c r="V73" s="7">
        <f t="shared" si="3"/>
        <v>0.158</v>
      </c>
      <c r="W73" s="7">
        <v>0.5</v>
      </c>
      <c r="X73" s="7" t="s">
        <v>55</v>
      </c>
      <c r="Y73" s="7" t="s">
        <v>56</v>
      </c>
      <c r="Z73" s="48" t="str">
        <f t="shared" si="4"/>
        <v>APROVADO</v>
      </c>
      <c r="AA73" s="47">
        <v>11607321</v>
      </c>
      <c r="AB73" s="47" t="s">
        <v>4520</v>
      </c>
      <c r="AC73" s="5" t="s">
        <v>48</v>
      </c>
      <c r="AD73" s="5" t="s">
        <v>5530</v>
      </c>
      <c r="AE73" s="5" t="str">
        <f t="shared" ca="1" si="11"/>
        <v>NO PRAZO</v>
      </c>
      <c r="AF73" s="52"/>
    </row>
    <row r="74" spans="1:32" ht="30" customHeight="1" x14ac:dyDescent="0.25">
      <c r="A74" s="7" t="s">
        <v>3044</v>
      </c>
      <c r="B74" s="7" t="s">
        <v>10</v>
      </c>
      <c r="C74" s="5" t="s">
        <v>5862</v>
      </c>
      <c r="D74" s="7" t="s">
        <v>96</v>
      </c>
      <c r="E74" s="7" t="s">
        <v>40</v>
      </c>
      <c r="F74" s="7" t="s">
        <v>90</v>
      </c>
      <c r="G74" s="7" t="s">
        <v>99</v>
      </c>
      <c r="H74" s="7" t="s">
        <v>100</v>
      </c>
      <c r="I74" s="7" t="s">
        <v>93</v>
      </c>
      <c r="J74" s="5" t="s">
        <v>102</v>
      </c>
      <c r="K74" s="5" t="s">
        <v>45</v>
      </c>
      <c r="L74" s="5" t="s">
        <v>10</v>
      </c>
      <c r="M74" s="5" t="s">
        <v>10</v>
      </c>
      <c r="N74" s="5" t="s">
        <v>10</v>
      </c>
      <c r="O74" s="46" t="s">
        <v>46</v>
      </c>
      <c r="P74" s="100">
        <v>46208</v>
      </c>
      <c r="Q74" s="100">
        <f>IF(P74="","",P74+184)</f>
        <v>46392</v>
      </c>
      <c r="R74" s="10" t="s">
        <v>4555</v>
      </c>
      <c r="S74" s="10" t="s">
        <v>5752</v>
      </c>
      <c r="T74" s="7">
        <v>0.158</v>
      </c>
      <c r="U74" s="7" t="s">
        <v>10</v>
      </c>
      <c r="V74" s="7">
        <f t="shared" si="3"/>
        <v>0.158</v>
      </c>
      <c r="W74" s="7">
        <v>0.5</v>
      </c>
      <c r="X74" s="7" t="s">
        <v>55</v>
      </c>
      <c r="Y74" s="7" t="s">
        <v>56</v>
      </c>
      <c r="Z74" s="48" t="str">
        <f t="shared" si="4"/>
        <v>APROVADO</v>
      </c>
      <c r="AA74" s="47">
        <v>11606552</v>
      </c>
      <c r="AB74" s="5" t="s">
        <v>3994</v>
      </c>
      <c r="AC74" s="5" t="s">
        <v>48</v>
      </c>
      <c r="AD74" s="5" t="s">
        <v>5632</v>
      </c>
      <c r="AE74" s="5" t="str">
        <f t="shared" ca="1" si="11"/>
        <v>NO PRAZO</v>
      </c>
      <c r="AF74" s="51"/>
    </row>
    <row r="75" spans="1:32" ht="30" customHeight="1" x14ac:dyDescent="0.25">
      <c r="A75" s="7" t="s">
        <v>3045</v>
      </c>
      <c r="B75" s="7" t="s">
        <v>10</v>
      </c>
      <c r="C75" s="5" t="s">
        <v>5862</v>
      </c>
      <c r="D75" s="7" t="s">
        <v>96</v>
      </c>
      <c r="E75" s="7" t="s">
        <v>40</v>
      </c>
      <c r="F75" s="7" t="s">
        <v>90</v>
      </c>
      <c r="G75" s="7" t="s">
        <v>99</v>
      </c>
      <c r="H75" s="7" t="s">
        <v>100</v>
      </c>
      <c r="I75" s="7" t="s">
        <v>93</v>
      </c>
      <c r="J75" s="5" t="s">
        <v>102</v>
      </c>
      <c r="K75" s="5" t="s">
        <v>45</v>
      </c>
      <c r="L75" s="5" t="s">
        <v>10</v>
      </c>
      <c r="M75" s="5" t="s">
        <v>10</v>
      </c>
      <c r="N75" s="5" t="s">
        <v>10</v>
      </c>
      <c r="O75" s="46" t="s">
        <v>46</v>
      </c>
      <c r="P75" s="100">
        <v>46208</v>
      </c>
      <c r="Q75" s="100">
        <f>IF(P75="","",P75+184)</f>
        <v>46392</v>
      </c>
      <c r="R75" s="10" t="s">
        <v>4556</v>
      </c>
      <c r="S75" s="10" t="s">
        <v>5753</v>
      </c>
      <c r="T75" s="7">
        <v>0.158</v>
      </c>
      <c r="U75" s="7" t="s">
        <v>10</v>
      </c>
      <c r="V75" s="7">
        <f t="shared" si="3"/>
        <v>0.158</v>
      </c>
      <c r="W75" s="7">
        <v>0.5</v>
      </c>
      <c r="X75" s="7" t="s">
        <v>55</v>
      </c>
      <c r="Y75" s="7" t="s">
        <v>56</v>
      </c>
      <c r="Z75" s="48" t="str">
        <f t="shared" si="4"/>
        <v>APROVADO</v>
      </c>
      <c r="AA75" s="47">
        <v>11606553</v>
      </c>
      <c r="AB75" s="5" t="s">
        <v>3995</v>
      </c>
      <c r="AC75" s="5" t="s">
        <v>48</v>
      </c>
      <c r="AD75" s="5" t="s">
        <v>5632</v>
      </c>
      <c r="AE75" s="5" t="str">
        <f t="shared" ca="1" si="11"/>
        <v>NO PRAZO</v>
      </c>
      <c r="AF75" s="51"/>
    </row>
    <row r="76" spans="1:32" ht="30" customHeight="1" x14ac:dyDescent="0.25">
      <c r="A76" s="7" t="s">
        <v>4494</v>
      </c>
      <c r="B76" s="7" t="s">
        <v>10</v>
      </c>
      <c r="C76" s="5" t="s">
        <v>5862</v>
      </c>
      <c r="D76" s="61" t="s">
        <v>348</v>
      </c>
      <c r="E76" s="7" t="s">
        <v>40</v>
      </c>
      <c r="F76" s="7" t="s">
        <v>90</v>
      </c>
      <c r="G76" s="7" t="s">
        <v>103</v>
      </c>
      <c r="H76" s="7" t="s">
        <v>92</v>
      </c>
      <c r="I76" s="126" t="s">
        <v>4489</v>
      </c>
      <c r="J76" s="5" t="s">
        <v>94</v>
      </c>
      <c r="K76" s="5" t="s">
        <v>45</v>
      </c>
      <c r="L76" s="5" t="s">
        <v>10</v>
      </c>
      <c r="M76" s="5" t="s">
        <v>10</v>
      </c>
      <c r="N76" s="5" t="s">
        <v>10</v>
      </c>
      <c r="O76" s="46" t="s">
        <v>46</v>
      </c>
      <c r="P76" s="100">
        <v>46158</v>
      </c>
      <c r="Q76" s="100">
        <f t="shared" ref="Q76:Q84" si="12">IF(P76="","",P76+184)</f>
        <v>46342</v>
      </c>
      <c r="R76" s="10" t="s">
        <v>4496</v>
      </c>
      <c r="S76" s="10" t="s">
        <v>5503</v>
      </c>
      <c r="T76" s="7">
        <v>0.158</v>
      </c>
      <c r="U76" s="7" t="s">
        <v>10</v>
      </c>
      <c r="V76" s="7">
        <f t="shared" si="3"/>
        <v>0.158</v>
      </c>
      <c r="W76" s="7">
        <v>0.5</v>
      </c>
      <c r="X76" s="7" t="s">
        <v>55</v>
      </c>
      <c r="Y76" s="7" t="s">
        <v>56</v>
      </c>
      <c r="Z76" s="48" t="str">
        <f t="shared" si="4"/>
        <v>APROVADO</v>
      </c>
      <c r="AA76" s="47">
        <v>11607322</v>
      </c>
      <c r="AB76" s="47" t="s">
        <v>4521</v>
      </c>
      <c r="AC76" s="5" t="s">
        <v>48</v>
      </c>
      <c r="AD76" s="5" t="s">
        <v>5530</v>
      </c>
      <c r="AE76" s="5" t="str">
        <f t="shared" ca="1" si="11"/>
        <v>NO PRAZO</v>
      </c>
      <c r="AF76" s="52"/>
    </row>
    <row r="77" spans="1:32" ht="30" customHeight="1" x14ac:dyDescent="0.25">
      <c r="A77" s="7" t="s">
        <v>4495</v>
      </c>
      <c r="B77" s="7" t="s">
        <v>10</v>
      </c>
      <c r="C77" s="5" t="s">
        <v>5862</v>
      </c>
      <c r="D77" s="61" t="s">
        <v>348</v>
      </c>
      <c r="E77" s="7" t="s">
        <v>40</v>
      </c>
      <c r="F77" s="7" t="s">
        <v>90</v>
      </c>
      <c r="G77" s="7" t="s">
        <v>103</v>
      </c>
      <c r="H77" s="7" t="s">
        <v>92</v>
      </c>
      <c r="I77" s="126" t="s">
        <v>4489</v>
      </c>
      <c r="J77" s="5" t="s">
        <v>94</v>
      </c>
      <c r="K77" s="5" t="s">
        <v>45</v>
      </c>
      <c r="L77" s="5" t="s">
        <v>10</v>
      </c>
      <c r="M77" s="5" t="s">
        <v>10</v>
      </c>
      <c r="N77" s="5" t="s">
        <v>10</v>
      </c>
      <c r="O77" s="46" t="s">
        <v>46</v>
      </c>
      <c r="P77" s="100">
        <v>46158</v>
      </c>
      <c r="Q77" s="100">
        <f t="shared" si="12"/>
        <v>46342</v>
      </c>
      <c r="R77" s="10" t="s">
        <v>4497</v>
      </c>
      <c r="S77" s="10" t="s">
        <v>5504</v>
      </c>
      <c r="T77" s="7">
        <v>0.158</v>
      </c>
      <c r="U77" s="7" t="s">
        <v>10</v>
      </c>
      <c r="V77" s="7">
        <f t="shared" si="3"/>
        <v>0.158</v>
      </c>
      <c r="W77" s="7">
        <v>0.5</v>
      </c>
      <c r="X77" s="7" t="s">
        <v>55</v>
      </c>
      <c r="Y77" s="7" t="s">
        <v>56</v>
      </c>
      <c r="Z77" s="48" t="str">
        <f t="shared" si="4"/>
        <v>APROVADO</v>
      </c>
      <c r="AA77" s="47">
        <v>11607323</v>
      </c>
      <c r="AB77" s="47" t="s">
        <v>4522</v>
      </c>
      <c r="AC77" s="5" t="s">
        <v>48</v>
      </c>
      <c r="AD77" s="5" t="s">
        <v>5530</v>
      </c>
      <c r="AE77" s="5" t="str">
        <f t="shared" ca="1" si="11"/>
        <v>NO PRAZO</v>
      </c>
      <c r="AF77" s="52"/>
    </row>
    <row r="78" spans="1:32" ht="30" customHeight="1" x14ac:dyDescent="0.25">
      <c r="A78" s="7" t="s">
        <v>5165</v>
      </c>
      <c r="B78" s="7" t="s">
        <v>10</v>
      </c>
      <c r="C78" s="5" t="s">
        <v>5862</v>
      </c>
      <c r="D78" s="7" t="s">
        <v>96</v>
      </c>
      <c r="E78" s="7" t="s">
        <v>40</v>
      </c>
      <c r="F78" s="7" t="s">
        <v>90</v>
      </c>
      <c r="G78" s="7" t="s">
        <v>91</v>
      </c>
      <c r="H78" s="7" t="s">
        <v>92</v>
      </c>
      <c r="I78" s="7" t="s">
        <v>339</v>
      </c>
      <c r="J78" s="5" t="s">
        <v>94</v>
      </c>
      <c r="K78" s="5" t="s">
        <v>45</v>
      </c>
      <c r="L78" s="5" t="s">
        <v>10</v>
      </c>
      <c r="M78" s="5" t="s">
        <v>10</v>
      </c>
      <c r="N78" s="5" t="s">
        <v>10</v>
      </c>
      <c r="O78" s="46" t="s">
        <v>46</v>
      </c>
      <c r="P78" s="100">
        <v>46089</v>
      </c>
      <c r="Q78" s="100">
        <f t="shared" si="12"/>
        <v>46273</v>
      </c>
      <c r="R78" s="10" t="s">
        <v>4488</v>
      </c>
      <c r="S78" s="10" t="s">
        <v>5014</v>
      </c>
      <c r="T78" s="7">
        <v>0.25800000000000001</v>
      </c>
      <c r="U78" s="7" t="s">
        <v>10</v>
      </c>
      <c r="V78" s="7">
        <f t="shared" si="3"/>
        <v>0.25800000000000001</v>
      </c>
      <c r="W78" s="7">
        <v>0.5</v>
      </c>
      <c r="X78" s="7" t="s">
        <v>55</v>
      </c>
      <c r="Y78" s="7" t="s">
        <v>56</v>
      </c>
      <c r="Z78" s="48" t="str">
        <f t="shared" si="4"/>
        <v>APROVADO</v>
      </c>
      <c r="AA78" s="47">
        <v>11607318</v>
      </c>
      <c r="AB78" s="47" t="s">
        <v>4518</v>
      </c>
      <c r="AC78" s="5" t="s">
        <v>48</v>
      </c>
      <c r="AD78" s="5" t="s">
        <v>5530</v>
      </c>
      <c r="AE78" s="5" t="str">
        <f t="shared" ca="1" si="11"/>
        <v>NO PRAZO</v>
      </c>
      <c r="AF78" s="87"/>
    </row>
    <row r="79" spans="1:32" ht="30" customHeight="1" x14ac:dyDescent="0.25">
      <c r="A79" s="7" t="s">
        <v>4498</v>
      </c>
      <c r="B79" s="7" t="s">
        <v>10</v>
      </c>
      <c r="C79" s="5" t="s">
        <v>5862</v>
      </c>
      <c r="D79" s="61" t="s">
        <v>348</v>
      </c>
      <c r="E79" s="7" t="s">
        <v>40</v>
      </c>
      <c r="F79" s="7" t="s">
        <v>90</v>
      </c>
      <c r="G79" s="7" t="s">
        <v>107</v>
      </c>
      <c r="H79" s="7" t="s">
        <v>92</v>
      </c>
      <c r="I79" s="126" t="s">
        <v>4489</v>
      </c>
      <c r="J79" s="5" t="s">
        <v>94</v>
      </c>
      <c r="K79" s="5" t="s">
        <v>45</v>
      </c>
      <c r="L79" s="5" t="s">
        <v>10</v>
      </c>
      <c r="M79" s="5" t="s">
        <v>10</v>
      </c>
      <c r="N79" s="5" t="s">
        <v>10</v>
      </c>
      <c r="O79" s="46" t="s">
        <v>46</v>
      </c>
      <c r="P79" s="100">
        <v>46158</v>
      </c>
      <c r="Q79" s="100">
        <f t="shared" si="12"/>
        <v>46342</v>
      </c>
      <c r="R79" s="10" t="s">
        <v>4500</v>
      </c>
      <c r="S79" s="10" t="s">
        <v>5505</v>
      </c>
      <c r="T79" s="7">
        <v>0.158</v>
      </c>
      <c r="U79" s="7" t="s">
        <v>10</v>
      </c>
      <c r="V79" s="7">
        <f t="shared" ref="V79:V142" si="13">IFERROR(IF(U79&gt;0,T79*100/U79,T79),T79)</f>
        <v>0.158</v>
      </c>
      <c r="W79" s="7">
        <v>0.5</v>
      </c>
      <c r="X79" s="7" t="s">
        <v>55</v>
      </c>
      <c r="Y79" s="7" t="s">
        <v>56</v>
      </c>
      <c r="Z79" s="48" t="str">
        <f t="shared" ref="Z79:Z142" si="14">IFERROR(IF(W79="-",$AL$6,CHOOSE(IF(T79="",1,2),$AL$7,IF(V79&gt;W79,$AL$5,$AL$4))),"-")</f>
        <v>APROVADO</v>
      </c>
      <c r="AA79" s="47">
        <v>11556320</v>
      </c>
      <c r="AB79" s="47" t="s">
        <v>4523</v>
      </c>
      <c r="AC79" s="5" t="s">
        <v>48</v>
      </c>
      <c r="AD79" s="5" t="s">
        <v>5530</v>
      </c>
      <c r="AE79" s="5" t="str">
        <f t="shared" ca="1" si="11"/>
        <v>NO PRAZO</v>
      </c>
      <c r="AF79" s="52"/>
    </row>
    <row r="80" spans="1:32" ht="30" customHeight="1" x14ac:dyDescent="0.25">
      <c r="A80" s="7" t="s">
        <v>4499</v>
      </c>
      <c r="B80" s="7" t="s">
        <v>10</v>
      </c>
      <c r="C80" s="5" t="s">
        <v>5862</v>
      </c>
      <c r="D80" s="61" t="s">
        <v>348</v>
      </c>
      <c r="E80" s="7" t="s">
        <v>40</v>
      </c>
      <c r="F80" s="7" t="s">
        <v>90</v>
      </c>
      <c r="G80" s="7" t="s">
        <v>107</v>
      </c>
      <c r="H80" s="7" t="s">
        <v>92</v>
      </c>
      <c r="I80" s="126" t="s">
        <v>4489</v>
      </c>
      <c r="J80" s="5" t="s">
        <v>94</v>
      </c>
      <c r="K80" s="5" t="s">
        <v>45</v>
      </c>
      <c r="L80" s="5" t="s">
        <v>10</v>
      </c>
      <c r="M80" s="5" t="s">
        <v>10</v>
      </c>
      <c r="N80" s="5" t="s">
        <v>10</v>
      </c>
      <c r="O80" s="46" t="s">
        <v>46</v>
      </c>
      <c r="P80" s="100">
        <v>46158</v>
      </c>
      <c r="Q80" s="100">
        <f t="shared" si="12"/>
        <v>46342</v>
      </c>
      <c r="R80" s="10" t="s">
        <v>4501</v>
      </c>
      <c r="S80" s="10" t="s">
        <v>5506</v>
      </c>
      <c r="T80" s="7">
        <v>6.3E-2</v>
      </c>
      <c r="U80" s="7" t="s">
        <v>10</v>
      </c>
      <c r="V80" s="7">
        <f t="shared" si="13"/>
        <v>6.3E-2</v>
      </c>
      <c r="W80" s="7">
        <v>0.5</v>
      </c>
      <c r="X80" s="7" t="s">
        <v>55</v>
      </c>
      <c r="Y80" s="7" t="s">
        <v>56</v>
      </c>
      <c r="Z80" s="48" t="str">
        <f t="shared" si="14"/>
        <v>APROVADO</v>
      </c>
      <c r="AA80" s="47">
        <v>11607324</v>
      </c>
      <c r="AB80" s="47" t="s">
        <v>4524</v>
      </c>
      <c r="AC80" s="5" t="s">
        <v>48</v>
      </c>
      <c r="AD80" s="5" t="s">
        <v>5530</v>
      </c>
      <c r="AE80" s="5" t="str">
        <f t="shared" ca="1" si="11"/>
        <v>NO PRAZO</v>
      </c>
      <c r="AF80" s="52"/>
    </row>
    <row r="81" spans="1:32" ht="30" customHeight="1" x14ac:dyDescent="0.25">
      <c r="A81" s="7" t="s">
        <v>106</v>
      </c>
      <c r="B81" s="7" t="s">
        <v>10</v>
      </c>
      <c r="C81" s="5" t="s">
        <v>5862</v>
      </c>
      <c r="D81" s="7" t="s">
        <v>96</v>
      </c>
      <c r="E81" s="7" t="s">
        <v>40</v>
      </c>
      <c r="F81" s="7" t="s">
        <v>90</v>
      </c>
      <c r="G81" s="7" t="s">
        <v>105</v>
      </c>
      <c r="H81" s="7" t="s">
        <v>92</v>
      </c>
      <c r="I81" s="7" t="s">
        <v>93</v>
      </c>
      <c r="J81" s="5" t="s">
        <v>94</v>
      </c>
      <c r="K81" s="5" t="s">
        <v>45</v>
      </c>
      <c r="L81" s="5" t="s">
        <v>10</v>
      </c>
      <c r="M81" s="5" t="s">
        <v>10</v>
      </c>
      <c r="N81" s="5" t="s">
        <v>10</v>
      </c>
      <c r="O81" s="46" t="s">
        <v>46</v>
      </c>
      <c r="P81" s="100">
        <v>46089</v>
      </c>
      <c r="Q81" s="100">
        <f t="shared" si="12"/>
        <v>46273</v>
      </c>
      <c r="R81" s="54" t="s">
        <v>3364</v>
      </c>
      <c r="S81" s="54" t="s">
        <v>5009</v>
      </c>
      <c r="T81" s="7">
        <v>0.25800000000000001</v>
      </c>
      <c r="U81" s="7" t="s">
        <v>10</v>
      </c>
      <c r="V81" s="7">
        <f t="shared" si="13"/>
        <v>0.25800000000000001</v>
      </c>
      <c r="W81" s="7">
        <v>0.5</v>
      </c>
      <c r="X81" s="7" t="s">
        <v>55</v>
      </c>
      <c r="Y81" s="7" t="s">
        <v>56</v>
      </c>
      <c r="Z81" s="48" t="str">
        <f t="shared" si="14"/>
        <v>APROVADO</v>
      </c>
      <c r="AA81" s="47">
        <v>11540668</v>
      </c>
      <c r="AB81" s="5" t="s">
        <v>2585</v>
      </c>
      <c r="AC81" s="5" t="s">
        <v>48</v>
      </c>
      <c r="AD81" s="5" t="s">
        <v>5530</v>
      </c>
      <c r="AE81" s="5" t="str">
        <f t="shared" ca="1" si="11"/>
        <v>NO PRAZO</v>
      </c>
      <c r="AF81" s="87"/>
    </row>
    <row r="82" spans="1:32" ht="30" customHeight="1" x14ac:dyDescent="0.25">
      <c r="A82" s="7" t="s">
        <v>4510</v>
      </c>
      <c r="B82" s="7" t="s">
        <v>10</v>
      </c>
      <c r="C82" s="5" t="s">
        <v>5862</v>
      </c>
      <c r="D82" s="61" t="s">
        <v>348</v>
      </c>
      <c r="E82" s="7" t="s">
        <v>40</v>
      </c>
      <c r="F82" s="7" t="s">
        <v>90</v>
      </c>
      <c r="G82" s="7" t="s">
        <v>4476</v>
      </c>
      <c r="H82" s="7" t="s">
        <v>92</v>
      </c>
      <c r="I82" s="126" t="s">
        <v>4489</v>
      </c>
      <c r="J82" s="5" t="s">
        <v>94</v>
      </c>
      <c r="K82" s="5" t="s">
        <v>45</v>
      </c>
      <c r="L82" s="5" t="s">
        <v>10</v>
      </c>
      <c r="M82" s="5" t="s">
        <v>10</v>
      </c>
      <c r="N82" s="5" t="s">
        <v>10</v>
      </c>
      <c r="O82" s="46" t="s">
        <v>46</v>
      </c>
      <c r="P82" s="100">
        <v>46158</v>
      </c>
      <c r="Q82" s="100">
        <f t="shared" si="12"/>
        <v>46342</v>
      </c>
      <c r="R82" s="54" t="s">
        <v>5101</v>
      </c>
      <c r="S82" s="54" t="s">
        <v>5507</v>
      </c>
      <c r="T82" s="7">
        <v>6.3E-2</v>
      </c>
      <c r="U82" s="7" t="s">
        <v>10</v>
      </c>
      <c r="V82" s="7">
        <f t="shared" si="13"/>
        <v>6.3E-2</v>
      </c>
      <c r="W82" s="7">
        <v>0.5</v>
      </c>
      <c r="X82" s="7" t="s">
        <v>55</v>
      </c>
      <c r="Y82" s="7" t="s">
        <v>56</v>
      </c>
      <c r="Z82" s="48" t="str">
        <f t="shared" si="14"/>
        <v>APROVADO</v>
      </c>
      <c r="AA82" s="47">
        <v>11607325</v>
      </c>
      <c r="AB82" s="47" t="s">
        <v>4525</v>
      </c>
      <c r="AC82" s="5" t="s">
        <v>48</v>
      </c>
      <c r="AD82" s="5" t="s">
        <v>5530</v>
      </c>
      <c r="AE82" s="5" t="str">
        <f t="shared" ca="1" si="11"/>
        <v>NO PRAZO</v>
      </c>
      <c r="AF82" s="51"/>
    </row>
    <row r="83" spans="1:32" ht="30" customHeight="1" x14ac:dyDescent="0.25">
      <c r="A83" s="7" t="s">
        <v>4511</v>
      </c>
      <c r="B83" s="7" t="s">
        <v>10</v>
      </c>
      <c r="C83" s="5" t="s">
        <v>5862</v>
      </c>
      <c r="D83" s="61" t="s">
        <v>348</v>
      </c>
      <c r="E83" s="7" t="s">
        <v>40</v>
      </c>
      <c r="F83" s="7" t="s">
        <v>90</v>
      </c>
      <c r="G83" s="7" t="s">
        <v>4476</v>
      </c>
      <c r="H83" s="7" t="s">
        <v>92</v>
      </c>
      <c r="I83" s="126" t="s">
        <v>4489</v>
      </c>
      <c r="J83" s="5" t="s">
        <v>94</v>
      </c>
      <c r="K83" s="5" t="s">
        <v>45</v>
      </c>
      <c r="L83" s="5" t="s">
        <v>10</v>
      </c>
      <c r="M83" s="5" t="s">
        <v>10</v>
      </c>
      <c r="N83" s="5" t="s">
        <v>10</v>
      </c>
      <c r="O83" s="46" t="s">
        <v>46</v>
      </c>
      <c r="P83" s="100">
        <v>46158</v>
      </c>
      <c r="Q83" s="100">
        <f t="shared" si="12"/>
        <v>46342</v>
      </c>
      <c r="R83" s="54" t="s">
        <v>4512</v>
      </c>
      <c r="S83" s="54" t="s">
        <v>5508</v>
      </c>
      <c r="T83" s="7">
        <v>0.158</v>
      </c>
      <c r="U83" s="7" t="s">
        <v>10</v>
      </c>
      <c r="V83" s="7">
        <f t="shared" si="13"/>
        <v>0.158</v>
      </c>
      <c r="W83" s="7">
        <v>0.5</v>
      </c>
      <c r="X83" s="7" t="s">
        <v>55</v>
      </c>
      <c r="Y83" s="7" t="s">
        <v>56</v>
      </c>
      <c r="Z83" s="48" t="str">
        <f t="shared" si="14"/>
        <v>APROVADO</v>
      </c>
      <c r="AA83" s="47">
        <v>11607326</v>
      </c>
      <c r="AB83" s="47" t="s">
        <v>4526</v>
      </c>
      <c r="AC83" s="5" t="s">
        <v>48</v>
      </c>
      <c r="AD83" s="5" t="s">
        <v>5530</v>
      </c>
      <c r="AE83" s="5" t="str">
        <f t="shared" ca="1" si="11"/>
        <v>NO PRAZO</v>
      </c>
      <c r="AF83" s="52"/>
    </row>
    <row r="84" spans="1:32" ht="30" customHeight="1" x14ac:dyDescent="0.25">
      <c r="A84" s="7" t="s">
        <v>110</v>
      </c>
      <c r="B84" s="7" t="s">
        <v>10</v>
      </c>
      <c r="C84" s="5" t="s">
        <v>5862</v>
      </c>
      <c r="D84" s="61" t="s">
        <v>348</v>
      </c>
      <c r="E84" s="7" t="s">
        <v>40</v>
      </c>
      <c r="F84" s="7" t="s">
        <v>90</v>
      </c>
      <c r="G84" s="7" t="s">
        <v>109</v>
      </c>
      <c r="H84" s="7" t="s">
        <v>100</v>
      </c>
      <c r="I84" s="7" t="s">
        <v>3433</v>
      </c>
      <c r="J84" s="5" t="s">
        <v>102</v>
      </c>
      <c r="K84" s="5" t="s">
        <v>45</v>
      </c>
      <c r="L84" s="5" t="s">
        <v>10</v>
      </c>
      <c r="M84" s="5" t="s">
        <v>10</v>
      </c>
      <c r="N84" s="5" t="s">
        <v>10</v>
      </c>
      <c r="O84" s="46" t="s">
        <v>46</v>
      </c>
      <c r="P84" s="100">
        <v>46102</v>
      </c>
      <c r="Q84" s="100">
        <f t="shared" si="12"/>
        <v>46286</v>
      </c>
      <c r="R84" s="54" t="s">
        <v>3365</v>
      </c>
      <c r="S84" s="54" t="s">
        <v>5192</v>
      </c>
      <c r="T84" s="7">
        <v>0.26</v>
      </c>
      <c r="U84" s="7" t="s">
        <v>10</v>
      </c>
      <c r="V84" s="7">
        <f t="shared" si="13"/>
        <v>0.26</v>
      </c>
      <c r="W84" s="7">
        <v>0.5</v>
      </c>
      <c r="X84" s="7" t="s">
        <v>55</v>
      </c>
      <c r="Y84" s="7" t="s">
        <v>56</v>
      </c>
      <c r="Z84" s="48" t="str">
        <f t="shared" si="14"/>
        <v>APROVADO</v>
      </c>
      <c r="AA84" s="47">
        <v>11540669</v>
      </c>
      <c r="AB84" s="5" t="s">
        <v>2588</v>
      </c>
      <c r="AC84" s="5" t="s">
        <v>48</v>
      </c>
      <c r="AD84" s="5" t="s">
        <v>5530</v>
      </c>
      <c r="AE84" s="5" t="str">
        <f t="shared" ca="1" si="11"/>
        <v>NO PRAZO</v>
      </c>
      <c r="AF84" s="51"/>
    </row>
    <row r="85" spans="1:32" ht="30" customHeight="1" x14ac:dyDescent="0.25">
      <c r="A85" s="7" t="s">
        <v>4503</v>
      </c>
      <c r="B85" s="7" t="s">
        <v>10</v>
      </c>
      <c r="C85" s="5" t="s">
        <v>5862</v>
      </c>
      <c r="D85" s="7" t="s">
        <v>96</v>
      </c>
      <c r="E85" s="7" t="s">
        <v>40</v>
      </c>
      <c r="F85" s="7" t="s">
        <v>90</v>
      </c>
      <c r="G85" s="7" t="s">
        <v>111</v>
      </c>
      <c r="H85" s="7" t="s">
        <v>92</v>
      </c>
      <c r="I85" s="126" t="s">
        <v>4489</v>
      </c>
      <c r="J85" s="5" t="s">
        <v>94</v>
      </c>
      <c r="K85" s="5" t="s">
        <v>45</v>
      </c>
      <c r="L85" s="5" t="s">
        <v>10</v>
      </c>
      <c r="M85" s="5" t="s">
        <v>10</v>
      </c>
      <c r="N85" s="5" t="s">
        <v>10</v>
      </c>
      <c r="O85" s="46" t="s">
        <v>46</v>
      </c>
      <c r="P85" s="100">
        <v>46194</v>
      </c>
      <c r="Q85" s="100">
        <f>IF(P85="","",P85+183)</f>
        <v>46377</v>
      </c>
      <c r="R85" s="54" t="s">
        <v>4505</v>
      </c>
      <c r="S85" s="54" t="s">
        <v>5672</v>
      </c>
      <c r="T85" s="7">
        <v>0.158</v>
      </c>
      <c r="U85" s="7" t="s">
        <v>10</v>
      </c>
      <c r="V85" s="7">
        <f t="shared" si="13"/>
        <v>0.158</v>
      </c>
      <c r="W85" s="7">
        <v>0.5</v>
      </c>
      <c r="X85" s="7" t="s">
        <v>55</v>
      </c>
      <c r="Y85" s="7" t="s">
        <v>56</v>
      </c>
      <c r="Z85" s="48" t="str">
        <f t="shared" si="14"/>
        <v>APROVADO</v>
      </c>
      <c r="AA85" s="47">
        <v>11607327</v>
      </c>
      <c r="AB85" s="47" t="s">
        <v>4528</v>
      </c>
      <c r="AC85" s="5" t="s">
        <v>48</v>
      </c>
      <c r="AD85" s="5" t="s">
        <v>5632</v>
      </c>
      <c r="AE85" s="5" t="str">
        <f t="shared" ca="1" si="11"/>
        <v>NO PRAZO</v>
      </c>
      <c r="AF85" s="52"/>
    </row>
    <row r="86" spans="1:32" ht="30" customHeight="1" x14ac:dyDescent="0.25">
      <c r="A86" s="7" t="s">
        <v>3372</v>
      </c>
      <c r="B86" s="7" t="s">
        <v>10</v>
      </c>
      <c r="C86" s="5" t="s">
        <v>5862</v>
      </c>
      <c r="D86" s="7" t="s">
        <v>96</v>
      </c>
      <c r="E86" s="7" t="s">
        <v>40</v>
      </c>
      <c r="F86" s="7" t="s">
        <v>90</v>
      </c>
      <c r="G86" s="7" t="s">
        <v>112</v>
      </c>
      <c r="H86" s="7" t="s">
        <v>92</v>
      </c>
      <c r="I86" s="7" t="s">
        <v>238</v>
      </c>
      <c r="J86" s="5" t="s">
        <v>94</v>
      </c>
      <c r="K86" s="5" t="s">
        <v>45</v>
      </c>
      <c r="L86" s="5" t="s">
        <v>10</v>
      </c>
      <c r="M86" s="5" t="s">
        <v>10</v>
      </c>
      <c r="N86" s="5" t="s">
        <v>10</v>
      </c>
      <c r="O86" s="46" t="s">
        <v>46</v>
      </c>
      <c r="P86" s="100">
        <v>46208</v>
      </c>
      <c r="Q86" s="100">
        <f t="shared" ref="Q86:Q91" si="15">IF(P86="","",P86+184)</f>
        <v>46392</v>
      </c>
      <c r="R86" s="54" t="s">
        <v>4557</v>
      </c>
      <c r="S86" s="54" t="s">
        <v>5754</v>
      </c>
      <c r="T86" s="7">
        <v>0.19</v>
      </c>
      <c r="U86" s="7"/>
      <c r="V86" s="7">
        <f t="shared" si="13"/>
        <v>0.19</v>
      </c>
      <c r="W86" s="7">
        <v>0.5</v>
      </c>
      <c r="X86" s="7" t="s">
        <v>55</v>
      </c>
      <c r="Y86" s="7" t="s">
        <v>56</v>
      </c>
      <c r="Z86" s="48" t="str">
        <f t="shared" si="14"/>
        <v>APROVADO</v>
      </c>
      <c r="AA86" s="47">
        <v>11606554</v>
      </c>
      <c r="AB86" s="5" t="s">
        <v>3996</v>
      </c>
      <c r="AC86" s="5" t="s">
        <v>48</v>
      </c>
      <c r="AD86" s="5" t="s">
        <v>5632</v>
      </c>
      <c r="AE86" s="5" t="str">
        <f t="shared" ca="1" si="11"/>
        <v>NO PRAZO</v>
      </c>
      <c r="AF86" s="51"/>
    </row>
    <row r="87" spans="1:32" ht="30" customHeight="1" x14ac:dyDescent="0.25">
      <c r="A87" s="7" t="s">
        <v>3373</v>
      </c>
      <c r="B87" s="7" t="s">
        <v>10</v>
      </c>
      <c r="C87" s="5" t="s">
        <v>5862</v>
      </c>
      <c r="D87" s="7" t="s">
        <v>96</v>
      </c>
      <c r="E87" s="7" t="s">
        <v>40</v>
      </c>
      <c r="F87" s="7" t="s">
        <v>90</v>
      </c>
      <c r="G87" s="7" t="s">
        <v>112</v>
      </c>
      <c r="H87" s="7" t="s">
        <v>92</v>
      </c>
      <c r="I87" s="7" t="s">
        <v>3374</v>
      </c>
      <c r="J87" s="5" t="s">
        <v>94</v>
      </c>
      <c r="K87" s="5" t="s">
        <v>45</v>
      </c>
      <c r="L87" s="5" t="s">
        <v>10</v>
      </c>
      <c r="M87" s="5" t="s">
        <v>10</v>
      </c>
      <c r="N87" s="5" t="s">
        <v>10</v>
      </c>
      <c r="O87" s="46" t="s">
        <v>46</v>
      </c>
      <c r="P87" s="100">
        <v>46208</v>
      </c>
      <c r="Q87" s="100">
        <f t="shared" si="15"/>
        <v>46392</v>
      </c>
      <c r="R87" s="54" t="s">
        <v>4558</v>
      </c>
      <c r="S87" s="54" t="s">
        <v>5755</v>
      </c>
      <c r="T87" s="7">
        <v>0.158</v>
      </c>
      <c r="U87" s="7" t="s">
        <v>10</v>
      </c>
      <c r="V87" s="7">
        <f t="shared" si="13"/>
        <v>0.158</v>
      </c>
      <c r="W87" s="7">
        <v>0.5</v>
      </c>
      <c r="X87" s="7" t="s">
        <v>55</v>
      </c>
      <c r="Y87" s="7" t="s">
        <v>56</v>
      </c>
      <c r="Z87" s="48" t="str">
        <f t="shared" si="14"/>
        <v>APROVADO</v>
      </c>
      <c r="AA87" s="47">
        <v>11606555</v>
      </c>
      <c r="AB87" s="5" t="s">
        <v>3997</v>
      </c>
      <c r="AC87" s="5" t="s">
        <v>48</v>
      </c>
      <c r="AD87" s="5" t="s">
        <v>5632</v>
      </c>
      <c r="AE87" s="5" t="str">
        <f t="shared" ca="1" si="11"/>
        <v>NO PRAZO</v>
      </c>
      <c r="AF87" s="51"/>
    </row>
    <row r="88" spans="1:32" ht="30" customHeight="1" x14ac:dyDescent="0.25">
      <c r="A88" s="7" t="s">
        <v>3368</v>
      </c>
      <c r="B88" s="7" t="s">
        <v>10</v>
      </c>
      <c r="C88" s="5" t="s">
        <v>5862</v>
      </c>
      <c r="D88" s="7" t="s">
        <v>96</v>
      </c>
      <c r="E88" s="7" t="s">
        <v>40</v>
      </c>
      <c r="F88" s="7" t="s">
        <v>90</v>
      </c>
      <c r="G88" s="7" t="s">
        <v>113</v>
      </c>
      <c r="H88" s="7" t="s">
        <v>100</v>
      </c>
      <c r="I88" s="7" t="s">
        <v>93</v>
      </c>
      <c r="J88" s="5" t="s">
        <v>102</v>
      </c>
      <c r="K88" s="5" t="s">
        <v>45</v>
      </c>
      <c r="L88" s="5" t="s">
        <v>10</v>
      </c>
      <c r="M88" s="5" t="s">
        <v>10</v>
      </c>
      <c r="N88" s="5" t="s">
        <v>10</v>
      </c>
      <c r="O88" s="46" t="s">
        <v>46</v>
      </c>
      <c r="P88" s="100">
        <v>46208</v>
      </c>
      <c r="Q88" s="100">
        <f t="shared" si="15"/>
        <v>46392</v>
      </c>
      <c r="R88" s="10" t="s">
        <v>4559</v>
      </c>
      <c r="S88" s="10" t="s">
        <v>5756</v>
      </c>
      <c r="T88" s="7">
        <v>0.25800000000000001</v>
      </c>
      <c r="U88" s="7"/>
      <c r="V88" s="7">
        <f t="shared" si="13"/>
        <v>0.25800000000000001</v>
      </c>
      <c r="W88" s="7">
        <v>0.5</v>
      </c>
      <c r="X88" s="7" t="s">
        <v>55</v>
      </c>
      <c r="Y88" s="7" t="s">
        <v>56</v>
      </c>
      <c r="Z88" s="48" t="str">
        <f t="shared" si="14"/>
        <v>APROVADO</v>
      </c>
      <c r="AA88" s="47">
        <v>11606556</v>
      </c>
      <c r="AB88" s="5" t="s">
        <v>3998</v>
      </c>
      <c r="AC88" s="5" t="s">
        <v>48</v>
      </c>
      <c r="AD88" s="5" t="s">
        <v>5632</v>
      </c>
      <c r="AE88" s="5" t="str">
        <f t="shared" ca="1" si="11"/>
        <v>NO PRAZO</v>
      </c>
      <c r="AF88" s="51"/>
    </row>
    <row r="89" spans="1:32" ht="30" customHeight="1" x14ac:dyDescent="0.25">
      <c r="A89" s="7" t="s">
        <v>3369</v>
      </c>
      <c r="B89" s="7" t="s">
        <v>10</v>
      </c>
      <c r="C89" s="5" t="s">
        <v>5862</v>
      </c>
      <c r="D89" s="7" t="s">
        <v>96</v>
      </c>
      <c r="E89" s="7" t="s">
        <v>40</v>
      </c>
      <c r="F89" s="7" t="s">
        <v>90</v>
      </c>
      <c r="G89" s="7" t="s">
        <v>113</v>
      </c>
      <c r="H89" s="7" t="s">
        <v>100</v>
      </c>
      <c r="I89" s="7" t="s">
        <v>93</v>
      </c>
      <c r="J89" s="5" t="s">
        <v>102</v>
      </c>
      <c r="K89" s="5" t="s">
        <v>45</v>
      </c>
      <c r="L89" s="5" t="s">
        <v>10</v>
      </c>
      <c r="M89" s="5" t="s">
        <v>10</v>
      </c>
      <c r="N89" s="5" t="s">
        <v>10</v>
      </c>
      <c r="O89" s="46" t="s">
        <v>46</v>
      </c>
      <c r="P89" s="100">
        <v>46208</v>
      </c>
      <c r="Q89" s="100">
        <f t="shared" si="15"/>
        <v>46392</v>
      </c>
      <c r="R89" s="10" t="s">
        <v>4560</v>
      </c>
      <c r="S89" s="10" t="s">
        <v>5757</v>
      </c>
      <c r="T89" s="7">
        <v>0.25800000000000001</v>
      </c>
      <c r="U89" s="7" t="s">
        <v>10</v>
      </c>
      <c r="V89" s="7">
        <f t="shared" si="13"/>
        <v>0.25800000000000001</v>
      </c>
      <c r="W89" s="7">
        <v>0.5</v>
      </c>
      <c r="X89" s="7" t="s">
        <v>55</v>
      </c>
      <c r="Y89" s="7" t="s">
        <v>56</v>
      </c>
      <c r="Z89" s="48" t="str">
        <f t="shared" si="14"/>
        <v>APROVADO</v>
      </c>
      <c r="AA89" s="47">
        <v>11606557</v>
      </c>
      <c r="AB89" s="5" t="s">
        <v>3999</v>
      </c>
      <c r="AC89" s="5" t="s">
        <v>48</v>
      </c>
      <c r="AD89" s="5" t="s">
        <v>5632</v>
      </c>
      <c r="AE89" s="5" t="str">
        <f t="shared" ca="1" si="11"/>
        <v>NO PRAZO</v>
      </c>
      <c r="AF89" s="51"/>
    </row>
    <row r="90" spans="1:32" ht="30" customHeight="1" x14ac:dyDescent="0.25">
      <c r="A90" s="7" t="s">
        <v>3047</v>
      </c>
      <c r="B90" s="7" t="s">
        <v>10</v>
      </c>
      <c r="C90" s="5" t="s">
        <v>5862</v>
      </c>
      <c r="D90" s="7" t="s">
        <v>96</v>
      </c>
      <c r="E90" s="7" t="s">
        <v>40</v>
      </c>
      <c r="F90" s="7" t="s">
        <v>90</v>
      </c>
      <c r="G90" s="7" t="s">
        <v>114</v>
      </c>
      <c r="H90" s="7" t="s">
        <v>92</v>
      </c>
      <c r="I90" s="7" t="s">
        <v>93</v>
      </c>
      <c r="J90" s="5" t="s">
        <v>94</v>
      </c>
      <c r="K90" s="5" t="s">
        <v>45</v>
      </c>
      <c r="L90" s="5" t="s">
        <v>10</v>
      </c>
      <c r="M90" s="5" t="s">
        <v>10</v>
      </c>
      <c r="N90" s="5" t="s">
        <v>10</v>
      </c>
      <c r="O90" s="46" t="s">
        <v>46</v>
      </c>
      <c r="P90" s="100">
        <v>46208</v>
      </c>
      <c r="Q90" s="100">
        <f t="shared" si="15"/>
        <v>46392</v>
      </c>
      <c r="R90" s="5" t="s">
        <v>4561</v>
      </c>
      <c r="S90" s="5" t="s">
        <v>5758</v>
      </c>
      <c r="T90" s="7">
        <v>0.158</v>
      </c>
      <c r="U90" s="7" t="s">
        <v>10</v>
      </c>
      <c r="V90" s="7">
        <f t="shared" si="13"/>
        <v>0.158</v>
      </c>
      <c r="W90" s="7">
        <v>0.5</v>
      </c>
      <c r="X90" s="7" t="s">
        <v>55</v>
      </c>
      <c r="Y90" s="7" t="s">
        <v>56</v>
      </c>
      <c r="Z90" s="48" t="str">
        <f t="shared" si="14"/>
        <v>APROVADO</v>
      </c>
      <c r="AA90" s="47">
        <v>11606558</v>
      </c>
      <c r="AB90" s="5" t="s">
        <v>4000</v>
      </c>
      <c r="AC90" s="5" t="s">
        <v>48</v>
      </c>
      <c r="AD90" s="5" t="s">
        <v>5632</v>
      </c>
      <c r="AE90" s="5" t="str">
        <f t="shared" ca="1" si="11"/>
        <v>NO PRAZO</v>
      </c>
      <c r="AF90" s="51"/>
    </row>
    <row r="91" spans="1:32" ht="30" customHeight="1" x14ac:dyDescent="0.25">
      <c r="A91" s="7" t="s">
        <v>3048</v>
      </c>
      <c r="B91" s="7" t="s">
        <v>10</v>
      </c>
      <c r="C91" s="5" t="s">
        <v>5862</v>
      </c>
      <c r="D91" s="7" t="s">
        <v>96</v>
      </c>
      <c r="E91" s="7" t="s">
        <v>40</v>
      </c>
      <c r="F91" s="7" t="s">
        <v>90</v>
      </c>
      <c r="G91" s="7" t="s">
        <v>114</v>
      </c>
      <c r="H91" s="7" t="s">
        <v>92</v>
      </c>
      <c r="I91" s="7" t="s">
        <v>93</v>
      </c>
      <c r="J91" s="5" t="s">
        <v>94</v>
      </c>
      <c r="K91" s="5" t="s">
        <v>45</v>
      </c>
      <c r="L91" s="5" t="s">
        <v>10</v>
      </c>
      <c r="M91" s="5" t="s">
        <v>10</v>
      </c>
      <c r="N91" s="5" t="s">
        <v>10</v>
      </c>
      <c r="O91" s="46" t="s">
        <v>46</v>
      </c>
      <c r="P91" s="100">
        <v>46208</v>
      </c>
      <c r="Q91" s="100">
        <f t="shared" si="15"/>
        <v>46392</v>
      </c>
      <c r="R91" s="5" t="s">
        <v>4562</v>
      </c>
      <c r="S91" s="5" t="s">
        <v>5759</v>
      </c>
      <c r="T91" s="7">
        <v>0.158</v>
      </c>
      <c r="U91" s="7" t="s">
        <v>10</v>
      </c>
      <c r="V91" s="7">
        <f t="shared" si="13"/>
        <v>0.158</v>
      </c>
      <c r="W91" s="7">
        <v>0.5</v>
      </c>
      <c r="X91" s="7" t="s">
        <v>55</v>
      </c>
      <c r="Y91" s="7" t="s">
        <v>56</v>
      </c>
      <c r="Z91" s="48" t="str">
        <f t="shared" si="14"/>
        <v>APROVADO</v>
      </c>
      <c r="AA91" s="47">
        <v>11606559</v>
      </c>
      <c r="AB91" s="5" t="s">
        <v>4001</v>
      </c>
      <c r="AC91" s="5" t="s">
        <v>48</v>
      </c>
      <c r="AD91" s="5" t="s">
        <v>5632</v>
      </c>
      <c r="AE91" s="5" t="str">
        <f t="shared" ca="1" si="11"/>
        <v>NO PRAZO</v>
      </c>
      <c r="AF91" s="51"/>
    </row>
    <row r="92" spans="1:32" ht="30" customHeight="1" x14ac:dyDescent="0.25">
      <c r="A92" s="7" t="s">
        <v>4506</v>
      </c>
      <c r="B92" s="7" t="s">
        <v>10</v>
      </c>
      <c r="C92" s="5" t="s">
        <v>5862</v>
      </c>
      <c r="D92" s="61" t="s">
        <v>348</v>
      </c>
      <c r="E92" s="7" t="s">
        <v>40</v>
      </c>
      <c r="F92" s="7" t="s">
        <v>90</v>
      </c>
      <c r="G92" s="7" t="s">
        <v>116</v>
      </c>
      <c r="H92" s="7" t="s">
        <v>92</v>
      </c>
      <c r="I92" s="126" t="s">
        <v>4489</v>
      </c>
      <c r="J92" s="5" t="s">
        <v>94</v>
      </c>
      <c r="K92" s="5" t="s">
        <v>45</v>
      </c>
      <c r="L92" s="5" t="s">
        <v>10</v>
      </c>
      <c r="M92" s="5" t="s">
        <v>10</v>
      </c>
      <c r="N92" s="5" t="s">
        <v>10</v>
      </c>
      <c r="O92" s="46" t="s">
        <v>46</v>
      </c>
      <c r="P92" s="100">
        <v>46158</v>
      </c>
      <c r="Q92" s="100">
        <f t="shared" ref="Q92:Q97" si="16">IF(P92="","",P92+184)</f>
        <v>46342</v>
      </c>
      <c r="R92" s="7" t="s">
        <v>4508</v>
      </c>
      <c r="S92" s="7" t="s">
        <v>5509</v>
      </c>
      <c r="T92" s="7">
        <v>0.158</v>
      </c>
      <c r="U92" s="7" t="s">
        <v>10</v>
      </c>
      <c r="V92" s="7">
        <f t="shared" si="13"/>
        <v>0.158</v>
      </c>
      <c r="W92" s="7">
        <v>0.5</v>
      </c>
      <c r="X92" s="7" t="s">
        <v>55</v>
      </c>
      <c r="Y92" s="7" t="s">
        <v>56</v>
      </c>
      <c r="Z92" s="48" t="str">
        <f t="shared" si="14"/>
        <v>APROVADO</v>
      </c>
      <c r="AA92" s="47">
        <v>11540674</v>
      </c>
      <c r="AB92" s="47" t="s">
        <v>4529</v>
      </c>
      <c r="AC92" s="5" t="s">
        <v>48</v>
      </c>
      <c r="AD92" s="5" t="s">
        <v>5530</v>
      </c>
      <c r="AE92" s="5" t="str">
        <f t="shared" ca="1" si="11"/>
        <v>NO PRAZO</v>
      </c>
      <c r="AF92" s="52"/>
    </row>
    <row r="93" spans="1:32" ht="30" customHeight="1" x14ac:dyDescent="0.25">
      <c r="A93" s="7" t="s">
        <v>4507</v>
      </c>
      <c r="B93" s="7" t="s">
        <v>10</v>
      </c>
      <c r="C93" s="5" t="s">
        <v>5862</v>
      </c>
      <c r="D93" s="61" t="s">
        <v>348</v>
      </c>
      <c r="E93" s="7" t="s">
        <v>40</v>
      </c>
      <c r="F93" s="7" t="s">
        <v>90</v>
      </c>
      <c r="G93" s="7" t="s">
        <v>116</v>
      </c>
      <c r="H93" s="7" t="s">
        <v>92</v>
      </c>
      <c r="I93" s="126" t="s">
        <v>4489</v>
      </c>
      <c r="J93" s="5" t="s">
        <v>94</v>
      </c>
      <c r="K93" s="5" t="s">
        <v>45</v>
      </c>
      <c r="L93" s="5" t="s">
        <v>10</v>
      </c>
      <c r="M93" s="5" t="s">
        <v>10</v>
      </c>
      <c r="N93" s="5" t="s">
        <v>10</v>
      </c>
      <c r="O93" s="46" t="s">
        <v>46</v>
      </c>
      <c r="P93" s="100">
        <v>46158</v>
      </c>
      <c r="Q93" s="100">
        <f t="shared" si="16"/>
        <v>46342</v>
      </c>
      <c r="R93" s="7" t="s">
        <v>4509</v>
      </c>
      <c r="S93" s="7" t="s">
        <v>5510</v>
      </c>
      <c r="T93" s="7">
        <v>0.158</v>
      </c>
      <c r="U93" s="7" t="s">
        <v>10</v>
      </c>
      <c r="V93" s="7">
        <f t="shared" si="13"/>
        <v>0.158</v>
      </c>
      <c r="W93" s="7">
        <v>0.5</v>
      </c>
      <c r="X93" s="7" t="s">
        <v>55</v>
      </c>
      <c r="Y93" s="7" t="s">
        <v>56</v>
      </c>
      <c r="Z93" s="48" t="str">
        <f t="shared" si="14"/>
        <v>APROVADO</v>
      </c>
      <c r="AA93" s="47">
        <v>11607328</v>
      </c>
      <c r="AB93" s="47" t="s">
        <v>4530</v>
      </c>
      <c r="AC93" s="5" t="s">
        <v>48</v>
      </c>
      <c r="AD93" s="5" t="s">
        <v>5530</v>
      </c>
      <c r="AE93" s="5" t="str">
        <f t="shared" ca="1" si="11"/>
        <v>NO PRAZO</v>
      </c>
      <c r="AF93" s="52"/>
    </row>
    <row r="94" spans="1:32" ht="30" customHeight="1" x14ac:dyDescent="0.25">
      <c r="A94" s="7" t="s">
        <v>4513</v>
      </c>
      <c r="B94" s="7" t="s">
        <v>10</v>
      </c>
      <c r="C94" s="5" t="s">
        <v>5862</v>
      </c>
      <c r="D94" s="61" t="s">
        <v>348</v>
      </c>
      <c r="E94" s="7" t="s">
        <v>40</v>
      </c>
      <c r="F94" s="7" t="s">
        <v>90</v>
      </c>
      <c r="G94" s="7" t="s">
        <v>117</v>
      </c>
      <c r="H94" s="7" t="s">
        <v>100</v>
      </c>
      <c r="I94" s="7" t="s">
        <v>93</v>
      </c>
      <c r="J94" s="5" t="s">
        <v>102</v>
      </c>
      <c r="K94" s="5" t="s">
        <v>45</v>
      </c>
      <c r="L94" s="5" t="s">
        <v>10</v>
      </c>
      <c r="M94" s="5" t="s">
        <v>10</v>
      </c>
      <c r="N94" s="5" t="s">
        <v>10</v>
      </c>
      <c r="O94" s="46" t="s">
        <v>46</v>
      </c>
      <c r="P94" s="100">
        <v>46158</v>
      </c>
      <c r="Q94" s="100">
        <f t="shared" si="16"/>
        <v>46342</v>
      </c>
      <c r="R94" s="5" t="s">
        <v>4515</v>
      </c>
      <c r="S94" s="5" t="s">
        <v>5512</v>
      </c>
      <c r="T94" s="7">
        <v>0.17</v>
      </c>
      <c r="U94" s="7" t="s">
        <v>10</v>
      </c>
      <c r="V94" s="7">
        <f t="shared" si="13"/>
        <v>0.17</v>
      </c>
      <c r="W94" s="7">
        <v>0.5</v>
      </c>
      <c r="X94" s="7" t="s">
        <v>55</v>
      </c>
      <c r="Y94" s="7" t="s">
        <v>56</v>
      </c>
      <c r="Z94" s="48" t="str">
        <f t="shared" si="14"/>
        <v>APROVADO</v>
      </c>
      <c r="AA94" s="47">
        <v>11540676</v>
      </c>
      <c r="AB94" s="47" t="s">
        <v>4531</v>
      </c>
      <c r="AC94" s="5" t="s">
        <v>48</v>
      </c>
      <c r="AD94" s="5" t="s">
        <v>5530</v>
      </c>
      <c r="AE94" s="5" t="str">
        <f t="shared" ca="1" si="11"/>
        <v>NO PRAZO</v>
      </c>
      <c r="AF94" s="52"/>
    </row>
    <row r="95" spans="1:32" ht="30" customHeight="1" x14ac:dyDescent="0.25">
      <c r="A95" s="7" t="s">
        <v>4514</v>
      </c>
      <c r="B95" s="7" t="s">
        <v>10</v>
      </c>
      <c r="C95" s="5" t="s">
        <v>5862</v>
      </c>
      <c r="D95" s="61" t="s">
        <v>348</v>
      </c>
      <c r="E95" s="7" t="s">
        <v>40</v>
      </c>
      <c r="F95" s="7" t="s">
        <v>90</v>
      </c>
      <c r="G95" s="7" t="s">
        <v>117</v>
      </c>
      <c r="H95" s="7" t="s">
        <v>100</v>
      </c>
      <c r="I95" s="7" t="s">
        <v>93</v>
      </c>
      <c r="J95" s="5" t="s">
        <v>102</v>
      </c>
      <c r="K95" s="5" t="s">
        <v>45</v>
      </c>
      <c r="L95" s="5" t="s">
        <v>10</v>
      </c>
      <c r="M95" s="5" t="s">
        <v>10</v>
      </c>
      <c r="N95" s="5" t="s">
        <v>10</v>
      </c>
      <c r="O95" s="46" t="s">
        <v>46</v>
      </c>
      <c r="P95" s="100">
        <v>46158</v>
      </c>
      <c r="Q95" s="100">
        <f t="shared" si="16"/>
        <v>46342</v>
      </c>
      <c r="R95" s="5" t="s">
        <v>4516</v>
      </c>
      <c r="S95" s="5" t="s">
        <v>5553</v>
      </c>
      <c r="T95" s="7">
        <v>0.158</v>
      </c>
      <c r="U95" s="7" t="s">
        <v>10</v>
      </c>
      <c r="V95" s="7">
        <f t="shared" si="13"/>
        <v>0.158</v>
      </c>
      <c r="W95" s="7">
        <v>0.5</v>
      </c>
      <c r="X95" s="7" t="s">
        <v>55</v>
      </c>
      <c r="Y95" s="7" t="s">
        <v>56</v>
      </c>
      <c r="Z95" s="48" t="str">
        <f t="shared" si="14"/>
        <v>APROVADO</v>
      </c>
      <c r="AA95" s="47">
        <v>11607329</v>
      </c>
      <c r="AB95" s="47" t="s">
        <v>4532</v>
      </c>
      <c r="AC95" s="5" t="s">
        <v>48</v>
      </c>
      <c r="AD95" s="5" t="s">
        <v>5530</v>
      </c>
      <c r="AE95" s="5" t="str">
        <f t="shared" ca="1" si="11"/>
        <v>NO PRAZO</v>
      </c>
      <c r="AF95" s="52"/>
    </row>
    <row r="96" spans="1:32" ht="30" customHeight="1" x14ac:dyDescent="0.25">
      <c r="A96" s="7" t="s">
        <v>4502</v>
      </c>
      <c r="B96" s="7" t="s">
        <v>10</v>
      </c>
      <c r="C96" s="5" t="s">
        <v>5862</v>
      </c>
      <c r="D96" s="7" t="s">
        <v>96</v>
      </c>
      <c r="E96" s="7" t="s">
        <v>40</v>
      </c>
      <c r="F96" s="7" t="s">
        <v>90</v>
      </c>
      <c r="G96" s="7" t="s">
        <v>111</v>
      </c>
      <c r="H96" s="7" t="s">
        <v>92</v>
      </c>
      <c r="I96" s="126" t="s">
        <v>4489</v>
      </c>
      <c r="J96" s="5" t="s">
        <v>94</v>
      </c>
      <c r="K96" s="5" t="s">
        <v>45</v>
      </c>
      <c r="L96" s="5" t="s">
        <v>10</v>
      </c>
      <c r="M96" s="5" t="s">
        <v>10</v>
      </c>
      <c r="N96" s="5" t="s">
        <v>10</v>
      </c>
      <c r="O96" s="46" t="s">
        <v>46</v>
      </c>
      <c r="P96" s="100">
        <v>46089</v>
      </c>
      <c r="Q96" s="100">
        <f t="shared" si="16"/>
        <v>46273</v>
      </c>
      <c r="R96" s="54" t="s">
        <v>4504</v>
      </c>
      <c r="S96" s="54" t="s">
        <v>5015</v>
      </c>
      <c r="T96" s="7">
        <v>0.25800000000000001</v>
      </c>
      <c r="U96" s="7" t="s">
        <v>10</v>
      </c>
      <c r="V96" s="7">
        <f t="shared" si="13"/>
        <v>0.25800000000000001</v>
      </c>
      <c r="W96" s="7">
        <v>0.5</v>
      </c>
      <c r="X96" s="7" t="s">
        <v>55</v>
      </c>
      <c r="Y96" s="7" t="s">
        <v>56</v>
      </c>
      <c r="Z96" s="48" t="str">
        <f t="shared" si="14"/>
        <v>APROVADO</v>
      </c>
      <c r="AA96" s="47">
        <v>11540670</v>
      </c>
      <c r="AB96" s="47" t="s">
        <v>4527</v>
      </c>
      <c r="AC96" s="5" t="s">
        <v>48</v>
      </c>
      <c r="AD96" s="5" t="s">
        <v>5530</v>
      </c>
      <c r="AE96" s="5" t="str">
        <f t="shared" ca="1" si="11"/>
        <v>NO PRAZO</v>
      </c>
      <c r="AF96" s="87"/>
    </row>
    <row r="97" spans="1:32" ht="30" customHeight="1" x14ac:dyDescent="0.25">
      <c r="A97" s="7" t="s">
        <v>3363</v>
      </c>
      <c r="B97" s="7"/>
      <c r="C97" s="5" t="s">
        <v>5862</v>
      </c>
      <c r="D97" s="61" t="s">
        <v>348</v>
      </c>
      <c r="E97" s="7" t="s">
        <v>40</v>
      </c>
      <c r="F97" s="7" t="s">
        <v>90</v>
      </c>
      <c r="G97" s="7" t="s">
        <v>118</v>
      </c>
      <c r="H97" s="7" t="s">
        <v>92</v>
      </c>
      <c r="I97" s="7" t="s">
        <v>93</v>
      </c>
      <c r="J97" s="5" t="s">
        <v>94</v>
      </c>
      <c r="K97" s="5" t="s">
        <v>45</v>
      </c>
      <c r="L97" s="5" t="s">
        <v>10</v>
      </c>
      <c r="M97" s="5" t="s">
        <v>10</v>
      </c>
      <c r="N97" s="5" t="s">
        <v>10</v>
      </c>
      <c r="O97" s="46" t="s">
        <v>46</v>
      </c>
      <c r="P97" s="100">
        <v>46103</v>
      </c>
      <c r="Q97" s="100">
        <f t="shared" si="16"/>
        <v>46287</v>
      </c>
      <c r="R97" s="54" t="s">
        <v>3455</v>
      </c>
      <c r="S97" s="54" t="s">
        <v>5074</v>
      </c>
      <c r="T97" s="7">
        <v>0.158</v>
      </c>
      <c r="U97" s="7"/>
      <c r="V97" s="7">
        <f t="shared" si="13"/>
        <v>0.158</v>
      </c>
      <c r="W97" s="7">
        <v>0.5</v>
      </c>
      <c r="X97" s="7" t="s">
        <v>55</v>
      </c>
      <c r="Y97" s="7" t="s">
        <v>56</v>
      </c>
      <c r="Z97" s="48" t="str">
        <f t="shared" si="14"/>
        <v>APROVADO</v>
      </c>
      <c r="AA97" s="47">
        <v>11606560</v>
      </c>
      <c r="AB97" s="5" t="s">
        <v>4002</v>
      </c>
      <c r="AC97" s="5" t="s">
        <v>48</v>
      </c>
      <c r="AD97" s="5" t="s">
        <v>5530</v>
      </c>
      <c r="AE97" s="5" t="str">
        <f t="shared" ca="1" si="11"/>
        <v>NO PRAZO</v>
      </c>
      <c r="AF97" s="49"/>
    </row>
    <row r="98" spans="1:32" ht="30" customHeight="1" x14ac:dyDescent="0.25">
      <c r="A98" s="7" t="s">
        <v>3377</v>
      </c>
      <c r="B98" s="7" t="s">
        <v>10</v>
      </c>
      <c r="C98" s="5" t="s">
        <v>5862</v>
      </c>
      <c r="D98" s="7" t="s">
        <v>96</v>
      </c>
      <c r="E98" s="7" t="s">
        <v>40</v>
      </c>
      <c r="F98" s="7" t="s">
        <v>90</v>
      </c>
      <c r="G98" s="7" t="s">
        <v>119</v>
      </c>
      <c r="H98" s="7" t="s">
        <v>92</v>
      </c>
      <c r="I98" s="7" t="s">
        <v>93</v>
      </c>
      <c r="J98" s="5" t="s">
        <v>94</v>
      </c>
      <c r="K98" s="5" t="s">
        <v>45</v>
      </c>
      <c r="L98" s="5" t="s">
        <v>10</v>
      </c>
      <c r="M98" s="5" t="s">
        <v>10</v>
      </c>
      <c r="N98" s="5" t="s">
        <v>10</v>
      </c>
      <c r="O98" s="46" t="s">
        <v>46</v>
      </c>
      <c r="P98" s="100">
        <v>46180</v>
      </c>
      <c r="Q98" s="100">
        <f t="shared" ref="Q98:Q103" si="17">IF(P98="","",P98+183)</f>
        <v>46363</v>
      </c>
      <c r="R98" s="54" t="s">
        <v>4469</v>
      </c>
      <c r="S98" s="54" t="s">
        <v>5631</v>
      </c>
      <c r="T98" s="7">
        <v>0.158</v>
      </c>
      <c r="U98" s="55"/>
      <c r="V98" s="7">
        <f t="shared" si="13"/>
        <v>0.158</v>
      </c>
      <c r="W98" s="7">
        <v>0.5</v>
      </c>
      <c r="X98" s="7" t="s">
        <v>55</v>
      </c>
      <c r="Y98" s="7" t="s">
        <v>56</v>
      </c>
      <c r="Z98" s="48" t="str">
        <f t="shared" si="14"/>
        <v>APROVADO</v>
      </c>
      <c r="AA98" s="47">
        <v>11606562</v>
      </c>
      <c r="AB98" s="5" t="s">
        <v>4004</v>
      </c>
      <c r="AC98" s="5" t="s">
        <v>48</v>
      </c>
      <c r="AD98" s="5" t="s">
        <v>5632</v>
      </c>
      <c r="AE98" s="5" t="str">
        <f t="shared" ca="1" si="11"/>
        <v>NO PRAZO</v>
      </c>
      <c r="AF98" s="52"/>
    </row>
    <row r="99" spans="1:32" ht="27.6" x14ac:dyDescent="0.25">
      <c r="A99" s="7" t="s">
        <v>3029</v>
      </c>
      <c r="B99" s="7" t="s">
        <v>10</v>
      </c>
      <c r="C99" s="5" t="s">
        <v>5862</v>
      </c>
      <c r="D99" s="7" t="s">
        <v>96</v>
      </c>
      <c r="E99" s="7" t="s">
        <v>40</v>
      </c>
      <c r="F99" s="7" t="s">
        <v>90</v>
      </c>
      <c r="G99" s="7" t="s">
        <v>119</v>
      </c>
      <c r="H99" s="7" t="s">
        <v>92</v>
      </c>
      <c r="I99" s="7" t="s">
        <v>93</v>
      </c>
      <c r="J99" s="5" t="s">
        <v>94</v>
      </c>
      <c r="K99" s="5" t="s">
        <v>45</v>
      </c>
      <c r="L99" s="5" t="s">
        <v>10</v>
      </c>
      <c r="M99" s="5" t="s">
        <v>10</v>
      </c>
      <c r="N99" s="5" t="s">
        <v>10</v>
      </c>
      <c r="O99" s="46" t="s">
        <v>46</v>
      </c>
      <c r="P99" s="100">
        <v>46180</v>
      </c>
      <c r="Q99" s="100">
        <f t="shared" si="17"/>
        <v>46363</v>
      </c>
      <c r="R99" s="54" t="s">
        <v>4470</v>
      </c>
      <c r="S99" s="54" t="s">
        <v>5624</v>
      </c>
      <c r="T99" s="54">
        <v>0.16300000000000001</v>
      </c>
      <c r="U99" s="7" t="s">
        <v>10</v>
      </c>
      <c r="V99" s="7">
        <f t="shared" si="13"/>
        <v>0.16300000000000001</v>
      </c>
      <c r="W99" s="7">
        <v>0.5</v>
      </c>
      <c r="X99" s="7" t="s">
        <v>55</v>
      </c>
      <c r="Y99" s="7" t="s">
        <v>56</v>
      </c>
      <c r="Z99" s="48" t="str">
        <f t="shared" si="14"/>
        <v>APROVADO</v>
      </c>
      <c r="AA99" s="47">
        <v>11606563</v>
      </c>
      <c r="AB99" s="5" t="s">
        <v>4005</v>
      </c>
      <c r="AC99" s="5" t="s">
        <v>48</v>
      </c>
      <c r="AD99" s="5" t="s">
        <v>5632</v>
      </c>
      <c r="AE99" s="5" t="str">
        <f t="shared" ca="1" si="11"/>
        <v>NO PRAZO</v>
      </c>
      <c r="AF99" s="52"/>
    </row>
    <row r="100" spans="1:32" ht="30" customHeight="1" x14ac:dyDescent="0.25">
      <c r="A100" s="7" t="s">
        <v>3027</v>
      </c>
      <c r="B100" s="7" t="s">
        <v>10</v>
      </c>
      <c r="C100" s="5" t="s">
        <v>5862</v>
      </c>
      <c r="D100" s="7" t="s">
        <v>96</v>
      </c>
      <c r="E100" s="7" t="s">
        <v>40</v>
      </c>
      <c r="F100" s="7" t="s">
        <v>90</v>
      </c>
      <c r="G100" s="7" t="s">
        <v>120</v>
      </c>
      <c r="H100" s="7" t="s">
        <v>100</v>
      </c>
      <c r="I100" s="7" t="s">
        <v>93</v>
      </c>
      <c r="J100" s="5" t="s">
        <v>102</v>
      </c>
      <c r="K100" s="5" t="s">
        <v>45</v>
      </c>
      <c r="L100" s="5" t="s">
        <v>10</v>
      </c>
      <c r="M100" s="5" t="s">
        <v>10</v>
      </c>
      <c r="N100" s="5" t="s">
        <v>10</v>
      </c>
      <c r="O100" s="46" t="s">
        <v>46</v>
      </c>
      <c r="P100" s="100">
        <v>46180</v>
      </c>
      <c r="Q100" s="100">
        <f t="shared" si="17"/>
        <v>46363</v>
      </c>
      <c r="R100" s="54" t="s">
        <v>4471</v>
      </c>
      <c r="S100" s="54" t="s">
        <v>5625</v>
      </c>
      <c r="T100" s="7">
        <v>0.158</v>
      </c>
      <c r="U100" s="7" t="s">
        <v>10</v>
      </c>
      <c r="V100" s="7">
        <f t="shared" si="13"/>
        <v>0.158</v>
      </c>
      <c r="W100" s="7">
        <v>0.5</v>
      </c>
      <c r="X100" s="7" t="s">
        <v>55</v>
      </c>
      <c r="Y100" s="7" t="s">
        <v>56</v>
      </c>
      <c r="Z100" s="48" t="str">
        <f t="shared" si="14"/>
        <v>APROVADO</v>
      </c>
      <c r="AA100" s="47">
        <v>11606564</v>
      </c>
      <c r="AB100" s="5" t="s">
        <v>4006</v>
      </c>
      <c r="AC100" s="5" t="s">
        <v>48</v>
      </c>
      <c r="AD100" s="5" t="s">
        <v>5632</v>
      </c>
      <c r="AE100" s="5" t="str">
        <f t="shared" ca="1" si="11"/>
        <v>NO PRAZO</v>
      </c>
      <c r="AF100" s="52"/>
    </row>
    <row r="101" spans="1:32" ht="30" customHeight="1" x14ac:dyDescent="0.25">
      <c r="A101" s="7" t="s">
        <v>3028</v>
      </c>
      <c r="B101" s="7" t="s">
        <v>10</v>
      </c>
      <c r="C101" s="5" t="s">
        <v>5862</v>
      </c>
      <c r="D101" s="7" t="s">
        <v>96</v>
      </c>
      <c r="E101" s="7" t="s">
        <v>40</v>
      </c>
      <c r="F101" s="7" t="s">
        <v>90</v>
      </c>
      <c r="G101" s="7" t="s">
        <v>120</v>
      </c>
      <c r="H101" s="7" t="s">
        <v>100</v>
      </c>
      <c r="I101" s="7" t="s">
        <v>93</v>
      </c>
      <c r="J101" s="5" t="s">
        <v>102</v>
      </c>
      <c r="K101" s="5" t="s">
        <v>45</v>
      </c>
      <c r="L101" s="5" t="s">
        <v>10</v>
      </c>
      <c r="M101" s="5" t="s">
        <v>10</v>
      </c>
      <c r="N101" s="5" t="s">
        <v>10</v>
      </c>
      <c r="O101" s="46" t="s">
        <v>46</v>
      </c>
      <c r="P101" s="100">
        <v>46180</v>
      </c>
      <c r="Q101" s="100">
        <f t="shared" si="17"/>
        <v>46363</v>
      </c>
      <c r="R101" s="54" t="s">
        <v>4472</v>
      </c>
      <c r="S101" s="54" t="s">
        <v>5626</v>
      </c>
      <c r="T101" s="7">
        <v>0.158</v>
      </c>
      <c r="U101" s="7" t="s">
        <v>10</v>
      </c>
      <c r="V101" s="7">
        <f t="shared" si="13"/>
        <v>0.158</v>
      </c>
      <c r="W101" s="7">
        <v>0.5</v>
      </c>
      <c r="X101" s="7" t="s">
        <v>55</v>
      </c>
      <c r="Y101" s="7" t="s">
        <v>56</v>
      </c>
      <c r="Z101" s="48" t="str">
        <f t="shared" si="14"/>
        <v>APROVADO</v>
      </c>
      <c r="AA101" s="47">
        <v>11606565</v>
      </c>
      <c r="AB101" s="5" t="s">
        <v>4007</v>
      </c>
      <c r="AC101" s="5" t="s">
        <v>48</v>
      </c>
      <c r="AD101" s="5" t="s">
        <v>5632</v>
      </c>
      <c r="AE101" s="5" t="str">
        <f t="shared" ca="1" si="11"/>
        <v>NO PRAZO</v>
      </c>
      <c r="AF101" s="52"/>
    </row>
    <row r="102" spans="1:32" ht="30" customHeight="1" x14ac:dyDescent="0.25">
      <c r="A102" s="7" t="s">
        <v>3026</v>
      </c>
      <c r="B102" s="7" t="s">
        <v>10</v>
      </c>
      <c r="C102" s="5" t="s">
        <v>5862</v>
      </c>
      <c r="D102" s="7" t="s">
        <v>96</v>
      </c>
      <c r="E102" s="7" t="s">
        <v>40</v>
      </c>
      <c r="F102" s="7" t="s">
        <v>90</v>
      </c>
      <c r="G102" s="7" t="s">
        <v>122</v>
      </c>
      <c r="H102" s="7" t="s">
        <v>92</v>
      </c>
      <c r="I102" s="7" t="s">
        <v>93</v>
      </c>
      <c r="J102" s="5" t="s">
        <v>94</v>
      </c>
      <c r="K102" s="5" t="s">
        <v>45</v>
      </c>
      <c r="L102" s="5" t="s">
        <v>10</v>
      </c>
      <c r="M102" s="5" t="s">
        <v>10</v>
      </c>
      <c r="N102" s="5" t="s">
        <v>10</v>
      </c>
      <c r="O102" s="46" t="s">
        <v>46</v>
      </c>
      <c r="P102" s="100">
        <v>46180</v>
      </c>
      <c r="Q102" s="100">
        <f t="shared" si="17"/>
        <v>46363</v>
      </c>
      <c r="R102" s="10" t="s">
        <v>4473</v>
      </c>
      <c r="S102" s="10" t="s">
        <v>5627</v>
      </c>
      <c r="T102" s="7">
        <v>0.158</v>
      </c>
      <c r="U102" s="7" t="s">
        <v>10</v>
      </c>
      <c r="V102" s="7">
        <f t="shared" si="13"/>
        <v>0.158</v>
      </c>
      <c r="W102" s="7">
        <v>0.5</v>
      </c>
      <c r="X102" s="7" t="s">
        <v>55</v>
      </c>
      <c r="Y102" s="7" t="s">
        <v>56</v>
      </c>
      <c r="Z102" s="48" t="str">
        <f t="shared" si="14"/>
        <v>APROVADO</v>
      </c>
      <c r="AA102" s="47">
        <v>11606566</v>
      </c>
      <c r="AB102" s="5" t="s">
        <v>4008</v>
      </c>
      <c r="AC102" s="5" t="s">
        <v>48</v>
      </c>
      <c r="AD102" s="5" t="s">
        <v>5632</v>
      </c>
      <c r="AE102" s="5" t="str">
        <f t="shared" ref="AE102:AE120" ca="1" si="18">IFERROR(IF(OR(AND(YEAR(Q102)=YEAR(TODAY()),MONTH(Q102)&gt;MONTH(TODAY())),(YEAR(Q102)&gt;YEAR(TODAY()))),$AK$4,IF(AND(YEAR(Q102)=YEAR(TODAY()),MONTH(Q102)=MONTH(TODAY())),$AK$5,IF(Q102="",$AK$6,$AK$7))),"-")</f>
        <v>NO PRAZO</v>
      </c>
      <c r="AF102" s="52"/>
    </row>
    <row r="103" spans="1:32" ht="30" customHeight="1" x14ac:dyDescent="0.25">
      <c r="A103" s="7" t="s">
        <v>3025</v>
      </c>
      <c r="B103" s="7" t="s">
        <v>10</v>
      </c>
      <c r="C103" s="5" t="s">
        <v>5862</v>
      </c>
      <c r="D103" s="7" t="s">
        <v>96</v>
      </c>
      <c r="E103" s="7" t="s">
        <v>40</v>
      </c>
      <c r="F103" s="7" t="s">
        <v>90</v>
      </c>
      <c r="G103" s="7" t="s">
        <v>122</v>
      </c>
      <c r="H103" s="7" t="s">
        <v>92</v>
      </c>
      <c r="I103" s="7" t="s">
        <v>93</v>
      </c>
      <c r="J103" s="5" t="s">
        <v>94</v>
      </c>
      <c r="K103" s="5" t="s">
        <v>45</v>
      </c>
      <c r="L103" s="5" t="s">
        <v>10</v>
      </c>
      <c r="M103" s="5" t="s">
        <v>10</v>
      </c>
      <c r="N103" s="5" t="s">
        <v>10</v>
      </c>
      <c r="O103" s="46" t="s">
        <v>46</v>
      </c>
      <c r="P103" s="100">
        <v>46180</v>
      </c>
      <c r="Q103" s="100">
        <f t="shared" si="17"/>
        <v>46363</v>
      </c>
      <c r="R103" s="10" t="s">
        <v>4474</v>
      </c>
      <c r="S103" s="10" t="s">
        <v>5628</v>
      </c>
      <c r="T103" s="7">
        <v>0.16300000000000001</v>
      </c>
      <c r="U103" s="7" t="s">
        <v>10</v>
      </c>
      <c r="V103" s="7">
        <f t="shared" si="13"/>
        <v>0.16300000000000001</v>
      </c>
      <c r="W103" s="7">
        <v>0.5</v>
      </c>
      <c r="X103" s="7" t="s">
        <v>55</v>
      </c>
      <c r="Y103" s="7" t="s">
        <v>56</v>
      </c>
      <c r="Z103" s="48" t="str">
        <f t="shared" si="14"/>
        <v>APROVADO</v>
      </c>
      <c r="AA103" s="47">
        <v>11606567</v>
      </c>
      <c r="AB103" s="5" t="s">
        <v>4009</v>
      </c>
      <c r="AC103" s="5" t="s">
        <v>48</v>
      </c>
      <c r="AD103" s="5" t="s">
        <v>5632</v>
      </c>
      <c r="AE103" s="5" t="str">
        <f t="shared" ca="1" si="18"/>
        <v>NO PRAZO</v>
      </c>
      <c r="AF103" s="52"/>
    </row>
    <row r="104" spans="1:32" ht="30" customHeight="1" x14ac:dyDescent="0.25">
      <c r="A104" s="7" t="s">
        <v>4984</v>
      </c>
      <c r="B104" s="7" t="s">
        <v>10</v>
      </c>
      <c r="C104" s="5" t="s">
        <v>5862</v>
      </c>
      <c r="D104" s="61" t="s">
        <v>348</v>
      </c>
      <c r="E104" s="7" t="s">
        <v>40</v>
      </c>
      <c r="F104" s="7" t="s">
        <v>90</v>
      </c>
      <c r="G104" s="7" t="s">
        <v>123</v>
      </c>
      <c r="H104" s="7" t="s">
        <v>92</v>
      </c>
      <c r="I104" s="7" t="s">
        <v>93</v>
      </c>
      <c r="J104" s="5" t="s">
        <v>94</v>
      </c>
      <c r="K104" s="5" t="s">
        <v>45</v>
      </c>
      <c r="L104" s="5" t="s">
        <v>10</v>
      </c>
      <c r="M104" s="5" t="s">
        <v>10</v>
      </c>
      <c r="N104" s="5" t="s">
        <v>10</v>
      </c>
      <c r="O104" s="46" t="s">
        <v>46</v>
      </c>
      <c r="P104" s="100">
        <v>46158</v>
      </c>
      <c r="Q104" s="100">
        <f>IF(P104="","",P104+184)</f>
        <v>46342</v>
      </c>
      <c r="R104" s="54" t="s">
        <v>4986</v>
      </c>
      <c r="S104" s="54" t="s">
        <v>5513</v>
      </c>
      <c r="T104" s="7">
        <v>0.158</v>
      </c>
      <c r="U104" s="7" t="s">
        <v>10</v>
      </c>
      <c r="V104" s="7">
        <f t="shared" si="13"/>
        <v>0.158</v>
      </c>
      <c r="W104" s="7">
        <v>0.5</v>
      </c>
      <c r="X104" s="7" t="s">
        <v>55</v>
      </c>
      <c r="Y104" s="7" t="s">
        <v>56</v>
      </c>
      <c r="Z104" s="48" t="str">
        <f t="shared" si="14"/>
        <v>APROVADO</v>
      </c>
      <c r="AA104" s="5" t="s">
        <v>4675</v>
      </c>
      <c r="AB104" s="5" t="s">
        <v>4675</v>
      </c>
      <c r="AC104" s="5" t="s">
        <v>48</v>
      </c>
      <c r="AD104" s="5" t="s">
        <v>5530</v>
      </c>
      <c r="AE104" s="5" t="str">
        <f t="shared" ca="1" si="18"/>
        <v>NO PRAZO</v>
      </c>
      <c r="AF104" s="51"/>
    </row>
    <row r="105" spans="1:32" ht="30" customHeight="1" x14ac:dyDescent="0.25">
      <c r="A105" s="7" t="s">
        <v>4985</v>
      </c>
      <c r="B105" s="7" t="s">
        <v>10</v>
      </c>
      <c r="C105" s="5" t="s">
        <v>5862</v>
      </c>
      <c r="D105" s="61" t="s">
        <v>348</v>
      </c>
      <c r="E105" s="7" t="s">
        <v>40</v>
      </c>
      <c r="F105" s="7" t="s">
        <v>90</v>
      </c>
      <c r="G105" s="7" t="s">
        <v>123</v>
      </c>
      <c r="H105" s="7" t="s">
        <v>92</v>
      </c>
      <c r="I105" s="7" t="s">
        <v>93</v>
      </c>
      <c r="J105" s="5" t="s">
        <v>94</v>
      </c>
      <c r="K105" s="5" t="s">
        <v>45</v>
      </c>
      <c r="L105" s="5" t="s">
        <v>10</v>
      </c>
      <c r="M105" s="5" t="s">
        <v>10</v>
      </c>
      <c r="N105" s="5" t="s">
        <v>10</v>
      </c>
      <c r="O105" s="46" t="s">
        <v>46</v>
      </c>
      <c r="P105" s="100">
        <v>46158</v>
      </c>
      <c r="Q105" s="100">
        <f>IF(P105="","",P105+184)</f>
        <v>46342</v>
      </c>
      <c r="R105" s="54" t="s">
        <v>4987</v>
      </c>
      <c r="S105" s="54" t="s">
        <v>5511</v>
      </c>
      <c r="T105" s="7">
        <v>0.158</v>
      </c>
      <c r="U105" s="7" t="s">
        <v>10</v>
      </c>
      <c r="V105" s="7">
        <f t="shared" si="13"/>
        <v>0.158</v>
      </c>
      <c r="W105" s="7">
        <v>0.5</v>
      </c>
      <c r="X105" s="7" t="s">
        <v>55</v>
      </c>
      <c r="Y105" s="7" t="s">
        <v>56</v>
      </c>
      <c r="Z105" s="48" t="str">
        <f t="shared" si="14"/>
        <v>APROVADO</v>
      </c>
      <c r="AA105" s="5" t="s">
        <v>4675</v>
      </c>
      <c r="AB105" s="5" t="s">
        <v>4675</v>
      </c>
      <c r="AC105" s="5" t="s">
        <v>48</v>
      </c>
      <c r="AD105" s="5" t="s">
        <v>5530</v>
      </c>
      <c r="AE105" s="5" t="str">
        <f t="shared" ca="1" si="18"/>
        <v>NO PRAZO</v>
      </c>
      <c r="AF105" s="51"/>
    </row>
    <row r="106" spans="1:32" ht="30" customHeight="1" x14ac:dyDescent="0.25">
      <c r="A106" s="7" t="s">
        <v>3031</v>
      </c>
      <c r="B106" s="7" t="s">
        <v>10</v>
      </c>
      <c r="C106" s="5" t="s">
        <v>5862</v>
      </c>
      <c r="D106" s="7" t="s">
        <v>96</v>
      </c>
      <c r="E106" s="7" t="s">
        <v>40</v>
      </c>
      <c r="F106" s="7" t="s">
        <v>90</v>
      </c>
      <c r="G106" s="7" t="s">
        <v>124</v>
      </c>
      <c r="H106" s="7" t="s">
        <v>100</v>
      </c>
      <c r="I106" s="7" t="s">
        <v>93</v>
      </c>
      <c r="J106" s="5" t="s">
        <v>102</v>
      </c>
      <c r="K106" s="5" t="s">
        <v>45</v>
      </c>
      <c r="L106" s="5" t="s">
        <v>10</v>
      </c>
      <c r="M106" s="5" t="s">
        <v>10</v>
      </c>
      <c r="N106" s="5" t="s">
        <v>10</v>
      </c>
      <c r="O106" s="46" t="s">
        <v>46</v>
      </c>
      <c r="P106" s="100">
        <v>46180</v>
      </c>
      <c r="Q106" s="100">
        <f>IF(P106="","",P106+183)</f>
        <v>46363</v>
      </c>
      <c r="R106" s="54" t="s">
        <v>4517</v>
      </c>
      <c r="S106" s="54" t="s">
        <v>5629</v>
      </c>
      <c r="T106" s="7">
        <v>0.16300000000000001</v>
      </c>
      <c r="U106" s="7" t="s">
        <v>10</v>
      </c>
      <c r="V106" s="7">
        <f t="shared" si="13"/>
        <v>0.16300000000000001</v>
      </c>
      <c r="W106" s="7">
        <v>0.5</v>
      </c>
      <c r="X106" s="7" t="s">
        <v>55</v>
      </c>
      <c r="Y106" s="7" t="s">
        <v>56</v>
      </c>
      <c r="Z106" s="48" t="str">
        <f t="shared" si="14"/>
        <v>APROVADO</v>
      </c>
      <c r="AA106" s="47">
        <v>11606568</v>
      </c>
      <c r="AB106" s="5" t="s">
        <v>4010</v>
      </c>
      <c r="AC106" s="5" t="s">
        <v>48</v>
      </c>
      <c r="AD106" s="5" t="s">
        <v>5632</v>
      </c>
      <c r="AE106" s="5" t="str">
        <f t="shared" ca="1" si="18"/>
        <v>NO PRAZO</v>
      </c>
      <c r="AF106" s="52"/>
    </row>
    <row r="107" spans="1:32" ht="30" customHeight="1" x14ac:dyDescent="0.25">
      <c r="A107" s="7" t="s">
        <v>3030</v>
      </c>
      <c r="B107" s="7" t="s">
        <v>10</v>
      </c>
      <c r="C107" s="5" t="s">
        <v>5862</v>
      </c>
      <c r="D107" s="7" t="s">
        <v>96</v>
      </c>
      <c r="E107" s="7" t="s">
        <v>40</v>
      </c>
      <c r="F107" s="7" t="s">
        <v>90</v>
      </c>
      <c r="G107" s="7" t="s">
        <v>124</v>
      </c>
      <c r="H107" s="7" t="s">
        <v>100</v>
      </c>
      <c r="I107" s="7" t="s">
        <v>93</v>
      </c>
      <c r="J107" s="5" t="s">
        <v>102</v>
      </c>
      <c r="K107" s="5" t="s">
        <v>45</v>
      </c>
      <c r="L107" s="5" t="s">
        <v>10</v>
      </c>
      <c r="M107" s="5" t="s">
        <v>10</v>
      </c>
      <c r="N107" s="5" t="s">
        <v>10</v>
      </c>
      <c r="O107" s="46" t="s">
        <v>46</v>
      </c>
      <c r="P107" s="100">
        <v>46180</v>
      </c>
      <c r="Q107" s="100">
        <f>IF(P107="","",P107+183)</f>
        <v>46363</v>
      </c>
      <c r="R107" s="54" t="s">
        <v>4475</v>
      </c>
      <c r="S107" s="54" t="s">
        <v>5630</v>
      </c>
      <c r="T107" s="7">
        <v>0.157</v>
      </c>
      <c r="U107" s="7" t="s">
        <v>10</v>
      </c>
      <c r="V107" s="7">
        <f t="shared" si="13"/>
        <v>0.157</v>
      </c>
      <c r="W107" s="7">
        <v>0.5</v>
      </c>
      <c r="X107" s="7" t="s">
        <v>55</v>
      </c>
      <c r="Y107" s="7" t="s">
        <v>56</v>
      </c>
      <c r="Z107" s="48" t="str">
        <f t="shared" si="14"/>
        <v>APROVADO</v>
      </c>
      <c r="AA107" s="47">
        <v>11606569</v>
      </c>
      <c r="AB107" s="5" t="s">
        <v>4011</v>
      </c>
      <c r="AC107" s="5" t="s">
        <v>48</v>
      </c>
      <c r="AD107" s="5" t="s">
        <v>5632</v>
      </c>
      <c r="AE107" s="5" t="str">
        <f t="shared" ca="1" si="18"/>
        <v>NO PRAZO</v>
      </c>
      <c r="AF107" s="52"/>
    </row>
    <row r="108" spans="1:32" ht="30" customHeight="1" x14ac:dyDescent="0.25">
      <c r="A108" s="7" t="s">
        <v>127</v>
      </c>
      <c r="B108" s="7" t="s">
        <v>10</v>
      </c>
      <c r="C108" s="5" t="s">
        <v>5862</v>
      </c>
      <c r="D108" s="7" t="s">
        <v>96</v>
      </c>
      <c r="E108" s="7" t="s">
        <v>40</v>
      </c>
      <c r="F108" s="7" t="s">
        <v>90</v>
      </c>
      <c r="G108" s="7" t="s">
        <v>126</v>
      </c>
      <c r="H108" s="7" t="s">
        <v>92</v>
      </c>
      <c r="I108" s="7" t="s">
        <v>98</v>
      </c>
      <c r="J108" s="5" t="s">
        <v>94</v>
      </c>
      <c r="K108" s="5" t="s">
        <v>45</v>
      </c>
      <c r="L108" s="5" t="s">
        <v>10</v>
      </c>
      <c r="M108" s="5" t="s">
        <v>10</v>
      </c>
      <c r="N108" s="5" t="s">
        <v>10</v>
      </c>
      <c r="O108" s="46" t="s">
        <v>46</v>
      </c>
      <c r="P108" s="100">
        <v>46208</v>
      </c>
      <c r="Q108" s="100">
        <f t="shared" ref="Q108:Q117" si="19">IF(P108="","",P108+184)</f>
        <v>46392</v>
      </c>
      <c r="R108" s="10" t="s">
        <v>4599</v>
      </c>
      <c r="S108" s="10" t="s">
        <v>5760</v>
      </c>
      <c r="T108" s="7">
        <v>0.158</v>
      </c>
      <c r="U108" s="7" t="s">
        <v>10</v>
      </c>
      <c r="V108" s="7">
        <f t="shared" si="13"/>
        <v>0.158</v>
      </c>
      <c r="W108" s="7">
        <v>0.5</v>
      </c>
      <c r="X108" s="7" t="s">
        <v>55</v>
      </c>
      <c r="Y108" s="7" t="s">
        <v>56</v>
      </c>
      <c r="Z108" s="48" t="str">
        <f t="shared" si="14"/>
        <v>APROVADO</v>
      </c>
      <c r="AA108" s="47">
        <v>11556323</v>
      </c>
      <c r="AB108" s="5" t="s">
        <v>2980</v>
      </c>
      <c r="AC108" s="5" t="s">
        <v>48</v>
      </c>
      <c r="AD108" s="5" t="s">
        <v>5632</v>
      </c>
      <c r="AE108" s="5" t="str">
        <f t="shared" ca="1" si="18"/>
        <v>NO PRAZO</v>
      </c>
      <c r="AF108" s="51"/>
    </row>
    <row r="109" spans="1:32" ht="30" customHeight="1" x14ac:dyDescent="0.25">
      <c r="A109" s="7" t="s">
        <v>129</v>
      </c>
      <c r="B109" s="7" t="s">
        <v>10</v>
      </c>
      <c r="C109" s="5" t="s">
        <v>5862</v>
      </c>
      <c r="D109" s="7" t="s">
        <v>96</v>
      </c>
      <c r="E109" s="7" t="s">
        <v>40</v>
      </c>
      <c r="F109" s="7" t="s">
        <v>90</v>
      </c>
      <c r="G109" s="7" t="s">
        <v>126</v>
      </c>
      <c r="H109" s="7" t="s">
        <v>92</v>
      </c>
      <c r="I109" s="7" t="s">
        <v>121</v>
      </c>
      <c r="J109" s="5" t="s">
        <v>94</v>
      </c>
      <c r="K109" s="5" t="s">
        <v>45</v>
      </c>
      <c r="L109" s="5" t="s">
        <v>10</v>
      </c>
      <c r="M109" s="5" t="s">
        <v>10</v>
      </c>
      <c r="N109" s="5" t="s">
        <v>10</v>
      </c>
      <c r="O109" s="46" t="s">
        <v>46</v>
      </c>
      <c r="P109" s="100">
        <v>46208</v>
      </c>
      <c r="Q109" s="100">
        <f t="shared" si="19"/>
        <v>46392</v>
      </c>
      <c r="R109" s="54" t="s">
        <v>4652</v>
      </c>
      <c r="S109" s="54" t="s">
        <v>5761</v>
      </c>
      <c r="T109" s="7">
        <v>0.159</v>
      </c>
      <c r="U109" s="7" t="s">
        <v>10</v>
      </c>
      <c r="V109" s="7">
        <f t="shared" si="13"/>
        <v>0.159</v>
      </c>
      <c r="W109" s="7">
        <v>0.5</v>
      </c>
      <c r="X109" s="7" t="s">
        <v>55</v>
      </c>
      <c r="Y109" s="7" t="s">
        <v>56</v>
      </c>
      <c r="Z109" s="48" t="str">
        <f t="shared" si="14"/>
        <v>APROVADO</v>
      </c>
      <c r="AA109" s="47">
        <v>11556325</v>
      </c>
      <c r="AB109" s="5" t="s">
        <v>2982</v>
      </c>
      <c r="AC109" s="5" t="s">
        <v>48</v>
      </c>
      <c r="AD109" s="5" t="s">
        <v>5632</v>
      </c>
      <c r="AE109" s="5" t="str">
        <f t="shared" ca="1" si="18"/>
        <v>NO PRAZO</v>
      </c>
      <c r="AF109" s="51"/>
    </row>
    <row r="110" spans="1:32" ht="30" customHeight="1" x14ac:dyDescent="0.25">
      <c r="A110" s="7" t="s">
        <v>132</v>
      </c>
      <c r="B110" s="7" t="s">
        <v>10</v>
      </c>
      <c r="C110" s="5" t="s">
        <v>5862</v>
      </c>
      <c r="D110" s="7" t="s">
        <v>96</v>
      </c>
      <c r="E110" s="7" t="s">
        <v>40</v>
      </c>
      <c r="F110" s="7" t="s">
        <v>90</v>
      </c>
      <c r="G110" s="7" t="s">
        <v>131</v>
      </c>
      <c r="H110" s="7" t="s">
        <v>92</v>
      </c>
      <c r="I110" s="7" t="s">
        <v>98</v>
      </c>
      <c r="J110" s="5" t="s">
        <v>94</v>
      </c>
      <c r="K110" s="5" t="s">
        <v>45</v>
      </c>
      <c r="L110" s="5" t="s">
        <v>10</v>
      </c>
      <c r="M110" s="5" t="s">
        <v>10</v>
      </c>
      <c r="N110" s="5" t="s">
        <v>10</v>
      </c>
      <c r="O110" s="46" t="s">
        <v>46</v>
      </c>
      <c r="P110" s="100">
        <v>46208</v>
      </c>
      <c r="Q110" s="100">
        <f t="shared" si="19"/>
        <v>46392</v>
      </c>
      <c r="R110" s="10" t="s">
        <v>4563</v>
      </c>
      <c r="S110" s="10" t="s">
        <v>5762</v>
      </c>
      <c r="T110" s="7">
        <v>0.158</v>
      </c>
      <c r="U110" s="7" t="s">
        <v>10</v>
      </c>
      <c r="V110" s="7">
        <f t="shared" si="13"/>
        <v>0.158</v>
      </c>
      <c r="W110" s="7">
        <v>0.5</v>
      </c>
      <c r="X110" s="7" t="s">
        <v>55</v>
      </c>
      <c r="Y110" s="7" t="s">
        <v>56</v>
      </c>
      <c r="Z110" s="48" t="str">
        <f t="shared" si="14"/>
        <v>APROVADO</v>
      </c>
      <c r="AA110" s="47">
        <v>11556334</v>
      </c>
      <c r="AB110" s="5" t="s">
        <v>2984</v>
      </c>
      <c r="AC110" s="5" t="s">
        <v>48</v>
      </c>
      <c r="AD110" s="5" t="s">
        <v>5632</v>
      </c>
      <c r="AE110" s="5" t="str">
        <f t="shared" ca="1" si="18"/>
        <v>NO PRAZO</v>
      </c>
      <c r="AF110" s="51"/>
    </row>
    <row r="111" spans="1:32" ht="30" customHeight="1" x14ac:dyDescent="0.25">
      <c r="A111" s="7" t="s">
        <v>135</v>
      </c>
      <c r="B111" s="7" t="s">
        <v>10</v>
      </c>
      <c r="C111" s="5" t="s">
        <v>5862</v>
      </c>
      <c r="D111" s="7" t="s">
        <v>96</v>
      </c>
      <c r="E111" s="7" t="s">
        <v>40</v>
      </c>
      <c r="F111" s="7" t="s">
        <v>90</v>
      </c>
      <c r="G111" s="7" t="s">
        <v>131</v>
      </c>
      <c r="H111" s="7" t="s">
        <v>92</v>
      </c>
      <c r="I111" s="7" t="s">
        <v>134</v>
      </c>
      <c r="J111" s="5" t="s">
        <v>94</v>
      </c>
      <c r="K111" s="5" t="s">
        <v>45</v>
      </c>
      <c r="L111" s="5" t="s">
        <v>10</v>
      </c>
      <c r="M111" s="5" t="s">
        <v>10</v>
      </c>
      <c r="N111" s="5" t="s">
        <v>10</v>
      </c>
      <c r="O111" s="46" t="s">
        <v>46</v>
      </c>
      <c r="P111" s="100">
        <v>46208</v>
      </c>
      <c r="Q111" s="100">
        <f t="shared" si="19"/>
        <v>46392</v>
      </c>
      <c r="R111" s="54" t="s">
        <v>4564</v>
      </c>
      <c r="S111" s="54" t="s">
        <v>5763</v>
      </c>
      <c r="T111" s="7">
        <v>0.159</v>
      </c>
      <c r="U111" s="7" t="s">
        <v>10</v>
      </c>
      <c r="V111" s="7">
        <f t="shared" si="13"/>
        <v>0.159</v>
      </c>
      <c r="W111" s="7">
        <v>0.5</v>
      </c>
      <c r="X111" s="7" t="s">
        <v>55</v>
      </c>
      <c r="Y111" s="7" t="s">
        <v>56</v>
      </c>
      <c r="Z111" s="56" t="str">
        <f t="shared" si="14"/>
        <v>APROVADO</v>
      </c>
      <c r="AA111" s="47">
        <v>11556336</v>
      </c>
      <c r="AB111" s="5" t="s">
        <v>3258</v>
      </c>
      <c r="AC111" s="57" t="s">
        <v>48</v>
      </c>
      <c r="AD111" s="5" t="s">
        <v>5632</v>
      </c>
      <c r="AE111" s="5" t="str">
        <f t="shared" ca="1" si="18"/>
        <v>NO PRAZO</v>
      </c>
      <c r="AF111" s="51"/>
    </row>
    <row r="112" spans="1:32" ht="30" customHeight="1" x14ac:dyDescent="0.25">
      <c r="A112" s="7" t="s">
        <v>139</v>
      </c>
      <c r="B112" s="7" t="s">
        <v>10</v>
      </c>
      <c r="C112" s="5" t="s">
        <v>5862</v>
      </c>
      <c r="D112" s="7" t="s">
        <v>96</v>
      </c>
      <c r="E112" s="7" t="s">
        <v>40</v>
      </c>
      <c r="F112" s="7" t="s">
        <v>90</v>
      </c>
      <c r="G112" s="7" t="s">
        <v>138</v>
      </c>
      <c r="H112" s="7" t="s">
        <v>100</v>
      </c>
      <c r="I112" s="7" t="s">
        <v>121</v>
      </c>
      <c r="J112" s="5" t="s">
        <v>102</v>
      </c>
      <c r="K112" s="5" t="s">
        <v>45</v>
      </c>
      <c r="L112" s="5" t="s">
        <v>10</v>
      </c>
      <c r="M112" s="5" t="s">
        <v>10</v>
      </c>
      <c r="N112" s="5" t="s">
        <v>10</v>
      </c>
      <c r="O112" s="46" t="s">
        <v>46</v>
      </c>
      <c r="P112" s="100">
        <v>46208</v>
      </c>
      <c r="Q112" s="100">
        <f t="shared" si="19"/>
        <v>46392</v>
      </c>
      <c r="R112" s="5" t="s">
        <v>4565</v>
      </c>
      <c r="S112" s="5" t="s">
        <v>5764</v>
      </c>
      <c r="T112" s="7">
        <v>0.17100000000000001</v>
      </c>
      <c r="U112" s="7" t="s">
        <v>10</v>
      </c>
      <c r="V112" s="7">
        <f t="shared" si="13"/>
        <v>0.17100000000000001</v>
      </c>
      <c r="W112" s="7">
        <v>0.5</v>
      </c>
      <c r="X112" s="7" t="s">
        <v>55</v>
      </c>
      <c r="Y112" s="7" t="s">
        <v>56</v>
      </c>
      <c r="Z112" s="48" t="str">
        <f t="shared" si="14"/>
        <v>APROVADO</v>
      </c>
      <c r="AA112" s="47">
        <v>11556345</v>
      </c>
      <c r="AB112" s="5" t="s">
        <v>2987</v>
      </c>
      <c r="AC112" s="57" t="s">
        <v>48</v>
      </c>
      <c r="AD112" s="5" t="s">
        <v>5632</v>
      </c>
      <c r="AE112" s="5" t="str">
        <f t="shared" ca="1" si="18"/>
        <v>NO PRAZO</v>
      </c>
      <c r="AF112" s="51"/>
    </row>
    <row r="113" spans="1:32" ht="30" customHeight="1" x14ac:dyDescent="0.25">
      <c r="A113" s="7" t="s">
        <v>142</v>
      </c>
      <c r="B113" s="7" t="s">
        <v>10</v>
      </c>
      <c r="C113" s="5" t="s">
        <v>5862</v>
      </c>
      <c r="D113" s="7" t="s">
        <v>96</v>
      </c>
      <c r="E113" s="7" t="s">
        <v>40</v>
      </c>
      <c r="F113" s="7" t="s">
        <v>90</v>
      </c>
      <c r="G113" s="7" t="s">
        <v>141</v>
      </c>
      <c r="H113" s="7" t="s">
        <v>92</v>
      </c>
      <c r="I113" s="7" t="s">
        <v>98</v>
      </c>
      <c r="J113" s="5" t="s">
        <v>94</v>
      </c>
      <c r="K113" s="5" t="s">
        <v>45</v>
      </c>
      <c r="L113" s="5" t="s">
        <v>10</v>
      </c>
      <c r="M113" s="5" t="s">
        <v>10</v>
      </c>
      <c r="N113" s="5" t="s">
        <v>10</v>
      </c>
      <c r="O113" s="46" t="s">
        <v>46</v>
      </c>
      <c r="P113" s="100">
        <v>46208</v>
      </c>
      <c r="Q113" s="100">
        <f t="shared" si="19"/>
        <v>46392</v>
      </c>
      <c r="R113" s="10" t="s">
        <v>4566</v>
      </c>
      <c r="S113" s="10" t="s">
        <v>5765</v>
      </c>
      <c r="T113" s="7">
        <v>0.158</v>
      </c>
      <c r="U113" s="7" t="s">
        <v>10</v>
      </c>
      <c r="V113" s="7">
        <f t="shared" si="13"/>
        <v>0.158</v>
      </c>
      <c r="W113" s="7">
        <v>0.5</v>
      </c>
      <c r="X113" s="7" t="s">
        <v>55</v>
      </c>
      <c r="Y113" s="7" t="s">
        <v>56</v>
      </c>
      <c r="Z113" s="48" t="str">
        <f t="shared" si="14"/>
        <v>APROVADO</v>
      </c>
      <c r="AA113" s="47">
        <v>11556352</v>
      </c>
      <c r="AB113" s="5" t="s">
        <v>2989</v>
      </c>
      <c r="AC113" s="5" t="s">
        <v>48</v>
      </c>
      <c r="AD113" s="5" t="s">
        <v>5632</v>
      </c>
      <c r="AE113" s="5" t="str">
        <f t="shared" ca="1" si="18"/>
        <v>NO PRAZO</v>
      </c>
      <c r="AF113" s="51"/>
    </row>
    <row r="114" spans="1:32" ht="30" customHeight="1" x14ac:dyDescent="0.25">
      <c r="A114" s="7" t="s">
        <v>144</v>
      </c>
      <c r="B114" s="7" t="s">
        <v>10</v>
      </c>
      <c r="C114" s="5" t="s">
        <v>5862</v>
      </c>
      <c r="D114" s="7" t="s">
        <v>96</v>
      </c>
      <c r="E114" s="7" t="s">
        <v>40</v>
      </c>
      <c r="F114" s="7" t="s">
        <v>90</v>
      </c>
      <c r="G114" s="7" t="s">
        <v>141</v>
      </c>
      <c r="H114" s="7" t="s">
        <v>92</v>
      </c>
      <c r="I114" s="7" t="s">
        <v>121</v>
      </c>
      <c r="J114" s="5" t="s">
        <v>94</v>
      </c>
      <c r="K114" s="5" t="s">
        <v>45</v>
      </c>
      <c r="L114" s="5" t="s">
        <v>10</v>
      </c>
      <c r="M114" s="5" t="s">
        <v>10</v>
      </c>
      <c r="N114" s="5" t="s">
        <v>10</v>
      </c>
      <c r="O114" s="46" t="s">
        <v>46</v>
      </c>
      <c r="P114" s="100">
        <v>46208</v>
      </c>
      <c r="Q114" s="100">
        <f t="shared" si="19"/>
        <v>46392</v>
      </c>
      <c r="R114" s="5" t="s">
        <v>4567</v>
      </c>
      <c r="S114" s="5" t="s">
        <v>5766</v>
      </c>
      <c r="T114" s="7">
        <v>0.159</v>
      </c>
      <c r="U114" s="7" t="s">
        <v>10</v>
      </c>
      <c r="V114" s="7">
        <f t="shared" si="13"/>
        <v>0.159</v>
      </c>
      <c r="W114" s="7">
        <v>0.5</v>
      </c>
      <c r="X114" s="7" t="s">
        <v>55</v>
      </c>
      <c r="Y114" s="7" t="s">
        <v>56</v>
      </c>
      <c r="Z114" s="48" t="str">
        <f t="shared" si="14"/>
        <v>APROVADO</v>
      </c>
      <c r="AA114" s="47">
        <v>11556354</v>
      </c>
      <c r="AB114" s="5" t="s">
        <v>2991</v>
      </c>
      <c r="AC114" s="5" t="s">
        <v>48</v>
      </c>
      <c r="AD114" s="5" t="s">
        <v>5632</v>
      </c>
      <c r="AE114" s="5" t="str">
        <f t="shared" ca="1" si="18"/>
        <v>NO PRAZO</v>
      </c>
      <c r="AF114" s="51"/>
    </row>
    <row r="115" spans="1:32" ht="30" customHeight="1" x14ac:dyDescent="0.25">
      <c r="A115" s="7" t="s">
        <v>147</v>
      </c>
      <c r="B115" s="7" t="s">
        <v>10</v>
      </c>
      <c r="C115" s="5" t="s">
        <v>5862</v>
      </c>
      <c r="D115" s="7" t="s">
        <v>96</v>
      </c>
      <c r="E115" s="7" t="s">
        <v>40</v>
      </c>
      <c r="F115" s="7" t="s">
        <v>90</v>
      </c>
      <c r="G115" s="7" t="s">
        <v>146</v>
      </c>
      <c r="H115" s="7" t="s">
        <v>92</v>
      </c>
      <c r="I115" s="7" t="s">
        <v>98</v>
      </c>
      <c r="J115" s="5" t="s">
        <v>94</v>
      </c>
      <c r="K115" s="5" t="s">
        <v>45</v>
      </c>
      <c r="L115" s="5" t="s">
        <v>10</v>
      </c>
      <c r="M115" s="5" t="s">
        <v>10</v>
      </c>
      <c r="N115" s="5" t="s">
        <v>10</v>
      </c>
      <c r="O115" s="46" t="s">
        <v>46</v>
      </c>
      <c r="P115" s="100">
        <v>46208</v>
      </c>
      <c r="Q115" s="100">
        <f t="shared" si="19"/>
        <v>46392</v>
      </c>
      <c r="R115" s="5" t="s">
        <v>4568</v>
      </c>
      <c r="S115" s="5" t="s">
        <v>5767</v>
      </c>
      <c r="T115" s="7">
        <v>0.158</v>
      </c>
      <c r="U115" s="7" t="s">
        <v>10</v>
      </c>
      <c r="V115" s="7">
        <f t="shared" si="13"/>
        <v>0.158</v>
      </c>
      <c r="W115" s="7">
        <v>0.5</v>
      </c>
      <c r="X115" s="7" t="s">
        <v>55</v>
      </c>
      <c r="Y115" s="7" t="s">
        <v>56</v>
      </c>
      <c r="Z115" s="48" t="str">
        <f t="shared" si="14"/>
        <v>APROVADO</v>
      </c>
      <c r="AA115" s="47">
        <v>11556348</v>
      </c>
      <c r="AB115" s="5" t="s">
        <v>2993</v>
      </c>
      <c r="AC115" s="5" t="s">
        <v>48</v>
      </c>
      <c r="AD115" s="5" t="s">
        <v>5632</v>
      </c>
      <c r="AE115" s="5" t="str">
        <f t="shared" ca="1" si="18"/>
        <v>NO PRAZO</v>
      </c>
      <c r="AF115" s="51"/>
    </row>
    <row r="116" spans="1:32" ht="30" customHeight="1" x14ac:dyDescent="0.25">
      <c r="A116" s="7" t="s">
        <v>149</v>
      </c>
      <c r="B116" s="7" t="s">
        <v>10</v>
      </c>
      <c r="C116" s="5" t="s">
        <v>5862</v>
      </c>
      <c r="D116" s="7" t="s">
        <v>96</v>
      </c>
      <c r="E116" s="7" t="s">
        <v>40</v>
      </c>
      <c r="F116" s="7" t="s">
        <v>90</v>
      </c>
      <c r="G116" s="7" t="s">
        <v>146</v>
      </c>
      <c r="H116" s="7" t="s">
        <v>92</v>
      </c>
      <c r="I116" s="7" t="s">
        <v>121</v>
      </c>
      <c r="J116" s="5" t="s">
        <v>94</v>
      </c>
      <c r="K116" s="5" t="s">
        <v>45</v>
      </c>
      <c r="L116" s="5" t="s">
        <v>10</v>
      </c>
      <c r="M116" s="5" t="s">
        <v>10</v>
      </c>
      <c r="N116" s="5" t="s">
        <v>10</v>
      </c>
      <c r="O116" s="46" t="s">
        <v>46</v>
      </c>
      <c r="P116" s="100">
        <v>46208</v>
      </c>
      <c r="Q116" s="100">
        <f t="shared" si="19"/>
        <v>46392</v>
      </c>
      <c r="R116" s="7" t="s">
        <v>4569</v>
      </c>
      <c r="S116" s="7" t="s">
        <v>5768</v>
      </c>
      <c r="T116" s="7">
        <v>0.159</v>
      </c>
      <c r="U116" s="7" t="s">
        <v>10</v>
      </c>
      <c r="V116" s="7">
        <f t="shared" si="13"/>
        <v>0.159</v>
      </c>
      <c r="W116" s="7">
        <v>0.5</v>
      </c>
      <c r="X116" s="7" t="s">
        <v>55</v>
      </c>
      <c r="Y116" s="7" t="s">
        <v>56</v>
      </c>
      <c r="Z116" s="48" t="str">
        <f t="shared" si="14"/>
        <v>APROVADO</v>
      </c>
      <c r="AA116" s="47">
        <v>11556350</v>
      </c>
      <c r="AB116" s="5" t="s">
        <v>2995</v>
      </c>
      <c r="AC116" s="5" t="s">
        <v>48</v>
      </c>
      <c r="AD116" s="5" t="s">
        <v>5632</v>
      </c>
      <c r="AE116" s="5" t="str">
        <f t="shared" ca="1" si="18"/>
        <v>NO PRAZO</v>
      </c>
      <c r="AF116" s="51"/>
    </row>
    <row r="117" spans="1:32" ht="30" customHeight="1" x14ac:dyDescent="0.25">
      <c r="A117" s="7" t="s">
        <v>154</v>
      </c>
      <c r="B117" s="7" t="s">
        <v>10</v>
      </c>
      <c r="C117" s="5" t="s">
        <v>5862</v>
      </c>
      <c r="D117" s="7" t="s">
        <v>96</v>
      </c>
      <c r="E117" s="7" t="s">
        <v>40</v>
      </c>
      <c r="F117" s="7" t="s">
        <v>90</v>
      </c>
      <c r="G117" s="7" t="s">
        <v>152</v>
      </c>
      <c r="H117" s="7" t="s">
        <v>100</v>
      </c>
      <c r="I117" s="7" t="s">
        <v>121</v>
      </c>
      <c r="J117" s="5" t="s">
        <v>102</v>
      </c>
      <c r="K117" s="5" t="s">
        <v>45</v>
      </c>
      <c r="L117" s="5" t="s">
        <v>10</v>
      </c>
      <c r="M117" s="5" t="s">
        <v>10</v>
      </c>
      <c r="N117" s="5" t="s">
        <v>10</v>
      </c>
      <c r="O117" s="46" t="s">
        <v>46</v>
      </c>
      <c r="P117" s="100">
        <v>46208</v>
      </c>
      <c r="Q117" s="100">
        <f t="shared" si="19"/>
        <v>46392</v>
      </c>
      <c r="R117" s="5" t="s">
        <v>4570</v>
      </c>
      <c r="S117" s="5" t="s">
        <v>5769</v>
      </c>
      <c r="T117" s="7">
        <v>0.151</v>
      </c>
      <c r="U117" s="7" t="s">
        <v>10</v>
      </c>
      <c r="V117" s="7">
        <f t="shared" si="13"/>
        <v>0.151</v>
      </c>
      <c r="W117" s="7">
        <v>0.5</v>
      </c>
      <c r="X117" s="7" t="s">
        <v>55</v>
      </c>
      <c r="Y117" s="7" t="s">
        <v>56</v>
      </c>
      <c r="Z117" s="48" t="str">
        <f t="shared" si="14"/>
        <v>APROVADO</v>
      </c>
      <c r="AA117" s="47">
        <v>11556373</v>
      </c>
      <c r="AB117" s="5" t="s">
        <v>2997</v>
      </c>
      <c r="AC117" s="5" t="s">
        <v>48</v>
      </c>
      <c r="AD117" s="5" t="s">
        <v>5632</v>
      </c>
      <c r="AE117" s="5" t="str">
        <f t="shared" ca="1" si="18"/>
        <v>NO PRAZO</v>
      </c>
      <c r="AF117" s="51"/>
    </row>
    <row r="118" spans="1:32" ht="30" customHeight="1" x14ac:dyDescent="0.25">
      <c r="A118" s="7" t="s">
        <v>159</v>
      </c>
      <c r="B118" s="7" t="s">
        <v>10</v>
      </c>
      <c r="C118" s="5" t="s">
        <v>5862</v>
      </c>
      <c r="D118" s="7" t="s">
        <v>96</v>
      </c>
      <c r="E118" s="7" t="s">
        <v>40</v>
      </c>
      <c r="F118" s="7" t="s">
        <v>156</v>
      </c>
      <c r="G118" s="7" t="s">
        <v>157</v>
      </c>
      <c r="H118" s="7" t="s">
        <v>158</v>
      </c>
      <c r="I118" s="7" t="s">
        <v>121</v>
      </c>
      <c r="J118" s="5" t="s">
        <v>102</v>
      </c>
      <c r="K118" s="5" t="s">
        <v>45</v>
      </c>
      <c r="L118" s="5" t="s">
        <v>10</v>
      </c>
      <c r="M118" s="5" t="s">
        <v>10</v>
      </c>
      <c r="N118" s="5" t="s">
        <v>10</v>
      </c>
      <c r="O118" s="46" t="s">
        <v>46</v>
      </c>
      <c r="P118" s="100">
        <v>46158</v>
      </c>
      <c r="Q118" s="100">
        <f t="shared" ref="Q118:Q123" si="20">IF(P118="","",P118+184)</f>
        <v>46342</v>
      </c>
      <c r="R118" s="5" t="s">
        <v>3647</v>
      </c>
      <c r="S118" s="5" t="s">
        <v>5487</v>
      </c>
      <c r="T118" s="7">
        <v>0.159</v>
      </c>
      <c r="U118" s="7" t="s">
        <v>10</v>
      </c>
      <c r="V118" s="7">
        <f t="shared" si="13"/>
        <v>0.159</v>
      </c>
      <c r="W118" s="7">
        <v>0.5</v>
      </c>
      <c r="X118" s="7" t="s">
        <v>55</v>
      </c>
      <c r="Y118" s="7" t="s">
        <v>56</v>
      </c>
      <c r="Z118" s="48" t="str">
        <f t="shared" si="14"/>
        <v>APROVADO</v>
      </c>
      <c r="AA118" s="47">
        <v>11541806</v>
      </c>
      <c r="AB118" s="5" t="s">
        <v>2827</v>
      </c>
      <c r="AC118" s="5" t="s">
        <v>48</v>
      </c>
      <c r="AD118" s="5" t="s">
        <v>5530</v>
      </c>
      <c r="AE118" s="5" t="str">
        <f t="shared" ca="1" si="18"/>
        <v>NO PRAZO</v>
      </c>
      <c r="AF118" s="53"/>
    </row>
    <row r="119" spans="1:32" ht="30" customHeight="1" x14ac:dyDescent="0.25">
      <c r="A119" s="7" t="s">
        <v>162</v>
      </c>
      <c r="B119" s="7" t="s">
        <v>10</v>
      </c>
      <c r="C119" s="5" t="s">
        <v>5862</v>
      </c>
      <c r="D119" s="7" t="s">
        <v>96</v>
      </c>
      <c r="E119" s="7" t="s">
        <v>40</v>
      </c>
      <c r="F119" s="7" t="s">
        <v>156</v>
      </c>
      <c r="G119" s="7" t="s">
        <v>161</v>
      </c>
      <c r="H119" s="7" t="s">
        <v>158</v>
      </c>
      <c r="I119" s="7" t="s">
        <v>115</v>
      </c>
      <c r="J119" s="5" t="s">
        <v>102</v>
      </c>
      <c r="K119" s="5" t="s">
        <v>45</v>
      </c>
      <c r="L119" s="5" t="s">
        <v>10</v>
      </c>
      <c r="M119" s="5" t="s">
        <v>10</v>
      </c>
      <c r="N119" s="5" t="s">
        <v>10</v>
      </c>
      <c r="O119" s="46" t="s">
        <v>46</v>
      </c>
      <c r="P119" s="100">
        <v>46158</v>
      </c>
      <c r="Q119" s="100">
        <f t="shared" si="20"/>
        <v>46342</v>
      </c>
      <c r="R119" s="5" t="s">
        <v>3982</v>
      </c>
      <c r="S119" s="5" t="s">
        <v>5488</v>
      </c>
      <c r="T119" s="7">
        <v>0.17</v>
      </c>
      <c r="U119" s="7" t="s">
        <v>10</v>
      </c>
      <c r="V119" s="7">
        <f t="shared" si="13"/>
        <v>0.17</v>
      </c>
      <c r="W119" s="7">
        <v>0.5</v>
      </c>
      <c r="X119" s="7" t="s">
        <v>55</v>
      </c>
      <c r="Y119" s="7" t="s">
        <v>56</v>
      </c>
      <c r="Z119" s="48" t="str">
        <f t="shared" si="14"/>
        <v>APROVADO</v>
      </c>
      <c r="AA119" s="47">
        <v>11541808</v>
      </c>
      <c r="AB119" s="5" t="s">
        <v>2829</v>
      </c>
      <c r="AC119" s="5" t="s">
        <v>48</v>
      </c>
      <c r="AD119" s="5" t="s">
        <v>5530</v>
      </c>
      <c r="AE119" s="5" t="str">
        <f t="shared" ca="1" si="18"/>
        <v>NO PRAZO</v>
      </c>
      <c r="AF119" s="53"/>
    </row>
    <row r="120" spans="1:32" ht="30" customHeight="1" x14ac:dyDescent="0.25">
      <c r="A120" s="7" t="s">
        <v>166</v>
      </c>
      <c r="B120" s="7" t="s">
        <v>10</v>
      </c>
      <c r="C120" s="5" t="s">
        <v>5862</v>
      </c>
      <c r="D120" s="7" t="s">
        <v>96</v>
      </c>
      <c r="E120" s="7" t="s">
        <v>40</v>
      </c>
      <c r="F120" s="7" t="s">
        <v>156</v>
      </c>
      <c r="G120" s="7" t="s">
        <v>164</v>
      </c>
      <c r="H120" s="7" t="s">
        <v>158</v>
      </c>
      <c r="I120" s="7" t="s">
        <v>115</v>
      </c>
      <c r="J120" s="5" t="s">
        <v>102</v>
      </c>
      <c r="K120" s="5" t="s">
        <v>45</v>
      </c>
      <c r="L120" s="5" t="s">
        <v>10</v>
      </c>
      <c r="M120" s="5" t="s">
        <v>10</v>
      </c>
      <c r="N120" s="5" t="s">
        <v>10</v>
      </c>
      <c r="O120" s="46" t="s">
        <v>46</v>
      </c>
      <c r="P120" s="100">
        <v>46158</v>
      </c>
      <c r="Q120" s="100">
        <f t="shared" si="20"/>
        <v>46342</v>
      </c>
      <c r="R120" s="5" t="s">
        <v>3649</v>
      </c>
      <c r="S120" s="5" t="s">
        <v>5489</v>
      </c>
      <c r="T120" s="7">
        <v>0.157</v>
      </c>
      <c r="U120" s="7" t="s">
        <v>10</v>
      </c>
      <c r="V120" s="7">
        <f t="shared" si="13"/>
        <v>0.157</v>
      </c>
      <c r="W120" s="7">
        <v>0.5</v>
      </c>
      <c r="X120" s="7" t="s">
        <v>55</v>
      </c>
      <c r="Y120" s="7" t="s">
        <v>56</v>
      </c>
      <c r="Z120" s="48" t="str">
        <f t="shared" si="14"/>
        <v>APROVADO</v>
      </c>
      <c r="AA120" s="47">
        <v>11541809</v>
      </c>
      <c r="AB120" s="5" t="s">
        <v>2830</v>
      </c>
      <c r="AC120" s="5" t="s">
        <v>48</v>
      </c>
      <c r="AD120" s="5" t="s">
        <v>5530</v>
      </c>
      <c r="AE120" s="5" t="str">
        <f t="shared" ca="1" si="18"/>
        <v>NO PRAZO</v>
      </c>
      <c r="AF120" s="53"/>
    </row>
    <row r="121" spans="1:32" ht="30" customHeight="1" x14ac:dyDescent="0.25">
      <c r="A121" s="7" t="s">
        <v>169</v>
      </c>
      <c r="B121" s="7" t="s">
        <v>10</v>
      </c>
      <c r="C121" s="5" t="s">
        <v>5862</v>
      </c>
      <c r="D121" s="7" t="s">
        <v>96</v>
      </c>
      <c r="E121" s="7" t="s">
        <v>40</v>
      </c>
      <c r="F121" s="7" t="s">
        <v>156</v>
      </c>
      <c r="G121" s="7" t="s">
        <v>168</v>
      </c>
      <c r="H121" s="7" t="s">
        <v>158</v>
      </c>
      <c r="I121" s="7" t="s">
        <v>104</v>
      </c>
      <c r="J121" s="5" t="s">
        <v>102</v>
      </c>
      <c r="K121" s="5" t="s">
        <v>45</v>
      </c>
      <c r="L121" s="5" t="s">
        <v>10</v>
      </c>
      <c r="M121" s="5" t="s">
        <v>10</v>
      </c>
      <c r="N121" s="5" t="s">
        <v>10</v>
      </c>
      <c r="O121" s="46" t="s">
        <v>46</v>
      </c>
      <c r="P121" s="100">
        <v>45781</v>
      </c>
      <c r="Q121" s="100">
        <f t="shared" si="20"/>
        <v>45965</v>
      </c>
      <c r="R121" s="5" t="s">
        <v>1736</v>
      </c>
      <c r="S121" s="5" t="s">
        <v>2211</v>
      </c>
      <c r="T121" s="5">
        <v>7.0000000000000007E-2</v>
      </c>
      <c r="U121" s="7" t="s">
        <v>10</v>
      </c>
      <c r="V121" s="7">
        <f t="shared" si="13"/>
        <v>7.0000000000000007E-2</v>
      </c>
      <c r="W121" s="7">
        <v>0.5</v>
      </c>
      <c r="X121" s="7" t="s">
        <v>55</v>
      </c>
      <c r="Y121" s="7" t="s">
        <v>56</v>
      </c>
      <c r="Z121" s="48" t="str">
        <f t="shared" si="14"/>
        <v>APROVADO</v>
      </c>
      <c r="AA121" s="47">
        <v>11541810</v>
      </c>
      <c r="AB121" s="5" t="s">
        <v>2832</v>
      </c>
      <c r="AC121" s="5" t="s">
        <v>48</v>
      </c>
      <c r="AD121" s="5" t="s">
        <v>5530</v>
      </c>
      <c r="AE121" s="7" t="s">
        <v>3062</v>
      </c>
      <c r="AF121" s="53" t="s">
        <v>3730</v>
      </c>
    </row>
    <row r="122" spans="1:32" ht="30" customHeight="1" x14ac:dyDescent="0.25">
      <c r="A122" s="7" t="s">
        <v>179</v>
      </c>
      <c r="B122" s="7" t="s">
        <v>10</v>
      </c>
      <c r="C122" s="5" t="s">
        <v>5862</v>
      </c>
      <c r="D122" s="7" t="s">
        <v>96</v>
      </c>
      <c r="E122" s="7" t="s">
        <v>40</v>
      </c>
      <c r="F122" s="7" t="s">
        <v>156</v>
      </c>
      <c r="G122" s="7" t="s">
        <v>178</v>
      </c>
      <c r="H122" s="7" t="s">
        <v>158</v>
      </c>
      <c r="I122" s="7" t="s">
        <v>115</v>
      </c>
      <c r="J122" s="5" t="s">
        <v>102</v>
      </c>
      <c r="K122" s="5" t="s">
        <v>45</v>
      </c>
      <c r="L122" s="5" t="s">
        <v>10</v>
      </c>
      <c r="M122" s="5" t="s">
        <v>10</v>
      </c>
      <c r="N122" s="5" t="s">
        <v>10</v>
      </c>
      <c r="O122" s="46" t="s">
        <v>46</v>
      </c>
      <c r="P122" s="100">
        <v>46158</v>
      </c>
      <c r="Q122" s="100">
        <f t="shared" si="20"/>
        <v>46342</v>
      </c>
      <c r="R122" s="7" t="s">
        <v>3983</v>
      </c>
      <c r="S122" s="7" t="s">
        <v>5490</v>
      </c>
      <c r="T122" s="59">
        <v>6.6000000000000003E-2</v>
      </c>
      <c r="U122" s="59" t="s">
        <v>10</v>
      </c>
      <c r="V122" s="7">
        <f t="shared" si="13"/>
        <v>6.6000000000000003E-2</v>
      </c>
      <c r="W122" s="7">
        <v>0.5</v>
      </c>
      <c r="X122" s="7" t="s">
        <v>55</v>
      </c>
      <c r="Y122" s="7" t="s">
        <v>56</v>
      </c>
      <c r="Z122" s="48" t="str">
        <f t="shared" si="14"/>
        <v>APROVADO</v>
      </c>
      <c r="AA122" s="47">
        <v>11541807</v>
      </c>
      <c r="AB122" s="5" t="s">
        <v>2834</v>
      </c>
      <c r="AC122" s="5" t="s">
        <v>48</v>
      </c>
      <c r="AD122" s="5" t="s">
        <v>5530</v>
      </c>
      <c r="AE122" s="5" t="str">
        <f t="shared" ref="AE122:AE153" ca="1" si="21">IFERROR(IF(OR(AND(YEAR(Q122)=YEAR(TODAY()),MONTH(Q122)&gt;MONTH(TODAY())),(YEAR(Q122)&gt;YEAR(TODAY()))),$AK$4,IF(AND(YEAR(Q122)=YEAR(TODAY()),MONTH(Q122)=MONTH(TODAY())),$AK$5,IF(Q122="",$AK$6,$AK$7))),"-")</f>
        <v>NO PRAZO</v>
      </c>
      <c r="AF122" s="53"/>
    </row>
    <row r="123" spans="1:32" ht="30" customHeight="1" x14ac:dyDescent="0.25">
      <c r="A123" s="7" t="s">
        <v>181</v>
      </c>
      <c r="B123" s="7" t="s">
        <v>10</v>
      </c>
      <c r="C123" s="5" t="s">
        <v>5862</v>
      </c>
      <c r="D123" s="7" t="s">
        <v>96</v>
      </c>
      <c r="E123" s="7" t="s">
        <v>40</v>
      </c>
      <c r="F123" s="7" t="s">
        <v>156</v>
      </c>
      <c r="G123" s="7" t="s">
        <v>180</v>
      </c>
      <c r="H123" s="7" t="s">
        <v>5603</v>
      </c>
      <c r="I123" s="7" t="s">
        <v>115</v>
      </c>
      <c r="J123" s="5" t="s">
        <v>5577</v>
      </c>
      <c r="K123" s="5" t="s">
        <v>45</v>
      </c>
      <c r="L123" s="5" t="s">
        <v>10</v>
      </c>
      <c r="M123" s="5" t="s">
        <v>10</v>
      </c>
      <c r="N123" s="5" t="s">
        <v>10</v>
      </c>
      <c r="O123" s="46" t="s">
        <v>46</v>
      </c>
      <c r="P123" s="100">
        <v>46158</v>
      </c>
      <c r="Q123" s="100">
        <f t="shared" si="20"/>
        <v>46342</v>
      </c>
      <c r="R123" s="5" t="s">
        <v>3651</v>
      </c>
      <c r="S123" s="5" t="s">
        <v>5491</v>
      </c>
      <c r="T123" s="7">
        <v>6.7000000000000004E-2</v>
      </c>
      <c r="U123" s="7" t="s">
        <v>10</v>
      </c>
      <c r="V123" s="7">
        <f t="shared" si="13"/>
        <v>6.7000000000000004E-2</v>
      </c>
      <c r="W123" s="7">
        <v>0.5</v>
      </c>
      <c r="X123" s="7" t="s">
        <v>55</v>
      </c>
      <c r="Y123" s="7" t="s">
        <v>56</v>
      </c>
      <c r="Z123" s="48" t="str">
        <f t="shared" si="14"/>
        <v>APROVADO</v>
      </c>
      <c r="AA123" s="47">
        <v>11603998</v>
      </c>
      <c r="AB123" s="5" t="s">
        <v>2836</v>
      </c>
      <c r="AC123" s="5" t="s">
        <v>48</v>
      </c>
      <c r="AD123" s="5" t="s">
        <v>5530</v>
      </c>
      <c r="AE123" s="5" t="str">
        <f t="shared" ca="1" si="21"/>
        <v>NO PRAZO</v>
      </c>
      <c r="AF123" s="53"/>
    </row>
    <row r="124" spans="1:32" ht="30" customHeight="1" x14ac:dyDescent="0.25">
      <c r="A124" s="5" t="s">
        <v>187</v>
      </c>
      <c r="B124" s="7" t="s">
        <v>10</v>
      </c>
      <c r="C124" s="5" t="s">
        <v>5862</v>
      </c>
      <c r="D124" s="7" t="s">
        <v>96</v>
      </c>
      <c r="E124" s="7" t="s">
        <v>40</v>
      </c>
      <c r="F124" s="7" t="s">
        <v>41</v>
      </c>
      <c r="G124" s="5" t="s">
        <v>60</v>
      </c>
      <c r="H124" s="7" t="s">
        <v>185</v>
      </c>
      <c r="I124" s="7" t="s">
        <v>93</v>
      </c>
      <c r="J124" s="5" t="s">
        <v>186</v>
      </c>
      <c r="K124" s="5" t="s">
        <v>45</v>
      </c>
      <c r="L124" s="5" t="s">
        <v>10</v>
      </c>
      <c r="M124" s="5" t="s">
        <v>10</v>
      </c>
      <c r="N124" s="5" t="s">
        <v>10</v>
      </c>
      <c r="O124" s="46" t="s">
        <v>46</v>
      </c>
      <c r="P124" s="101">
        <v>46180</v>
      </c>
      <c r="Q124" s="100">
        <f>IF(P124="","",P124+183)</f>
        <v>46363</v>
      </c>
      <c r="R124" s="5" t="s">
        <v>4369</v>
      </c>
      <c r="S124" s="5" t="s">
        <v>5621</v>
      </c>
      <c r="T124" s="5">
        <v>0.151</v>
      </c>
      <c r="U124" s="5" t="s">
        <v>10</v>
      </c>
      <c r="V124" s="7">
        <f t="shared" si="13"/>
        <v>0.151</v>
      </c>
      <c r="W124" s="7">
        <v>0.5</v>
      </c>
      <c r="X124" s="7" t="s">
        <v>55</v>
      </c>
      <c r="Y124" s="7" t="s">
        <v>56</v>
      </c>
      <c r="Z124" s="48" t="str">
        <f t="shared" si="14"/>
        <v>APROVADO</v>
      </c>
      <c r="AA124" s="47">
        <v>11540684</v>
      </c>
      <c r="AB124" s="5" t="s">
        <v>2902</v>
      </c>
      <c r="AC124" s="5" t="s">
        <v>48</v>
      </c>
      <c r="AD124" s="5" t="s">
        <v>5632</v>
      </c>
      <c r="AE124" s="5" t="str">
        <f t="shared" ca="1" si="21"/>
        <v>NO PRAZO</v>
      </c>
      <c r="AF124" s="51"/>
    </row>
    <row r="125" spans="1:32" ht="30" customHeight="1" x14ac:dyDescent="0.25">
      <c r="A125" s="5" t="s">
        <v>189</v>
      </c>
      <c r="B125" s="7" t="s">
        <v>10</v>
      </c>
      <c r="C125" s="5" t="s">
        <v>5862</v>
      </c>
      <c r="D125" s="7" t="s">
        <v>96</v>
      </c>
      <c r="E125" s="7" t="s">
        <v>40</v>
      </c>
      <c r="F125" s="7" t="s">
        <v>41</v>
      </c>
      <c r="G125" s="5" t="s">
        <v>60</v>
      </c>
      <c r="H125" s="7" t="s">
        <v>188</v>
      </c>
      <c r="I125" s="7" t="s">
        <v>93</v>
      </c>
      <c r="J125" s="5" t="s">
        <v>186</v>
      </c>
      <c r="K125" s="5" t="s">
        <v>45</v>
      </c>
      <c r="L125" s="5" t="s">
        <v>10</v>
      </c>
      <c r="M125" s="5" t="s">
        <v>10</v>
      </c>
      <c r="N125" s="5" t="s">
        <v>10</v>
      </c>
      <c r="O125" s="46" t="s">
        <v>46</v>
      </c>
      <c r="P125" s="101">
        <v>46180</v>
      </c>
      <c r="Q125" s="100">
        <f>IF(P125="","",P125+183)</f>
        <v>46363</v>
      </c>
      <c r="R125" s="7" t="s">
        <v>4370</v>
      </c>
      <c r="S125" s="7" t="s">
        <v>5622</v>
      </c>
      <c r="T125" s="5">
        <v>0.151</v>
      </c>
      <c r="U125" s="5" t="s">
        <v>10</v>
      </c>
      <c r="V125" s="7">
        <f t="shared" si="13"/>
        <v>0.151</v>
      </c>
      <c r="W125" s="7">
        <v>0.5</v>
      </c>
      <c r="X125" s="7" t="s">
        <v>55</v>
      </c>
      <c r="Y125" s="7" t="s">
        <v>56</v>
      </c>
      <c r="Z125" s="48" t="str">
        <f t="shared" si="14"/>
        <v>APROVADO</v>
      </c>
      <c r="AA125" s="47">
        <v>11541792</v>
      </c>
      <c r="AB125" s="5" t="s">
        <v>2904</v>
      </c>
      <c r="AC125" s="5" t="s">
        <v>48</v>
      </c>
      <c r="AD125" s="5" t="s">
        <v>5632</v>
      </c>
      <c r="AE125" s="5" t="str">
        <f t="shared" ca="1" si="21"/>
        <v>NO PRAZO</v>
      </c>
      <c r="AF125" s="51"/>
    </row>
    <row r="126" spans="1:32" ht="30" customHeight="1" x14ac:dyDescent="0.25">
      <c r="A126" s="5" t="s">
        <v>191</v>
      </c>
      <c r="B126" s="7" t="s">
        <v>10</v>
      </c>
      <c r="C126" s="5" t="s">
        <v>5862</v>
      </c>
      <c r="D126" s="7" t="s">
        <v>96</v>
      </c>
      <c r="E126" s="7" t="s">
        <v>40</v>
      </c>
      <c r="F126" s="7" t="s">
        <v>41</v>
      </c>
      <c r="G126" s="5" t="s">
        <v>60</v>
      </c>
      <c r="H126" s="7" t="s">
        <v>190</v>
      </c>
      <c r="I126" s="7" t="s">
        <v>93</v>
      </c>
      <c r="J126" s="5" t="s">
        <v>186</v>
      </c>
      <c r="K126" s="5" t="s">
        <v>45</v>
      </c>
      <c r="L126" s="5" t="s">
        <v>10</v>
      </c>
      <c r="M126" s="5" t="s">
        <v>10</v>
      </c>
      <c r="N126" s="5" t="s">
        <v>10</v>
      </c>
      <c r="O126" s="46" t="s">
        <v>46</v>
      </c>
      <c r="P126" s="101">
        <v>46180</v>
      </c>
      <c r="Q126" s="100">
        <f>IF(P126="","",P126+183)</f>
        <v>46363</v>
      </c>
      <c r="R126" s="5" t="s">
        <v>4371</v>
      </c>
      <c r="S126" s="5" t="s">
        <v>5623</v>
      </c>
      <c r="T126" s="5">
        <v>0.17100000000000001</v>
      </c>
      <c r="U126" s="5" t="s">
        <v>10</v>
      </c>
      <c r="V126" s="7">
        <f t="shared" si="13"/>
        <v>0.17100000000000001</v>
      </c>
      <c r="W126" s="7">
        <v>0.5</v>
      </c>
      <c r="X126" s="7" t="s">
        <v>55</v>
      </c>
      <c r="Y126" s="7" t="s">
        <v>56</v>
      </c>
      <c r="Z126" s="48" t="str">
        <f t="shared" si="14"/>
        <v>APROVADO</v>
      </c>
      <c r="AA126" s="47">
        <v>11542038</v>
      </c>
      <c r="AB126" s="5" t="s">
        <v>2905</v>
      </c>
      <c r="AC126" s="5" t="s">
        <v>48</v>
      </c>
      <c r="AD126" s="5" t="s">
        <v>5632</v>
      </c>
      <c r="AE126" s="5" t="str">
        <f t="shared" ca="1" si="21"/>
        <v>NO PRAZO</v>
      </c>
      <c r="AF126" s="51"/>
    </row>
    <row r="127" spans="1:32" ht="30" customHeight="1" x14ac:dyDescent="0.25">
      <c r="A127" s="5" t="s">
        <v>194</v>
      </c>
      <c r="B127" s="7" t="s">
        <v>10</v>
      </c>
      <c r="C127" s="5" t="s">
        <v>5862</v>
      </c>
      <c r="D127" s="7" t="s">
        <v>96</v>
      </c>
      <c r="E127" s="7" t="s">
        <v>40</v>
      </c>
      <c r="F127" s="7" t="s">
        <v>41</v>
      </c>
      <c r="G127" s="5" t="s">
        <v>60</v>
      </c>
      <c r="H127" s="7" t="s">
        <v>193</v>
      </c>
      <c r="I127" s="7" t="s">
        <v>93</v>
      </c>
      <c r="J127" s="5" t="s">
        <v>186</v>
      </c>
      <c r="K127" s="5" t="s">
        <v>45</v>
      </c>
      <c r="L127" s="5" t="s">
        <v>10</v>
      </c>
      <c r="M127" s="5" t="s">
        <v>10</v>
      </c>
      <c r="N127" s="5" t="s">
        <v>10</v>
      </c>
      <c r="O127" s="46" t="s">
        <v>46</v>
      </c>
      <c r="P127" s="101">
        <v>46180</v>
      </c>
      <c r="Q127" s="100">
        <f>IF(P127="","",P127+183)</f>
        <v>46363</v>
      </c>
      <c r="R127" s="5" t="s">
        <v>4372</v>
      </c>
      <c r="S127" s="5" t="s">
        <v>5634</v>
      </c>
      <c r="T127" s="5">
        <v>0.17100000000000001</v>
      </c>
      <c r="U127" s="5" t="s">
        <v>10</v>
      </c>
      <c r="V127" s="7">
        <f t="shared" si="13"/>
        <v>0.17100000000000001</v>
      </c>
      <c r="W127" s="7">
        <v>0.5</v>
      </c>
      <c r="X127" s="7" t="s">
        <v>55</v>
      </c>
      <c r="Y127" s="7" t="s">
        <v>56</v>
      </c>
      <c r="Z127" s="48" t="str">
        <f t="shared" si="14"/>
        <v>APROVADO</v>
      </c>
      <c r="AA127" s="47">
        <v>11540661</v>
      </c>
      <c r="AB127" s="5" t="s">
        <v>2906</v>
      </c>
      <c r="AC127" s="5" t="s">
        <v>48</v>
      </c>
      <c r="AD127" s="5" t="s">
        <v>5632</v>
      </c>
      <c r="AE127" s="5" t="str">
        <f t="shared" ca="1" si="21"/>
        <v>NO PRAZO</v>
      </c>
      <c r="AF127" s="51"/>
    </row>
    <row r="128" spans="1:32" ht="30" customHeight="1" x14ac:dyDescent="0.25">
      <c r="A128" s="5" t="s">
        <v>197</v>
      </c>
      <c r="B128" s="7" t="s">
        <v>10</v>
      </c>
      <c r="C128" s="5" t="s">
        <v>5862</v>
      </c>
      <c r="D128" s="7" t="s">
        <v>96</v>
      </c>
      <c r="E128" s="7" t="s">
        <v>40</v>
      </c>
      <c r="F128" s="7" t="s">
        <v>182</v>
      </c>
      <c r="G128" s="5" t="s">
        <v>195</v>
      </c>
      <c r="H128" s="7" t="s">
        <v>196</v>
      </c>
      <c r="I128" s="7" t="s">
        <v>93</v>
      </c>
      <c r="J128" s="5" t="s">
        <v>183</v>
      </c>
      <c r="K128" s="5" t="s">
        <v>45</v>
      </c>
      <c r="L128" s="5" t="s">
        <v>10</v>
      </c>
      <c r="M128" s="5" t="s">
        <v>10</v>
      </c>
      <c r="N128" s="5" t="s">
        <v>10</v>
      </c>
      <c r="O128" s="46" t="s">
        <v>46</v>
      </c>
      <c r="P128" s="101">
        <v>46162</v>
      </c>
      <c r="Q128" s="100">
        <f>IF(P128="","",P128+184)</f>
        <v>46346</v>
      </c>
      <c r="R128" s="5" t="s">
        <v>3652</v>
      </c>
      <c r="S128" s="5" t="s">
        <v>5605</v>
      </c>
      <c r="T128" s="5">
        <v>0.17100000000000001</v>
      </c>
      <c r="U128" s="5" t="s">
        <v>10</v>
      </c>
      <c r="V128" s="7">
        <f t="shared" si="13"/>
        <v>0.17100000000000001</v>
      </c>
      <c r="W128" s="7">
        <v>0.5</v>
      </c>
      <c r="X128" s="7" t="s">
        <v>55</v>
      </c>
      <c r="Y128" s="7" t="s">
        <v>56</v>
      </c>
      <c r="Z128" s="48" t="str">
        <f t="shared" si="14"/>
        <v>APROVADO</v>
      </c>
      <c r="AA128" s="47">
        <v>11606570</v>
      </c>
      <c r="AB128" s="5" t="s">
        <v>4012</v>
      </c>
      <c r="AC128" s="5" t="s">
        <v>48</v>
      </c>
      <c r="AD128" s="5" t="s">
        <v>5530</v>
      </c>
      <c r="AE128" s="5" t="str">
        <f t="shared" ca="1" si="21"/>
        <v>NO PRAZO</v>
      </c>
      <c r="AF128" s="52"/>
    </row>
    <row r="129" spans="1:32" ht="30" customHeight="1" x14ac:dyDescent="0.25">
      <c r="A129" s="5" t="s">
        <v>4585</v>
      </c>
      <c r="B129" s="5" t="s">
        <v>201</v>
      </c>
      <c r="C129" s="5" t="s">
        <v>5862</v>
      </c>
      <c r="D129" s="7" t="s">
        <v>96</v>
      </c>
      <c r="E129" s="7" t="s">
        <v>40</v>
      </c>
      <c r="F129" s="7" t="s">
        <v>41</v>
      </c>
      <c r="G129" s="5" t="s">
        <v>198</v>
      </c>
      <c r="H129" s="7" t="s">
        <v>185</v>
      </c>
      <c r="I129" s="7" t="s">
        <v>93</v>
      </c>
      <c r="J129" s="5" t="s">
        <v>200</v>
      </c>
      <c r="K129" s="5" t="s">
        <v>45</v>
      </c>
      <c r="L129" s="5" t="s">
        <v>10</v>
      </c>
      <c r="M129" s="5" t="s">
        <v>10</v>
      </c>
      <c r="N129" s="5" t="s">
        <v>10</v>
      </c>
      <c r="O129" s="46" t="s">
        <v>46</v>
      </c>
      <c r="P129" s="101">
        <v>46194</v>
      </c>
      <c r="Q129" s="100">
        <f>IF(P129="","",P129+183)</f>
        <v>46377</v>
      </c>
      <c r="R129" s="5" t="s">
        <v>4434</v>
      </c>
      <c r="S129" s="5" t="s">
        <v>5673</v>
      </c>
      <c r="T129" s="5">
        <v>0.23</v>
      </c>
      <c r="U129" s="5" t="s">
        <v>10</v>
      </c>
      <c r="V129" s="7">
        <f t="shared" si="13"/>
        <v>0.23</v>
      </c>
      <c r="W129" s="7">
        <v>0.5</v>
      </c>
      <c r="X129" s="7" t="s">
        <v>55</v>
      </c>
      <c r="Y129" s="7" t="s">
        <v>56</v>
      </c>
      <c r="Z129" s="48" t="str">
        <f t="shared" si="14"/>
        <v>APROVADO</v>
      </c>
      <c r="AA129" s="47">
        <v>11538966</v>
      </c>
      <c r="AB129" s="5" t="s">
        <v>2998</v>
      </c>
      <c r="AC129" s="5" t="s">
        <v>48</v>
      </c>
      <c r="AD129" s="5" t="s">
        <v>5632</v>
      </c>
      <c r="AE129" s="5" t="str">
        <f t="shared" ca="1" si="21"/>
        <v>NO PRAZO</v>
      </c>
      <c r="AF129" s="52"/>
    </row>
    <row r="130" spans="1:32" ht="27.6" x14ac:dyDescent="0.25">
      <c r="A130" s="5" t="s">
        <v>4586</v>
      </c>
      <c r="B130" s="5" t="s">
        <v>204</v>
      </c>
      <c r="C130" s="5" t="s">
        <v>5862</v>
      </c>
      <c r="D130" s="7" t="s">
        <v>96</v>
      </c>
      <c r="E130" s="7" t="s">
        <v>40</v>
      </c>
      <c r="F130" s="7" t="s">
        <v>41</v>
      </c>
      <c r="G130" s="5" t="s">
        <v>198</v>
      </c>
      <c r="H130" s="7" t="s">
        <v>188</v>
      </c>
      <c r="I130" s="7" t="s">
        <v>93</v>
      </c>
      <c r="J130" s="5" t="s">
        <v>203</v>
      </c>
      <c r="K130" s="5" t="s">
        <v>45</v>
      </c>
      <c r="L130" s="5" t="s">
        <v>10</v>
      </c>
      <c r="M130" s="5" t="s">
        <v>10</v>
      </c>
      <c r="N130" s="5" t="s">
        <v>10</v>
      </c>
      <c r="O130" s="46" t="s">
        <v>46</v>
      </c>
      <c r="P130" s="101">
        <v>46208</v>
      </c>
      <c r="Q130" s="100">
        <f t="shared" ref="Q130:Q138" si="22">IF(P130="","",P130+184)</f>
        <v>46392</v>
      </c>
      <c r="R130" s="5" t="s">
        <v>4435</v>
      </c>
      <c r="S130" s="5" t="s">
        <v>5770</v>
      </c>
      <c r="T130" s="5">
        <v>0.17100000000000001</v>
      </c>
      <c r="U130" s="5" t="s">
        <v>10</v>
      </c>
      <c r="V130" s="7">
        <f t="shared" si="13"/>
        <v>0.17100000000000001</v>
      </c>
      <c r="W130" s="7">
        <v>0.5</v>
      </c>
      <c r="X130" s="7" t="s">
        <v>55</v>
      </c>
      <c r="Y130" s="7" t="s">
        <v>56</v>
      </c>
      <c r="Z130" s="48" t="str">
        <f t="shared" si="14"/>
        <v>APROVADO</v>
      </c>
      <c r="AA130" s="47">
        <v>11538963</v>
      </c>
      <c r="AB130" s="5" t="s">
        <v>3000</v>
      </c>
      <c r="AC130" s="5" t="s">
        <v>48</v>
      </c>
      <c r="AD130" s="5" t="s">
        <v>5632</v>
      </c>
      <c r="AE130" s="5" t="str">
        <f t="shared" ca="1" si="21"/>
        <v>NO PRAZO</v>
      </c>
      <c r="AF130" s="51"/>
    </row>
    <row r="131" spans="1:32" ht="30" customHeight="1" x14ac:dyDescent="0.25">
      <c r="A131" s="5" t="s">
        <v>4594</v>
      </c>
      <c r="B131" s="5" t="s">
        <v>5859</v>
      </c>
      <c r="C131" s="5" t="s">
        <v>5862</v>
      </c>
      <c r="D131" s="7" t="s">
        <v>96</v>
      </c>
      <c r="E131" s="7" t="s">
        <v>40</v>
      </c>
      <c r="F131" s="7" t="s">
        <v>41</v>
      </c>
      <c r="G131" s="5" t="s">
        <v>198</v>
      </c>
      <c r="H131" s="7" t="s">
        <v>190</v>
      </c>
      <c r="I131" s="7" t="s">
        <v>93</v>
      </c>
      <c r="J131" s="5" t="s">
        <v>203</v>
      </c>
      <c r="K131" s="5" t="s">
        <v>45</v>
      </c>
      <c r="L131" s="5" t="s">
        <v>10</v>
      </c>
      <c r="M131" s="5" t="s">
        <v>10</v>
      </c>
      <c r="N131" s="5" t="s">
        <v>10</v>
      </c>
      <c r="O131" s="46" t="s">
        <v>46</v>
      </c>
      <c r="P131" s="101">
        <v>46208</v>
      </c>
      <c r="Q131" s="100">
        <f t="shared" si="22"/>
        <v>46392</v>
      </c>
      <c r="R131" s="7" t="s">
        <v>4436</v>
      </c>
      <c r="S131" s="7" t="s">
        <v>5771</v>
      </c>
      <c r="T131" s="5">
        <v>0.151</v>
      </c>
      <c r="U131" s="5" t="s">
        <v>10</v>
      </c>
      <c r="V131" s="7">
        <f t="shared" si="13"/>
        <v>0.151</v>
      </c>
      <c r="W131" s="7">
        <v>0.5</v>
      </c>
      <c r="X131" s="7" t="s">
        <v>55</v>
      </c>
      <c r="Y131" s="7" t="s">
        <v>56</v>
      </c>
      <c r="Z131" s="48" t="str">
        <f t="shared" si="14"/>
        <v>APROVADO</v>
      </c>
      <c r="AA131" s="47">
        <v>11538961</v>
      </c>
      <c r="AB131" s="5" t="s">
        <v>3002</v>
      </c>
      <c r="AC131" s="5" t="s">
        <v>48</v>
      </c>
      <c r="AD131" s="5" t="s">
        <v>5632</v>
      </c>
      <c r="AE131" s="5" t="str">
        <f t="shared" ca="1" si="21"/>
        <v>NO PRAZO</v>
      </c>
      <c r="AF131" s="51"/>
    </row>
    <row r="132" spans="1:32" ht="30" customHeight="1" x14ac:dyDescent="0.25">
      <c r="A132" s="5" t="s">
        <v>4587</v>
      </c>
      <c r="B132" s="5" t="s">
        <v>5860</v>
      </c>
      <c r="C132" s="5" t="s">
        <v>5862</v>
      </c>
      <c r="D132" s="7" t="s">
        <v>96</v>
      </c>
      <c r="E132" s="7" t="s">
        <v>40</v>
      </c>
      <c r="F132" s="7" t="s">
        <v>41</v>
      </c>
      <c r="G132" s="5" t="s">
        <v>198</v>
      </c>
      <c r="H132" s="7" t="s">
        <v>193</v>
      </c>
      <c r="I132" s="7" t="s">
        <v>93</v>
      </c>
      <c r="J132" s="5" t="s">
        <v>205</v>
      </c>
      <c r="K132" s="5" t="s">
        <v>45</v>
      </c>
      <c r="L132" s="5" t="s">
        <v>10</v>
      </c>
      <c r="M132" s="5" t="s">
        <v>10</v>
      </c>
      <c r="N132" s="5" t="s">
        <v>10</v>
      </c>
      <c r="O132" s="46" t="s">
        <v>46</v>
      </c>
      <c r="P132" s="101">
        <v>46208</v>
      </c>
      <c r="Q132" s="100">
        <f t="shared" si="22"/>
        <v>46392</v>
      </c>
      <c r="R132" s="5" t="s">
        <v>4437</v>
      </c>
      <c r="S132" s="5" t="s">
        <v>5772</v>
      </c>
      <c r="T132" s="5">
        <v>0.17100000000000001</v>
      </c>
      <c r="U132" s="5" t="s">
        <v>10</v>
      </c>
      <c r="V132" s="7">
        <f t="shared" si="13"/>
        <v>0.17100000000000001</v>
      </c>
      <c r="W132" s="7">
        <v>0.5</v>
      </c>
      <c r="X132" s="7" t="s">
        <v>55</v>
      </c>
      <c r="Y132" s="7" t="s">
        <v>56</v>
      </c>
      <c r="Z132" s="48" t="str">
        <f t="shared" si="14"/>
        <v>APROVADO</v>
      </c>
      <c r="AA132" s="47">
        <v>11538960</v>
      </c>
      <c r="AB132" s="5" t="s">
        <v>3964</v>
      </c>
      <c r="AC132" s="5" t="s">
        <v>48</v>
      </c>
      <c r="AD132" s="5" t="s">
        <v>5632</v>
      </c>
      <c r="AE132" s="5" t="str">
        <f t="shared" ca="1" si="21"/>
        <v>NO PRAZO</v>
      </c>
      <c r="AF132" s="51"/>
    </row>
    <row r="133" spans="1:32" ht="30" customHeight="1" x14ac:dyDescent="0.25">
      <c r="A133" s="8" t="s">
        <v>274</v>
      </c>
      <c r="B133" s="7" t="s">
        <v>10</v>
      </c>
      <c r="C133" s="5" t="s">
        <v>5862</v>
      </c>
      <c r="D133" s="7" t="s">
        <v>96</v>
      </c>
      <c r="E133" s="7" t="s">
        <v>40</v>
      </c>
      <c r="F133" s="7" t="s">
        <v>156</v>
      </c>
      <c r="G133" s="7" t="s">
        <v>270</v>
      </c>
      <c r="H133" s="7" t="s">
        <v>158</v>
      </c>
      <c r="I133" s="7" t="s">
        <v>115</v>
      </c>
      <c r="J133" s="5" t="s">
        <v>102</v>
      </c>
      <c r="K133" s="5" t="s">
        <v>45</v>
      </c>
      <c r="L133" s="5" t="s">
        <v>10</v>
      </c>
      <c r="M133" s="5" t="s">
        <v>10</v>
      </c>
      <c r="N133" s="5" t="s">
        <v>10</v>
      </c>
      <c r="O133" s="46" t="s">
        <v>46</v>
      </c>
      <c r="P133" s="100">
        <v>46158</v>
      </c>
      <c r="Q133" s="100">
        <f t="shared" si="22"/>
        <v>46342</v>
      </c>
      <c r="R133" s="5" t="s">
        <v>3653</v>
      </c>
      <c r="S133" s="5" t="s">
        <v>5492</v>
      </c>
      <c r="T133" s="59">
        <v>0.17</v>
      </c>
      <c r="U133" s="59" t="s">
        <v>10</v>
      </c>
      <c r="V133" s="7">
        <f t="shared" si="13"/>
        <v>0.17</v>
      </c>
      <c r="W133" s="7">
        <v>0.5</v>
      </c>
      <c r="X133" s="7" t="s">
        <v>55</v>
      </c>
      <c r="Y133" s="7" t="s">
        <v>56</v>
      </c>
      <c r="Z133" s="48" t="str">
        <f t="shared" si="14"/>
        <v>APROVADO</v>
      </c>
      <c r="AA133" s="47">
        <v>11541811</v>
      </c>
      <c r="AB133" s="5" t="s">
        <v>2837</v>
      </c>
      <c r="AC133" s="5" t="s">
        <v>48</v>
      </c>
      <c r="AD133" s="5" t="s">
        <v>5530</v>
      </c>
      <c r="AE133" s="5" t="str">
        <f t="shared" ca="1" si="21"/>
        <v>NO PRAZO</v>
      </c>
      <c r="AF133" s="53"/>
    </row>
    <row r="134" spans="1:32" ht="30" customHeight="1" x14ac:dyDescent="0.25">
      <c r="A134" s="8" t="s">
        <v>275</v>
      </c>
      <c r="B134" s="7" t="s">
        <v>10</v>
      </c>
      <c r="C134" s="5" t="s">
        <v>5862</v>
      </c>
      <c r="D134" s="7" t="s">
        <v>96</v>
      </c>
      <c r="E134" s="7" t="s">
        <v>40</v>
      </c>
      <c r="F134" s="7" t="s">
        <v>156</v>
      </c>
      <c r="G134" s="7" t="s">
        <v>270</v>
      </c>
      <c r="H134" s="7" t="s">
        <v>158</v>
      </c>
      <c r="I134" s="7" t="s">
        <v>121</v>
      </c>
      <c r="J134" s="5" t="s">
        <v>102</v>
      </c>
      <c r="K134" s="5" t="s">
        <v>45</v>
      </c>
      <c r="L134" s="5" t="s">
        <v>10</v>
      </c>
      <c r="M134" s="5" t="s">
        <v>10</v>
      </c>
      <c r="N134" s="5" t="s">
        <v>10</v>
      </c>
      <c r="O134" s="46" t="s">
        <v>46</v>
      </c>
      <c r="P134" s="100">
        <v>46158</v>
      </c>
      <c r="Q134" s="100">
        <f t="shared" si="22"/>
        <v>46342</v>
      </c>
      <c r="R134" s="5" t="s">
        <v>3654</v>
      </c>
      <c r="S134" s="5" t="s">
        <v>5493</v>
      </c>
      <c r="T134" s="59">
        <v>0.18</v>
      </c>
      <c r="U134" s="59" t="s">
        <v>10</v>
      </c>
      <c r="V134" s="7">
        <f t="shared" si="13"/>
        <v>0.18</v>
      </c>
      <c r="W134" s="7">
        <v>0.5</v>
      </c>
      <c r="X134" s="7" t="s">
        <v>55</v>
      </c>
      <c r="Y134" s="7" t="s">
        <v>56</v>
      </c>
      <c r="Z134" s="48" t="str">
        <f t="shared" si="14"/>
        <v>APROVADO</v>
      </c>
      <c r="AA134" s="47">
        <v>11541812</v>
      </c>
      <c r="AB134" s="5" t="s">
        <v>2014</v>
      </c>
      <c r="AC134" s="5" t="s">
        <v>48</v>
      </c>
      <c r="AD134" s="5" t="s">
        <v>5530</v>
      </c>
      <c r="AE134" s="5" t="str">
        <f t="shared" ca="1" si="21"/>
        <v>NO PRAZO</v>
      </c>
      <c r="AF134" s="53"/>
    </row>
    <row r="135" spans="1:32" ht="30" customHeight="1" x14ac:dyDescent="0.25">
      <c r="A135" s="6" t="s">
        <v>4684</v>
      </c>
      <c r="B135" s="6" t="s">
        <v>279</v>
      </c>
      <c r="C135" s="5" t="s">
        <v>5862</v>
      </c>
      <c r="D135" s="5" t="s">
        <v>348</v>
      </c>
      <c r="E135" s="7" t="s">
        <v>40</v>
      </c>
      <c r="F135" s="7" t="s">
        <v>41</v>
      </c>
      <c r="G135" s="5" t="s">
        <v>42</v>
      </c>
      <c r="H135" s="7" t="s">
        <v>185</v>
      </c>
      <c r="I135" s="7" t="s">
        <v>93</v>
      </c>
      <c r="J135" s="5" t="s">
        <v>200</v>
      </c>
      <c r="K135" s="5" t="s">
        <v>45</v>
      </c>
      <c r="L135" s="5" t="s">
        <v>10</v>
      </c>
      <c r="M135" s="5" t="s">
        <v>10</v>
      </c>
      <c r="N135" s="5" t="s">
        <v>10</v>
      </c>
      <c r="O135" s="46" t="s">
        <v>46</v>
      </c>
      <c r="P135" s="101">
        <v>46236</v>
      </c>
      <c r="Q135" s="100">
        <f t="shared" si="22"/>
        <v>46420</v>
      </c>
      <c r="R135" s="5" t="s">
        <v>4925</v>
      </c>
      <c r="S135" s="5" t="s">
        <v>5960</v>
      </c>
      <c r="T135" s="5"/>
      <c r="U135" s="5" t="s">
        <v>10</v>
      </c>
      <c r="V135" s="7">
        <f t="shared" si="13"/>
        <v>0</v>
      </c>
      <c r="W135" s="7">
        <v>0.5</v>
      </c>
      <c r="X135" s="7" t="s">
        <v>55</v>
      </c>
      <c r="Y135" s="7" t="s">
        <v>56</v>
      </c>
      <c r="Z135" s="48" t="str">
        <f t="shared" si="14"/>
        <v>AGUARDANDO CERTIFICADO</v>
      </c>
      <c r="AA135" s="47">
        <v>11541344</v>
      </c>
      <c r="AB135" s="5" t="s">
        <v>2467</v>
      </c>
      <c r="AC135" s="5" t="s">
        <v>48</v>
      </c>
      <c r="AD135" s="5" t="s">
        <v>5632</v>
      </c>
      <c r="AE135" s="5" t="str">
        <f t="shared" ca="1" si="21"/>
        <v>NO PRAZO</v>
      </c>
      <c r="AF135" s="52" t="s">
        <v>5967</v>
      </c>
    </row>
    <row r="136" spans="1:32" ht="30" customHeight="1" x14ac:dyDescent="0.25">
      <c r="A136" s="6" t="s">
        <v>5958</v>
      </c>
      <c r="B136" s="6" t="s">
        <v>4685</v>
      </c>
      <c r="C136" s="5" t="s">
        <v>5862</v>
      </c>
      <c r="D136" s="5" t="s">
        <v>348</v>
      </c>
      <c r="E136" s="7" t="s">
        <v>40</v>
      </c>
      <c r="F136" s="7" t="s">
        <v>41</v>
      </c>
      <c r="G136" s="5" t="s">
        <v>42</v>
      </c>
      <c r="H136" s="7" t="s">
        <v>188</v>
      </c>
      <c r="I136" s="7" t="s">
        <v>93</v>
      </c>
      <c r="J136" s="5" t="s">
        <v>280</v>
      </c>
      <c r="K136" s="5" t="s">
        <v>45</v>
      </c>
      <c r="L136" s="5" t="s">
        <v>10</v>
      </c>
      <c r="M136" s="5" t="s">
        <v>10</v>
      </c>
      <c r="N136" s="5" t="s">
        <v>10</v>
      </c>
      <c r="O136" s="46" t="s">
        <v>46</v>
      </c>
      <c r="P136" s="101">
        <v>46236</v>
      </c>
      <c r="Q136" s="100">
        <f t="shared" si="22"/>
        <v>46420</v>
      </c>
      <c r="R136" s="5" t="s">
        <v>4688</v>
      </c>
      <c r="S136" s="5" t="s">
        <v>5959</v>
      </c>
      <c r="T136" s="5"/>
      <c r="U136" s="5" t="s">
        <v>10</v>
      </c>
      <c r="V136" s="7">
        <f t="shared" si="13"/>
        <v>0</v>
      </c>
      <c r="W136" s="7">
        <v>0.5</v>
      </c>
      <c r="X136" s="7" t="s">
        <v>55</v>
      </c>
      <c r="Y136" s="7" t="s">
        <v>56</v>
      </c>
      <c r="Z136" s="48" t="str">
        <f t="shared" si="14"/>
        <v>AGUARDANDO CERTIFICADO</v>
      </c>
      <c r="AA136" s="47">
        <v>11541441</v>
      </c>
      <c r="AB136" s="5" t="s">
        <v>2468</v>
      </c>
      <c r="AC136" s="5" t="s">
        <v>48</v>
      </c>
      <c r="AD136" s="5" t="s">
        <v>5632</v>
      </c>
      <c r="AE136" s="5" t="str">
        <f t="shared" ca="1" si="21"/>
        <v>NO PRAZO</v>
      </c>
      <c r="AF136" s="52" t="s">
        <v>5967</v>
      </c>
    </row>
    <row r="137" spans="1:32" ht="30" customHeight="1" x14ac:dyDescent="0.25">
      <c r="A137" s="6" t="s">
        <v>4686</v>
      </c>
      <c r="B137" s="6" t="s">
        <v>281</v>
      </c>
      <c r="C137" s="5" t="s">
        <v>5862</v>
      </c>
      <c r="D137" s="5" t="s">
        <v>348</v>
      </c>
      <c r="E137" s="7" t="s">
        <v>40</v>
      </c>
      <c r="F137" s="7" t="s">
        <v>41</v>
      </c>
      <c r="G137" s="5" t="s">
        <v>42</v>
      </c>
      <c r="H137" s="7" t="s">
        <v>190</v>
      </c>
      <c r="I137" s="7" t="s">
        <v>93</v>
      </c>
      <c r="J137" s="5" t="s">
        <v>280</v>
      </c>
      <c r="K137" s="5" t="s">
        <v>45</v>
      </c>
      <c r="L137" s="5" t="s">
        <v>10</v>
      </c>
      <c r="M137" s="5" t="s">
        <v>10</v>
      </c>
      <c r="N137" s="5" t="s">
        <v>10</v>
      </c>
      <c r="O137" s="46" t="s">
        <v>46</v>
      </c>
      <c r="P137" s="101">
        <v>46236</v>
      </c>
      <c r="Q137" s="100">
        <f t="shared" si="22"/>
        <v>46420</v>
      </c>
      <c r="R137" s="5" t="s">
        <v>4689</v>
      </c>
      <c r="S137" s="5" t="s">
        <v>5961</v>
      </c>
      <c r="T137" s="5"/>
      <c r="U137" s="5" t="s">
        <v>10</v>
      </c>
      <c r="V137" s="7">
        <f t="shared" si="13"/>
        <v>0</v>
      </c>
      <c r="W137" s="7">
        <v>0.5</v>
      </c>
      <c r="X137" s="7" t="s">
        <v>55</v>
      </c>
      <c r="Y137" s="7" t="s">
        <v>56</v>
      </c>
      <c r="Z137" s="48" t="str">
        <f t="shared" si="14"/>
        <v>AGUARDANDO CERTIFICADO</v>
      </c>
      <c r="AA137" s="47">
        <v>11541442</v>
      </c>
      <c r="AB137" s="5" t="s">
        <v>2469</v>
      </c>
      <c r="AC137" s="5" t="s">
        <v>48</v>
      </c>
      <c r="AD137" s="5" t="s">
        <v>5632</v>
      </c>
      <c r="AE137" s="5" t="str">
        <f t="shared" ca="1" si="21"/>
        <v>NO PRAZO</v>
      </c>
      <c r="AF137" s="52" t="s">
        <v>5967</v>
      </c>
    </row>
    <row r="138" spans="1:32" ht="30" customHeight="1" x14ac:dyDescent="0.25">
      <c r="A138" s="6" t="s">
        <v>4687</v>
      </c>
      <c r="B138" s="6" t="s">
        <v>283</v>
      </c>
      <c r="C138" s="5" t="s">
        <v>5862</v>
      </c>
      <c r="D138" s="5" t="s">
        <v>348</v>
      </c>
      <c r="E138" s="7" t="s">
        <v>40</v>
      </c>
      <c r="F138" s="7" t="s">
        <v>41</v>
      </c>
      <c r="G138" s="5" t="s">
        <v>42</v>
      </c>
      <c r="H138" s="7" t="s">
        <v>193</v>
      </c>
      <c r="I138" s="7" t="s">
        <v>93</v>
      </c>
      <c r="J138" s="5" t="s">
        <v>284</v>
      </c>
      <c r="K138" s="5" t="s">
        <v>45</v>
      </c>
      <c r="L138" s="5" t="s">
        <v>10</v>
      </c>
      <c r="M138" s="5" t="s">
        <v>10</v>
      </c>
      <c r="N138" s="5" t="s">
        <v>10</v>
      </c>
      <c r="O138" s="46" t="s">
        <v>46</v>
      </c>
      <c r="P138" s="101">
        <v>46236</v>
      </c>
      <c r="Q138" s="100">
        <f t="shared" si="22"/>
        <v>46420</v>
      </c>
      <c r="R138" s="5" t="s">
        <v>4690</v>
      </c>
      <c r="S138" s="5" t="s">
        <v>5962</v>
      </c>
      <c r="T138" s="5"/>
      <c r="U138" s="5" t="s">
        <v>10</v>
      </c>
      <c r="V138" s="7">
        <f t="shared" si="13"/>
        <v>0</v>
      </c>
      <c r="W138" s="7">
        <v>0.5</v>
      </c>
      <c r="X138" s="7" t="s">
        <v>55</v>
      </c>
      <c r="Y138" s="7" t="s">
        <v>56</v>
      </c>
      <c r="Z138" s="48" t="str">
        <f t="shared" si="14"/>
        <v>AGUARDANDO CERTIFICADO</v>
      </c>
      <c r="AA138" s="47">
        <v>11597138</v>
      </c>
      <c r="AB138" s="5" t="s">
        <v>2470</v>
      </c>
      <c r="AC138" s="5" t="s">
        <v>48</v>
      </c>
      <c r="AD138" s="5" t="s">
        <v>5632</v>
      </c>
      <c r="AE138" s="5" t="str">
        <f t="shared" ca="1" si="21"/>
        <v>NO PRAZO</v>
      </c>
      <c r="AF138" s="52" t="s">
        <v>5967</v>
      </c>
    </row>
    <row r="139" spans="1:32" ht="30" customHeight="1" x14ac:dyDescent="0.25">
      <c r="A139" s="5" t="s">
        <v>625</v>
      </c>
      <c r="B139" s="5" t="s">
        <v>10</v>
      </c>
      <c r="C139" s="5" t="s">
        <v>5862</v>
      </c>
      <c r="D139" s="7" t="s">
        <v>5321</v>
      </c>
      <c r="E139" s="7" t="s">
        <v>50</v>
      </c>
      <c r="F139" s="7" t="s">
        <v>589</v>
      </c>
      <c r="G139" s="7" t="s">
        <v>590</v>
      </c>
      <c r="H139" s="7" t="s">
        <v>591</v>
      </c>
      <c r="I139" s="7" t="s">
        <v>626</v>
      </c>
      <c r="J139" s="7" t="s">
        <v>592</v>
      </c>
      <c r="K139" s="7" t="s">
        <v>45</v>
      </c>
      <c r="L139" s="5" t="s">
        <v>10</v>
      </c>
      <c r="M139" s="5" t="s">
        <v>10</v>
      </c>
      <c r="N139" s="5" t="s">
        <v>10</v>
      </c>
      <c r="O139" s="46" t="s">
        <v>46</v>
      </c>
      <c r="P139" s="100">
        <v>46116</v>
      </c>
      <c r="Q139" s="100">
        <f>IF(P139="","",P139+183)</f>
        <v>46299</v>
      </c>
      <c r="R139" s="5" t="s">
        <v>3514</v>
      </c>
      <c r="S139" s="5" t="s">
        <v>5199</v>
      </c>
      <c r="T139" s="7">
        <v>0.17100000000000001</v>
      </c>
      <c r="U139" s="5" t="s">
        <v>340</v>
      </c>
      <c r="V139" s="7">
        <f t="shared" si="13"/>
        <v>0.17100000000000001</v>
      </c>
      <c r="W139" s="5">
        <v>0.5</v>
      </c>
      <c r="X139" s="5" t="s">
        <v>55</v>
      </c>
      <c r="Y139" s="7" t="s">
        <v>56</v>
      </c>
      <c r="Z139" s="48" t="str">
        <f t="shared" si="14"/>
        <v>APROVADO</v>
      </c>
      <c r="AA139" s="47">
        <v>11601339</v>
      </c>
      <c r="AB139" s="5" t="s">
        <v>2773</v>
      </c>
      <c r="AC139" s="7" t="s">
        <v>48</v>
      </c>
      <c r="AD139" s="5" t="s">
        <v>5530</v>
      </c>
      <c r="AE139" s="5" t="str">
        <f t="shared" ca="1" si="21"/>
        <v>NO PRAZO</v>
      </c>
      <c r="AF139" s="49"/>
    </row>
    <row r="140" spans="1:32" ht="30" customHeight="1" x14ac:dyDescent="0.25">
      <c r="A140" s="7" t="s">
        <v>3376</v>
      </c>
      <c r="B140" s="7"/>
      <c r="C140" s="5" t="s">
        <v>5862</v>
      </c>
      <c r="D140" s="61" t="s">
        <v>348</v>
      </c>
      <c r="E140" s="7" t="s">
        <v>40</v>
      </c>
      <c r="F140" s="7" t="s">
        <v>90</v>
      </c>
      <c r="G140" s="7" t="s">
        <v>118</v>
      </c>
      <c r="H140" s="7" t="s">
        <v>92</v>
      </c>
      <c r="I140" s="7" t="s">
        <v>93</v>
      </c>
      <c r="J140" s="5" t="s">
        <v>94</v>
      </c>
      <c r="K140" s="5" t="s">
        <v>45</v>
      </c>
      <c r="L140" s="5" t="s">
        <v>10</v>
      </c>
      <c r="M140" s="5" t="s">
        <v>10</v>
      </c>
      <c r="N140" s="5" t="s">
        <v>10</v>
      </c>
      <c r="O140" s="46" t="s">
        <v>46</v>
      </c>
      <c r="P140" s="100">
        <v>46103</v>
      </c>
      <c r="Q140" s="100">
        <f t="shared" ref="Q140:Q179" si="23">IF(P140="","",P140+184)</f>
        <v>46287</v>
      </c>
      <c r="R140" s="54" t="s">
        <v>3501</v>
      </c>
      <c r="S140" s="54" t="s">
        <v>5075</v>
      </c>
      <c r="T140" s="7">
        <v>0.158</v>
      </c>
      <c r="U140" s="7" t="s">
        <v>10</v>
      </c>
      <c r="V140" s="7">
        <f t="shared" si="13"/>
        <v>0.158</v>
      </c>
      <c r="W140" s="7">
        <v>0.5</v>
      </c>
      <c r="X140" s="7" t="s">
        <v>55</v>
      </c>
      <c r="Y140" s="7" t="s">
        <v>56</v>
      </c>
      <c r="Z140" s="48" t="str">
        <f t="shared" si="14"/>
        <v>APROVADO</v>
      </c>
      <c r="AA140" s="47">
        <v>11606561</v>
      </c>
      <c r="AB140" s="5" t="s">
        <v>4003</v>
      </c>
      <c r="AC140" s="5" t="s">
        <v>48</v>
      </c>
      <c r="AD140" s="5" t="s">
        <v>5530</v>
      </c>
      <c r="AE140" s="5" t="str">
        <f t="shared" ca="1" si="21"/>
        <v>NO PRAZO</v>
      </c>
      <c r="AF140" s="49"/>
    </row>
    <row r="141" spans="1:32" ht="30" customHeight="1" x14ac:dyDescent="0.25">
      <c r="A141" s="7" t="s">
        <v>1491</v>
      </c>
      <c r="B141" s="5" t="s">
        <v>10</v>
      </c>
      <c r="C141" s="5" t="s">
        <v>5863</v>
      </c>
      <c r="D141" s="61" t="s">
        <v>348</v>
      </c>
      <c r="E141" s="7" t="s">
        <v>40</v>
      </c>
      <c r="F141" s="7" t="s">
        <v>644</v>
      </c>
      <c r="G141" s="7" t="s">
        <v>1492</v>
      </c>
      <c r="H141" s="7" t="s">
        <v>92</v>
      </c>
      <c r="I141" s="7" t="s">
        <v>121</v>
      </c>
      <c r="J141" s="7" t="s">
        <v>587</v>
      </c>
      <c r="K141" s="5" t="s">
        <v>10</v>
      </c>
      <c r="L141" s="5" t="s">
        <v>10</v>
      </c>
      <c r="M141" s="5" t="s">
        <v>10</v>
      </c>
      <c r="N141" s="5" t="s">
        <v>45</v>
      </c>
      <c r="O141" s="46" t="s">
        <v>46</v>
      </c>
      <c r="P141" s="101">
        <v>46103</v>
      </c>
      <c r="Q141" s="100">
        <f t="shared" si="23"/>
        <v>46287</v>
      </c>
      <c r="R141" s="5" t="s">
        <v>3381</v>
      </c>
      <c r="S141" s="5" t="s">
        <v>5105</v>
      </c>
      <c r="T141" s="7">
        <v>0.159</v>
      </c>
      <c r="U141" s="7" t="s">
        <v>10</v>
      </c>
      <c r="V141" s="7">
        <f t="shared" si="13"/>
        <v>0.159</v>
      </c>
      <c r="W141" s="7">
        <v>0.5</v>
      </c>
      <c r="X141" s="7" t="s">
        <v>55</v>
      </c>
      <c r="Y141" s="7" t="s">
        <v>56</v>
      </c>
      <c r="Z141" s="48" t="str">
        <f t="shared" si="14"/>
        <v>APROVADO</v>
      </c>
      <c r="AA141" s="47">
        <v>11597195</v>
      </c>
      <c r="AB141" s="5" t="s">
        <v>2632</v>
      </c>
      <c r="AC141" s="5" t="s">
        <v>48</v>
      </c>
      <c r="AD141" s="5" t="s">
        <v>5530</v>
      </c>
      <c r="AE141" s="5" t="str">
        <f t="shared" ca="1" si="21"/>
        <v>NO PRAZO</v>
      </c>
      <c r="AF141" s="49"/>
    </row>
    <row r="142" spans="1:32" ht="28.2" customHeight="1" x14ac:dyDescent="0.25">
      <c r="A142" s="7" t="s">
        <v>1493</v>
      </c>
      <c r="B142" s="5" t="s">
        <v>10</v>
      </c>
      <c r="C142" s="5" t="s">
        <v>5863</v>
      </c>
      <c r="D142" s="61" t="s">
        <v>348</v>
      </c>
      <c r="E142" s="7" t="s">
        <v>40</v>
      </c>
      <c r="F142" s="7" t="s">
        <v>644</v>
      </c>
      <c r="G142" s="7" t="s">
        <v>1492</v>
      </c>
      <c r="H142" s="7" t="s">
        <v>92</v>
      </c>
      <c r="I142" s="7" t="s">
        <v>121</v>
      </c>
      <c r="J142" s="7" t="s">
        <v>587</v>
      </c>
      <c r="K142" s="5" t="s">
        <v>10</v>
      </c>
      <c r="L142" s="5" t="s">
        <v>10</v>
      </c>
      <c r="M142" s="5" t="s">
        <v>10</v>
      </c>
      <c r="N142" s="5" t="s">
        <v>45</v>
      </c>
      <c r="O142" s="46" t="s">
        <v>46</v>
      </c>
      <c r="P142" s="101">
        <v>46103</v>
      </c>
      <c r="Q142" s="100">
        <f t="shared" si="23"/>
        <v>46287</v>
      </c>
      <c r="R142" s="5" t="s">
        <v>3382</v>
      </c>
      <c r="S142" s="5" t="s">
        <v>5106</v>
      </c>
      <c r="T142" s="7">
        <v>0.25900000000000001</v>
      </c>
      <c r="U142" s="7" t="s">
        <v>10</v>
      </c>
      <c r="V142" s="7">
        <f t="shared" si="13"/>
        <v>0.25900000000000001</v>
      </c>
      <c r="W142" s="7">
        <v>0.5</v>
      </c>
      <c r="X142" s="7" t="s">
        <v>55</v>
      </c>
      <c r="Y142" s="7" t="s">
        <v>56</v>
      </c>
      <c r="Z142" s="48" t="str">
        <f t="shared" si="14"/>
        <v>APROVADO</v>
      </c>
      <c r="AA142" s="47">
        <v>11597197</v>
      </c>
      <c r="AB142" s="5" t="s">
        <v>2633</v>
      </c>
      <c r="AC142" s="5" t="s">
        <v>48</v>
      </c>
      <c r="AD142" s="5" t="s">
        <v>5530</v>
      </c>
      <c r="AE142" s="5" t="str">
        <f t="shared" ca="1" si="21"/>
        <v>NO PRAZO</v>
      </c>
      <c r="AF142" s="49"/>
    </row>
    <row r="143" spans="1:32" ht="30" customHeight="1" x14ac:dyDescent="0.25">
      <c r="A143" s="7" t="s">
        <v>1494</v>
      </c>
      <c r="B143" s="5" t="s">
        <v>10</v>
      </c>
      <c r="C143" s="5" t="s">
        <v>5863</v>
      </c>
      <c r="D143" s="61" t="s">
        <v>348</v>
      </c>
      <c r="E143" s="7" t="s">
        <v>40</v>
      </c>
      <c r="F143" s="7" t="s">
        <v>644</v>
      </c>
      <c r="G143" s="7" t="s">
        <v>1495</v>
      </c>
      <c r="H143" s="7" t="s">
        <v>92</v>
      </c>
      <c r="I143" s="7" t="s">
        <v>121</v>
      </c>
      <c r="J143" s="7" t="s">
        <v>587</v>
      </c>
      <c r="K143" s="5" t="s">
        <v>10</v>
      </c>
      <c r="L143" s="5" t="s">
        <v>10</v>
      </c>
      <c r="M143" s="5" t="s">
        <v>10</v>
      </c>
      <c r="N143" s="5" t="s">
        <v>45</v>
      </c>
      <c r="O143" s="46" t="s">
        <v>46</v>
      </c>
      <c r="P143" s="101">
        <v>46103</v>
      </c>
      <c r="Q143" s="100">
        <f t="shared" si="23"/>
        <v>46287</v>
      </c>
      <c r="R143" s="5" t="s">
        <v>3383</v>
      </c>
      <c r="S143" s="5" t="s">
        <v>5107</v>
      </c>
      <c r="T143" s="7">
        <v>0.25900000000000001</v>
      </c>
      <c r="U143" s="7" t="s">
        <v>10</v>
      </c>
      <c r="V143" s="7">
        <f t="shared" ref="V143:V206" si="24">IFERROR(IF(U143&gt;0,T143*100/U143,T143),T143)</f>
        <v>0.25900000000000001</v>
      </c>
      <c r="W143" s="7">
        <v>0.5</v>
      </c>
      <c r="X143" s="7" t="s">
        <v>55</v>
      </c>
      <c r="Y143" s="7" t="s">
        <v>56</v>
      </c>
      <c r="Z143" s="48" t="str">
        <f t="shared" ref="Z143:Z206" si="25">IFERROR(IF(W143="-",$AL$6,CHOOSE(IF(T143="",1,2),$AL$7,IF(V143&gt;W143,$AL$5,$AL$4))),"-")</f>
        <v>APROVADO</v>
      </c>
      <c r="AA143" s="47">
        <v>11597198</v>
      </c>
      <c r="AB143" s="5" t="s">
        <v>2634</v>
      </c>
      <c r="AC143" s="5" t="s">
        <v>48</v>
      </c>
      <c r="AD143" s="5" t="s">
        <v>5530</v>
      </c>
      <c r="AE143" s="5" t="str">
        <f t="shared" ca="1" si="21"/>
        <v>NO PRAZO</v>
      </c>
      <c r="AF143" s="49"/>
    </row>
    <row r="144" spans="1:32" ht="30" customHeight="1" x14ac:dyDescent="0.25">
      <c r="A144" s="7" t="s">
        <v>1496</v>
      </c>
      <c r="B144" s="5" t="s">
        <v>10</v>
      </c>
      <c r="C144" s="5" t="s">
        <v>5863</v>
      </c>
      <c r="D144" s="61" t="s">
        <v>348</v>
      </c>
      <c r="E144" s="7" t="s">
        <v>40</v>
      </c>
      <c r="F144" s="7" t="s">
        <v>644</v>
      </c>
      <c r="G144" s="7" t="s">
        <v>1495</v>
      </c>
      <c r="H144" s="7" t="s">
        <v>92</v>
      </c>
      <c r="I144" s="7" t="s">
        <v>121</v>
      </c>
      <c r="J144" s="7" t="s">
        <v>587</v>
      </c>
      <c r="K144" s="5" t="s">
        <v>10</v>
      </c>
      <c r="L144" s="5" t="s">
        <v>10</v>
      </c>
      <c r="M144" s="5" t="s">
        <v>10</v>
      </c>
      <c r="N144" s="5" t="s">
        <v>45</v>
      </c>
      <c r="O144" s="46" t="s">
        <v>46</v>
      </c>
      <c r="P144" s="101">
        <v>46103</v>
      </c>
      <c r="Q144" s="100">
        <f t="shared" si="23"/>
        <v>46287</v>
      </c>
      <c r="R144" s="5" t="s">
        <v>3384</v>
      </c>
      <c r="S144" s="5" t="s">
        <v>5108</v>
      </c>
      <c r="T144" s="7">
        <v>0.159</v>
      </c>
      <c r="U144" s="7" t="s">
        <v>10</v>
      </c>
      <c r="V144" s="7">
        <f t="shared" si="24"/>
        <v>0.159</v>
      </c>
      <c r="W144" s="7">
        <v>0.5</v>
      </c>
      <c r="X144" s="7" t="s">
        <v>55</v>
      </c>
      <c r="Y144" s="7" t="s">
        <v>56</v>
      </c>
      <c r="Z144" s="48" t="str">
        <f t="shared" si="25"/>
        <v>APROVADO</v>
      </c>
      <c r="AA144" s="47">
        <v>11597199</v>
      </c>
      <c r="AB144" s="5" t="s">
        <v>2635</v>
      </c>
      <c r="AC144" s="5" t="s">
        <v>48</v>
      </c>
      <c r="AD144" s="5" t="s">
        <v>5530</v>
      </c>
      <c r="AE144" s="5" t="str">
        <f t="shared" ca="1" si="21"/>
        <v>NO PRAZO</v>
      </c>
      <c r="AF144" s="49"/>
    </row>
    <row r="145" spans="1:32" ht="30" customHeight="1" x14ac:dyDescent="0.25">
      <c r="A145" s="7" t="s">
        <v>1497</v>
      </c>
      <c r="B145" s="5" t="s">
        <v>10</v>
      </c>
      <c r="C145" s="5" t="s">
        <v>5863</v>
      </c>
      <c r="D145" s="61" t="s">
        <v>348</v>
      </c>
      <c r="E145" s="7" t="s">
        <v>40</v>
      </c>
      <c r="F145" s="7" t="s">
        <v>644</v>
      </c>
      <c r="G145" s="7" t="s">
        <v>1498</v>
      </c>
      <c r="H145" s="7" t="s">
        <v>92</v>
      </c>
      <c r="I145" s="7" t="s">
        <v>121</v>
      </c>
      <c r="J145" s="7" t="s">
        <v>587</v>
      </c>
      <c r="K145" s="5" t="s">
        <v>10</v>
      </c>
      <c r="L145" s="5" t="s">
        <v>10</v>
      </c>
      <c r="M145" s="5" t="s">
        <v>10</v>
      </c>
      <c r="N145" s="5" t="s">
        <v>45</v>
      </c>
      <c r="O145" s="46" t="s">
        <v>46</v>
      </c>
      <c r="P145" s="101">
        <v>46103</v>
      </c>
      <c r="Q145" s="100">
        <f t="shared" si="23"/>
        <v>46287</v>
      </c>
      <c r="R145" s="5" t="s">
        <v>3385</v>
      </c>
      <c r="S145" s="5" t="s">
        <v>5109</v>
      </c>
      <c r="T145" s="7">
        <v>0.25800000000000001</v>
      </c>
      <c r="U145" s="7" t="s">
        <v>10</v>
      </c>
      <c r="V145" s="7">
        <f t="shared" si="24"/>
        <v>0.25800000000000001</v>
      </c>
      <c r="W145" s="7">
        <v>0.5</v>
      </c>
      <c r="X145" s="7" t="s">
        <v>55</v>
      </c>
      <c r="Y145" s="7" t="s">
        <v>56</v>
      </c>
      <c r="Z145" s="48" t="str">
        <f t="shared" si="25"/>
        <v>APROVADO</v>
      </c>
      <c r="AA145" s="47">
        <v>11597200</v>
      </c>
      <c r="AB145" s="5" t="s">
        <v>2636</v>
      </c>
      <c r="AC145" s="5" t="s">
        <v>48</v>
      </c>
      <c r="AD145" s="5" t="s">
        <v>5530</v>
      </c>
      <c r="AE145" s="5" t="str">
        <f t="shared" ca="1" si="21"/>
        <v>NO PRAZO</v>
      </c>
      <c r="AF145" s="49"/>
    </row>
    <row r="146" spans="1:32" ht="30" customHeight="1" x14ac:dyDescent="0.25">
      <c r="A146" s="7" t="s">
        <v>1499</v>
      </c>
      <c r="B146" s="5" t="s">
        <v>10</v>
      </c>
      <c r="C146" s="5" t="s">
        <v>5863</v>
      </c>
      <c r="D146" s="61" t="s">
        <v>348</v>
      </c>
      <c r="E146" s="7" t="s">
        <v>40</v>
      </c>
      <c r="F146" s="7" t="s">
        <v>644</v>
      </c>
      <c r="G146" s="7" t="s">
        <v>1498</v>
      </c>
      <c r="H146" s="7" t="s">
        <v>92</v>
      </c>
      <c r="I146" s="7" t="s">
        <v>115</v>
      </c>
      <c r="J146" s="7" t="s">
        <v>587</v>
      </c>
      <c r="K146" s="5" t="s">
        <v>10</v>
      </c>
      <c r="L146" s="5" t="s">
        <v>10</v>
      </c>
      <c r="M146" s="5" t="s">
        <v>10</v>
      </c>
      <c r="N146" s="5" t="s">
        <v>45</v>
      </c>
      <c r="O146" s="46" t="s">
        <v>46</v>
      </c>
      <c r="P146" s="101">
        <v>46103</v>
      </c>
      <c r="Q146" s="100">
        <f t="shared" si="23"/>
        <v>46287</v>
      </c>
      <c r="R146" s="5" t="s">
        <v>3386</v>
      </c>
      <c r="S146" s="5" t="s">
        <v>5110</v>
      </c>
      <c r="T146" s="7">
        <v>0.25800000000000001</v>
      </c>
      <c r="U146" s="7" t="s">
        <v>10</v>
      </c>
      <c r="V146" s="7">
        <f t="shared" si="24"/>
        <v>0.25800000000000001</v>
      </c>
      <c r="W146" s="7">
        <v>0.5</v>
      </c>
      <c r="X146" s="7" t="s">
        <v>55</v>
      </c>
      <c r="Y146" s="7" t="s">
        <v>56</v>
      </c>
      <c r="Z146" s="48" t="str">
        <f t="shared" si="25"/>
        <v>APROVADO</v>
      </c>
      <c r="AA146" s="47">
        <v>11597201</v>
      </c>
      <c r="AB146" s="5" t="s">
        <v>2637</v>
      </c>
      <c r="AC146" s="5" t="s">
        <v>48</v>
      </c>
      <c r="AD146" s="5" t="s">
        <v>5530</v>
      </c>
      <c r="AE146" s="5" t="str">
        <f t="shared" ca="1" si="21"/>
        <v>NO PRAZO</v>
      </c>
      <c r="AF146" s="49"/>
    </row>
    <row r="147" spans="1:32" ht="30" customHeight="1" x14ac:dyDescent="0.25">
      <c r="A147" s="7" t="s">
        <v>1500</v>
      </c>
      <c r="B147" s="5" t="s">
        <v>10</v>
      </c>
      <c r="C147" s="5" t="s">
        <v>5863</v>
      </c>
      <c r="D147" s="61" t="s">
        <v>348</v>
      </c>
      <c r="E147" s="7" t="s">
        <v>40</v>
      </c>
      <c r="F147" s="7" t="s">
        <v>644</v>
      </c>
      <c r="G147" s="7" t="s">
        <v>1501</v>
      </c>
      <c r="H147" s="7" t="s">
        <v>92</v>
      </c>
      <c r="I147" s="7" t="s">
        <v>121</v>
      </c>
      <c r="J147" s="7" t="s">
        <v>587</v>
      </c>
      <c r="K147" s="5" t="s">
        <v>10</v>
      </c>
      <c r="L147" s="5" t="s">
        <v>10</v>
      </c>
      <c r="M147" s="5" t="s">
        <v>10</v>
      </c>
      <c r="N147" s="5" t="s">
        <v>45</v>
      </c>
      <c r="O147" s="46" t="s">
        <v>46</v>
      </c>
      <c r="P147" s="101">
        <v>46103</v>
      </c>
      <c r="Q147" s="100">
        <f t="shared" si="23"/>
        <v>46287</v>
      </c>
      <c r="R147" s="5" t="s">
        <v>3387</v>
      </c>
      <c r="S147" s="5" t="s">
        <v>5111</v>
      </c>
      <c r="T147" s="7">
        <v>0.159</v>
      </c>
      <c r="U147" s="7" t="s">
        <v>10</v>
      </c>
      <c r="V147" s="7">
        <f t="shared" si="24"/>
        <v>0.159</v>
      </c>
      <c r="W147" s="7">
        <v>0.5</v>
      </c>
      <c r="X147" s="7" t="s">
        <v>55</v>
      </c>
      <c r="Y147" s="7" t="s">
        <v>56</v>
      </c>
      <c r="Z147" s="48" t="str">
        <f t="shared" si="25"/>
        <v>APROVADO</v>
      </c>
      <c r="AA147" s="47">
        <v>11597202</v>
      </c>
      <c r="AB147" s="5" t="s">
        <v>2638</v>
      </c>
      <c r="AC147" s="5" t="s">
        <v>48</v>
      </c>
      <c r="AD147" s="5" t="s">
        <v>5530</v>
      </c>
      <c r="AE147" s="5" t="str">
        <f t="shared" ca="1" si="21"/>
        <v>NO PRAZO</v>
      </c>
      <c r="AF147" s="49"/>
    </row>
    <row r="148" spans="1:32" ht="30" customHeight="1" x14ac:dyDescent="0.25">
      <c r="A148" s="7" t="s">
        <v>1502</v>
      </c>
      <c r="B148" s="5" t="s">
        <v>10</v>
      </c>
      <c r="C148" s="5" t="s">
        <v>5863</v>
      </c>
      <c r="D148" s="61" t="s">
        <v>348</v>
      </c>
      <c r="E148" s="7" t="s">
        <v>40</v>
      </c>
      <c r="F148" s="7" t="s">
        <v>644</v>
      </c>
      <c r="G148" s="7" t="s">
        <v>1501</v>
      </c>
      <c r="H148" s="7" t="s">
        <v>92</v>
      </c>
      <c r="I148" s="7" t="s">
        <v>121</v>
      </c>
      <c r="J148" s="7" t="s">
        <v>587</v>
      </c>
      <c r="K148" s="5" t="s">
        <v>10</v>
      </c>
      <c r="L148" s="5" t="s">
        <v>10</v>
      </c>
      <c r="M148" s="5" t="s">
        <v>10</v>
      </c>
      <c r="N148" s="5" t="s">
        <v>45</v>
      </c>
      <c r="O148" s="46" t="s">
        <v>46</v>
      </c>
      <c r="P148" s="101">
        <v>46103</v>
      </c>
      <c r="Q148" s="100">
        <f t="shared" si="23"/>
        <v>46287</v>
      </c>
      <c r="R148" s="5" t="s">
        <v>3388</v>
      </c>
      <c r="S148" s="5" t="s">
        <v>5112</v>
      </c>
      <c r="T148" s="7">
        <v>0.159</v>
      </c>
      <c r="U148" s="7" t="s">
        <v>10</v>
      </c>
      <c r="V148" s="7">
        <f t="shared" si="24"/>
        <v>0.159</v>
      </c>
      <c r="W148" s="7">
        <v>0.5</v>
      </c>
      <c r="X148" s="7" t="s">
        <v>55</v>
      </c>
      <c r="Y148" s="7" t="s">
        <v>56</v>
      </c>
      <c r="Z148" s="48" t="str">
        <f t="shared" si="25"/>
        <v>APROVADO</v>
      </c>
      <c r="AA148" s="47">
        <v>11597203</v>
      </c>
      <c r="AB148" s="5" t="s">
        <v>2639</v>
      </c>
      <c r="AC148" s="5" t="s">
        <v>48</v>
      </c>
      <c r="AD148" s="5" t="s">
        <v>5530</v>
      </c>
      <c r="AE148" s="5" t="str">
        <f t="shared" ca="1" si="21"/>
        <v>NO PRAZO</v>
      </c>
      <c r="AF148" s="49"/>
    </row>
    <row r="149" spans="1:32" ht="30" customHeight="1" x14ac:dyDescent="0.25">
      <c r="A149" s="7" t="s">
        <v>1503</v>
      </c>
      <c r="B149" s="5" t="s">
        <v>10</v>
      </c>
      <c r="C149" s="5" t="s">
        <v>5863</v>
      </c>
      <c r="D149" s="61" t="s">
        <v>348</v>
      </c>
      <c r="E149" s="7" t="s">
        <v>40</v>
      </c>
      <c r="F149" s="7" t="s">
        <v>644</v>
      </c>
      <c r="G149" s="7" t="s">
        <v>1504</v>
      </c>
      <c r="H149" s="7" t="s">
        <v>92</v>
      </c>
      <c r="I149" s="7" t="s">
        <v>121</v>
      </c>
      <c r="J149" s="7" t="s">
        <v>587</v>
      </c>
      <c r="K149" s="5" t="s">
        <v>10</v>
      </c>
      <c r="L149" s="5" t="s">
        <v>10</v>
      </c>
      <c r="M149" s="5" t="s">
        <v>10</v>
      </c>
      <c r="N149" s="5" t="s">
        <v>45</v>
      </c>
      <c r="O149" s="46" t="s">
        <v>46</v>
      </c>
      <c r="P149" s="101">
        <v>46103</v>
      </c>
      <c r="Q149" s="100">
        <f t="shared" si="23"/>
        <v>46287</v>
      </c>
      <c r="R149" s="5" t="s">
        <v>3389</v>
      </c>
      <c r="S149" s="5" t="s">
        <v>5113</v>
      </c>
      <c r="T149" s="7">
        <v>0.159</v>
      </c>
      <c r="U149" s="7" t="s">
        <v>10</v>
      </c>
      <c r="V149" s="7">
        <f t="shared" si="24"/>
        <v>0.159</v>
      </c>
      <c r="W149" s="7">
        <v>0.5</v>
      </c>
      <c r="X149" s="7" t="s">
        <v>55</v>
      </c>
      <c r="Y149" s="7" t="s">
        <v>56</v>
      </c>
      <c r="Z149" s="48" t="str">
        <f t="shared" si="25"/>
        <v>APROVADO</v>
      </c>
      <c r="AA149" s="47">
        <v>11597204</v>
      </c>
      <c r="AB149" s="5" t="s">
        <v>2640</v>
      </c>
      <c r="AC149" s="5" t="s">
        <v>48</v>
      </c>
      <c r="AD149" s="5" t="s">
        <v>5530</v>
      </c>
      <c r="AE149" s="5" t="str">
        <f t="shared" ca="1" si="21"/>
        <v>NO PRAZO</v>
      </c>
      <c r="AF149" s="49"/>
    </row>
    <row r="150" spans="1:32" ht="30" customHeight="1" x14ac:dyDescent="0.25">
      <c r="A150" s="7" t="s">
        <v>1505</v>
      </c>
      <c r="B150" s="5" t="s">
        <v>10</v>
      </c>
      <c r="C150" s="5" t="s">
        <v>5863</v>
      </c>
      <c r="D150" s="61" t="s">
        <v>348</v>
      </c>
      <c r="E150" s="7" t="s">
        <v>40</v>
      </c>
      <c r="F150" s="7" t="s">
        <v>644</v>
      </c>
      <c r="G150" s="7" t="s">
        <v>1504</v>
      </c>
      <c r="H150" s="7" t="s">
        <v>92</v>
      </c>
      <c r="I150" s="7" t="s">
        <v>121</v>
      </c>
      <c r="J150" s="7" t="s">
        <v>587</v>
      </c>
      <c r="K150" s="5" t="s">
        <v>10</v>
      </c>
      <c r="L150" s="5" t="s">
        <v>10</v>
      </c>
      <c r="M150" s="5" t="s">
        <v>10</v>
      </c>
      <c r="N150" s="5" t="s">
        <v>45</v>
      </c>
      <c r="O150" s="46" t="s">
        <v>46</v>
      </c>
      <c r="P150" s="101">
        <v>46103</v>
      </c>
      <c r="Q150" s="100">
        <f t="shared" si="23"/>
        <v>46287</v>
      </c>
      <c r="R150" s="5" t="s">
        <v>3390</v>
      </c>
      <c r="S150" s="5" t="s">
        <v>5114</v>
      </c>
      <c r="T150" s="7">
        <v>0.158</v>
      </c>
      <c r="U150" s="7" t="s">
        <v>10</v>
      </c>
      <c r="V150" s="7">
        <f t="shared" si="24"/>
        <v>0.158</v>
      </c>
      <c r="W150" s="7">
        <v>0.5</v>
      </c>
      <c r="X150" s="7" t="s">
        <v>55</v>
      </c>
      <c r="Y150" s="7" t="s">
        <v>56</v>
      </c>
      <c r="Z150" s="48" t="str">
        <f t="shared" si="25"/>
        <v>APROVADO</v>
      </c>
      <c r="AA150" s="47">
        <v>11597205</v>
      </c>
      <c r="AB150" s="5" t="s">
        <v>2641</v>
      </c>
      <c r="AC150" s="5" t="s">
        <v>48</v>
      </c>
      <c r="AD150" s="5" t="s">
        <v>5530</v>
      </c>
      <c r="AE150" s="5" t="str">
        <f t="shared" ca="1" si="21"/>
        <v>NO PRAZO</v>
      </c>
      <c r="AF150" s="49"/>
    </row>
    <row r="151" spans="1:32" ht="30" customHeight="1" x14ac:dyDescent="0.25">
      <c r="A151" s="7" t="s">
        <v>1506</v>
      </c>
      <c r="B151" s="5" t="s">
        <v>10</v>
      </c>
      <c r="C151" s="5" t="s">
        <v>5863</v>
      </c>
      <c r="D151" s="61" t="s">
        <v>348</v>
      </c>
      <c r="E151" s="7" t="s">
        <v>40</v>
      </c>
      <c r="F151" s="7" t="s">
        <v>644</v>
      </c>
      <c r="G151" s="7" t="s">
        <v>1507</v>
      </c>
      <c r="H151" s="7" t="s">
        <v>92</v>
      </c>
      <c r="I151" s="7" t="s">
        <v>104</v>
      </c>
      <c r="J151" s="7" t="s">
        <v>587</v>
      </c>
      <c r="K151" s="5" t="s">
        <v>10</v>
      </c>
      <c r="L151" s="5" t="s">
        <v>10</v>
      </c>
      <c r="M151" s="5" t="s">
        <v>10</v>
      </c>
      <c r="N151" s="5" t="s">
        <v>45</v>
      </c>
      <c r="O151" s="46" t="s">
        <v>46</v>
      </c>
      <c r="P151" s="101">
        <v>46103</v>
      </c>
      <c r="Q151" s="100">
        <f t="shared" si="23"/>
        <v>46287</v>
      </c>
      <c r="R151" s="5" t="s">
        <v>3391</v>
      </c>
      <c r="S151" s="5" t="s">
        <v>5115</v>
      </c>
      <c r="T151" s="5">
        <v>0.16200000000000001</v>
      </c>
      <c r="U151" s="7" t="s">
        <v>10</v>
      </c>
      <c r="V151" s="7">
        <f t="shared" si="24"/>
        <v>0.16200000000000001</v>
      </c>
      <c r="W151" s="7">
        <v>0.5</v>
      </c>
      <c r="X151" s="7" t="s">
        <v>55</v>
      </c>
      <c r="Y151" s="7" t="s">
        <v>56</v>
      </c>
      <c r="Z151" s="48" t="str">
        <f t="shared" si="25"/>
        <v>APROVADO</v>
      </c>
      <c r="AA151" s="47">
        <v>11597206</v>
      </c>
      <c r="AB151" s="5" t="s">
        <v>2642</v>
      </c>
      <c r="AC151" s="5" t="s">
        <v>48</v>
      </c>
      <c r="AD151" s="5" t="s">
        <v>5530</v>
      </c>
      <c r="AE151" s="5" t="str">
        <f t="shared" ca="1" si="21"/>
        <v>NO PRAZO</v>
      </c>
      <c r="AF151" s="49"/>
    </row>
    <row r="152" spans="1:32" ht="30" customHeight="1" x14ac:dyDescent="0.25">
      <c r="A152" s="7" t="s">
        <v>1508</v>
      </c>
      <c r="B152" s="5" t="s">
        <v>10</v>
      </c>
      <c r="C152" s="5" t="s">
        <v>5863</v>
      </c>
      <c r="D152" s="61" t="s">
        <v>348</v>
      </c>
      <c r="E152" s="7" t="s">
        <v>40</v>
      </c>
      <c r="F152" s="7" t="s">
        <v>644</v>
      </c>
      <c r="G152" s="7" t="s">
        <v>1507</v>
      </c>
      <c r="H152" s="7" t="s">
        <v>92</v>
      </c>
      <c r="I152" s="7" t="s">
        <v>104</v>
      </c>
      <c r="J152" s="7" t="s">
        <v>587</v>
      </c>
      <c r="K152" s="5" t="s">
        <v>10</v>
      </c>
      <c r="L152" s="5" t="s">
        <v>10</v>
      </c>
      <c r="M152" s="5" t="s">
        <v>10</v>
      </c>
      <c r="N152" s="5" t="s">
        <v>45</v>
      </c>
      <c r="O152" s="46" t="s">
        <v>46</v>
      </c>
      <c r="P152" s="101">
        <v>46103</v>
      </c>
      <c r="Q152" s="100">
        <f t="shared" si="23"/>
        <v>46287</v>
      </c>
      <c r="R152" s="5" t="s">
        <v>3392</v>
      </c>
      <c r="S152" s="5" t="s">
        <v>5116</v>
      </c>
      <c r="T152" s="7">
        <v>0.26200000000000001</v>
      </c>
      <c r="U152" s="7" t="s">
        <v>10</v>
      </c>
      <c r="V152" s="7">
        <f t="shared" si="24"/>
        <v>0.26200000000000001</v>
      </c>
      <c r="W152" s="7">
        <v>0.5</v>
      </c>
      <c r="X152" s="7" t="s">
        <v>55</v>
      </c>
      <c r="Y152" s="7" t="s">
        <v>56</v>
      </c>
      <c r="Z152" s="48" t="str">
        <f t="shared" si="25"/>
        <v>APROVADO</v>
      </c>
      <c r="AA152" s="47">
        <v>11597207</v>
      </c>
      <c r="AB152" s="5" t="s">
        <v>2643</v>
      </c>
      <c r="AC152" s="5" t="s">
        <v>48</v>
      </c>
      <c r="AD152" s="5" t="s">
        <v>5530</v>
      </c>
      <c r="AE152" s="5" t="str">
        <f t="shared" ca="1" si="21"/>
        <v>NO PRAZO</v>
      </c>
      <c r="AF152" s="49"/>
    </row>
    <row r="153" spans="1:32" ht="30" customHeight="1" x14ac:dyDescent="0.25">
      <c r="A153" s="7" t="s">
        <v>1509</v>
      </c>
      <c r="B153" s="5" t="s">
        <v>10</v>
      </c>
      <c r="C153" s="5" t="s">
        <v>5863</v>
      </c>
      <c r="D153" s="61" t="s">
        <v>348</v>
      </c>
      <c r="E153" s="7" t="s">
        <v>40</v>
      </c>
      <c r="F153" s="7" t="s">
        <v>644</v>
      </c>
      <c r="G153" s="7" t="s">
        <v>1507</v>
      </c>
      <c r="H153" s="7" t="s">
        <v>92</v>
      </c>
      <c r="I153" s="7" t="s">
        <v>121</v>
      </c>
      <c r="J153" s="7" t="s">
        <v>587</v>
      </c>
      <c r="K153" s="5" t="s">
        <v>10</v>
      </c>
      <c r="L153" s="5" t="s">
        <v>10</v>
      </c>
      <c r="M153" s="5" t="s">
        <v>10</v>
      </c>
      <c r="N153" s="5" t="s">
        <v>45</v>
      </c>
      <c r="O153" s="46" t="s">
        <v>46</v>
      </c>
      <c r="P153" s="101">
        <v>46103</v>
      </c>
      <c r="Q153" s="100">
        <f t="shared" si="23"/>
        <v>46287</v>
      </c>
      <c r="R153" s="5" t="s">
        <v>3393</v>
      </c>
      <c r="S153" s="5" t="s">
        <v>5117</v>
      </c>
      <c r="T153" s="7">
        <v>0.159</v>
      </c>
      <c r="U153" s="7" t="s">
        <v>10</v>
      </c>
      <c r="V153" s="7">
        <f t="shared" si="24"/>
        <v>0.159</v>
      </c>
      <c r="W153" s="7">
        <v>0.5</v>
      </c>
      <c r="X153" s="7" t="s">
        <v>55</v>
      </c>
      <c r="Y153" s="7" t="s">
        <v>56</v>
      </c>
      <c r="Z153" s="48" t="str">
        <f t="shared" si="25"/>
        <v>APROVADO</v>
      </c>
      <c r="AA153" s="47">
        <v>11597208</v>
      </c>
      <c r="AB153" s="5" t="s">
        <v>2644</v>
      </c>
      <c r="AC153" s="5" t="s">
        <v>48</v>
      </c>
      <c r="AD153" s="5" t="s">
        <v>5530</v>
      </c>
      <c r="AE153" s="5" t="str">
        <f t="shared" ca="1" si="21"/>
        <v>NO PRAZO</v>
      </c>
      <c r="AF153" s="49"/>
    </row>
    <row r="154" spans="1:32" ht="30" customHeight="1" x14ac:dyDescent="0.25">
      <c r="A154" s="7" t="s">
        <v>1510</v>
      </c>
      <c r="B154" s="5" t="s">
        <v>10</v>
      </c>
      <c r="C154" s="5" t="s">
        <v>5863</v>
      </c>
      <c r="D154" s="61" t="s">
        <v>348</v>
      </c>
      <c r="E154" s="7" t="s">
        <v>40</v>
      </c>
      <c r="F154" s="7" t="s">
        <v>644</v>
      </c>
      <c r="G154" s="7" t="s">
        <v>1511</v>
      </c>
      <c r="H154" s="7" t="s">
        <v>92</v>
      </c>
      <c r="I154" s="7" t="s">
        <v>121</v>
      </c>
      <c r="J154" s="7" t="s">
        <v>587</v>
      </c>
      <c r="K154" s="5" t="s">
        <v>10</v>
      </c>
      <c r="L154" s="5" t="s">
        <v>10</v>
      </c>
      <c r="M154" s="5" t="s">
        <v>10</v>
      </c>
      <c r="N154" s="5" t="s">
        <v>45</v>
      </c>
      <c r="O154" s="46" t="s">
        <v>46</v>
      </c>
      <c r="P154" s="101">
        <v>46103</v>
      </c>
      <c r="Q154" s="100">
        <f t="shared" si="23"/>
        <v>46287</v>
      </c>
      <c r="R154" s="5" t="s">
        <v>3394</v>
      </c>
      <c r="S154" s="5" t="s">
        <v>5118</v>
      </c>
      <c r="T154" s="7">
        <v>0.159</v>
      </c>
      <c r="U154" s="7" t="s">
        <v>10</v>
      </c>
      <c r="V154" s="7">
        <f t="shared" si="24"/>
        <v>0.159</v>
      </c>
      <c r="W154" s="7">
        <v>0.5</v>
      </c>
      <c r="X154" s="7" t="s">
        <v>55</v>
      </c>
      <c r="Y154" s="7" t="s">
        <v>56</v>
      </c>
      <c r="Z154" s="48" t="str">
        <f t="shared" si="25"/>
        <v>APROVADO</v>
      </c>
      <c r="AA154" s="47">
        <v>11597209</v>
      </c>
      <c r="AB154" s="5" t="s">
        <v>2645</v>
      </c>
      <c r="AC154" s="5" t="s">
        <v>48</v>
      </c>
      <c r="AD154" s="5" t="s">
        <v>5530</v>
      </c>
      <c r="AE154" s="5" t="str">
        <f t="shared" ref="AE154:AE190" ca="1" si="26">IFERROR(IF(OR(AND(YEAR(Q154)=YEAR(TODAY()),MONTH(Q154)&gt;MONTH(TODAY())),(YEAR(Q154)&gt;YEAR(TODAY()))),$AK$4,IF(AND(YEAR(Q154)=YEAR(TODAY()),MONTH(Q154)=MONTH(TODAY())),$AK$5,IF(Q154="",$AK$6,$AK$7))),"-")</f>
        <v>NO PRAZO</v>
      </c>
      <c r="AF154" s="49"/>
    </row>
    <row r="155" spans="1:32" ht="30" customHeight="1" x14ac:dyDescent="0.25">
      <c r="A155" s="7" t="s">
        <v>1512</v>
      </c>
      <c r="B155" s="5" t="s">
        <v>10</v>
      </c>
      <c r="C155" s="5" t="s">
        <v>5863</v>
      </c>
      <c r="D155" s="61" t="s">
        <v>348</v>
      </c>
      <c r="E155" s="7" t="s">
        <v>40</v>
      </c>
      <c r="F155" s="7" t="s">
        <v>644</v>
      </c>
      <c r="G155" s="7" t="s">
        <v>1513</v>
      </c>
      <c r="H155" s="7" t="s">
        <v>92</v>
      </c>
      <c r="I155" s="7" t="s">
        <v>121</v>
      </c>
      <c r="J155" s="7" t="s">
        <v>587</v>
      </c>
      <c r="K155" s="7" t="s">
        <v>10</v>
      </c>
      <c r="L155" s="7" t="s">
        <v>10</v>
      </c>
      <c r="M155" s="7" t="s">
        <v>10</v>
      </c>
      <c r="N155" s="7" t="s">
        <v>45</v>
      </c>
      <c r="O155" s="46" t="s">
        <v>46</v>
      </c>
      <c r="P155" s="101">
        <v>46103</v>
      </c>
      <c r="Q155" s="100">
        <f t="shared" si="23"/>
        <v>46287</v>
      </c>
      <c r="R155" s="5" t="s">
        <v>3413</v>
      </c>
      <c r="S155" s="5" t="s">
        <v>5119</v>
      </c>
      <c r="T155" s="7">
        <v>0.159</v>
      </c>
      <c r="U155" s="7" t="s">
        <v>10</v>
      </c>
      <c r="V155" s="7">
        <f t="shared" si="24"/>
        <v>0.159</v>
      </c>
      <c r="W155" s="7">
        <v>0.5</v>
      </c>
      <c r="X155" s="7" t="s">
        <v>55</v>
      </c>
      <c r="Y155" s="7" t="s">
        <v>56</v>
      </c>
      <c r="Z155" s="48" t="str">
        <f t="shared" si="25"/>
        <v>APROVADO</v>
      </c>
      <c r="AA155" s="47">
        <v>11541255</v>
      </c>
      <c r="AB155" s="5" t="s">
        <v>2646</v>
      </c>
      <c r="AC155" s="5" t="s">
        <v>48</v>
      </c>
      <c r="AD155" s="5" t="s">
        <v>5530</v>
      </c>
      <c r="AE155" s="5" t="str">
        <f t="shared" ca="1" si="26"/>
        <v>NO PRAZO</v>
      </c>
      <c r="AF155" s="49"/>
    </row>
    <row r="156" spans="1:32" ht="30" customHeight="1" x14ac:dyDescent="0.25">
      <c r="A156" s="7" t="s">
        <v>1514</v>
      </c>
      <c r="B156" s="5" t="s">
        <v>10</v>
      </c>
      <c r="C156" s="5" t="s">
        <v>5863</v>
      </c>
      <c r="D156" s="61" t="s">
        <v>348</v>
      </c>
      <c r="E156" s="7" t="s">
        <v>40</v>
      </c>
      <c r="F156" s="7" t="s">
        <v>644</v>
      </c>
      <c r="G156" s="7" t="s">
        <v>1513</v>
      </c>
      <c r="H156" s="7" t="s">
        <v>92</v>
      </c>
      <c r="I156" s="7" t="s">
        <v>121</v>
      </c>
      <c r="J156" s="7" t="s">
        <v>587</v>
      </c>
      <c r="K156" s="7" t="s">
        <v>10</v>
      </c>
      <c r="L156" s="7" t="s">
        <v>10</v>
      </c>
      <c r="M156" s="7" t="s">
        <v>10</v>
      </c>
      <c r="N156" s="7" t="s">
        <v>45</v>
      </c>
      <c r="O156" s="46" t="s">
        <v>46</v>
      </c>
      <c r="P156" s="101">
        <v>46103</v>
      </c>
      <c r="Q156" s="100">
        <f t="shared" si="23"/>
        <v>46287</v>
      </c>
      <c r="R156" s="5" t="s">
        <v>3414</v>
      </c>
      <c r="S156" s="5" t="s">
        <v>5120</v>
      </c>
      <c r="T156" s="7">
        <v>0.159</v>
      </c>
      <c r="U156" s="7" t="s">
        <v>10</v>
      </c>
      <c r="V156" s="7">
        <f t="shared" si="24"/>
        <v>0.159</v>
      </c>
      <c r="W156" s="7">
        <v>0.5</v>
      </c>
      <c r="X156" s="7" t="s">
        <v>55</v>
      </c>
      <c r="Y156" s="7" t="s">
        <v>56</v>
      </c>
      <c r="Z156" s="48" t="str">
        <f t="shared" si="25"/>
        <v>APROVADO</v>
      </c>
      <c r="AA156" s="47">
        <v>11556585</v>
      </c>
      <c r="AB156" s="5" t="s">
        <v>2647</v>
      </c>
      <c r="AC156" s="5" t="s">
        <v>48</v>
      </c>
      <c r="AD156" s="5" t="s">
        <v>5530</v>
      </c>
      <c r="AE156" s="5" t="str">
        <f t="shared" ca="1" si="26"/>
        <v>NO PRAZO</v>
      </c>
      <c r="AF156" s="49"/>
    </row>
    <row r="157" spans="1:32" ht="30" customHeight="1" x14ac:dyDescent="0.25">
      <c r="A157" s="7" t="s">
        <v>1515</v>
      </c>
      <c r="B157" s="5" t="s">
        <v>10</v>
      </c>
      <c r="C157" s="5" t="s">
        <v>5863</v>
      </c>
      <c r="D157" s="61" t="s">
        <v>348</v>
      </c>
      <c r="E157" s="7" t="s">
        <v>40</v>
      </c>
      <c r="F157" s="7" t="s">
        <v>644</v>
      </c>
      <c r="G157" s="7" t="s">
        <v>1516</v>
      </c>
      <c r="H157" s="7" t="s">
        <v>92</v>
      </c>
      <c r="I157" s="7" t="s">
        <v>121</v>
      </c>
      <c r="J157" s="7" t="s">
        <v>587</v>
      </c>
      <c r="K157" s="7" t="s">
        <v>10</v>
      </c>
      <c r="L157" s="7" t="s">
        <v>10</v>
      </c>
      <c r="M157" s="7" t="s">
        <v>10</v>
      </c>
      <c r="N157" s="7" t="s">
        <v>45</v>
      </c>
      <c r="O157" s="46" t="s">
        <v>46</v>
      </c>
      <c r="P157" s="101">
        <v>46103</v>
      </c>
      <c r="Q157" s="100">
        <f t="shared" si="23"/>
        <v>46287</v>
      </c>
      <c r="R157" s="5" t="s">
        <v>3415</v>
      </c>
      <c r="S157" s="5" t="s">
        <v>5121</v>
      </c>
      <c r="T157" s="7">
        <v>0.35899999999999999</v>
      </c>
      <c r="U157" s="7" t="s">
        <v>10</v>
      </c>
      <c r="V157" s="7">
        <f t="shared" si="24"/>
        <v>0.35899999999999999</v>
      </c>
      <c r="W157" s="7">
        <v>0.5</v>
      </c>
      <c r="X157" s="7" t="s">
        <v>55</v>
      </c>
      <c r="Y157" s="7" t="s">
        <v>56</v>
      </c>
      <c r="Z157" s="48" t="str">
        <f t="shared" si="25"/>
        <v>APROVADO</v>
      </c>
      <c r="AA157" s="47">
        <v>11541256</v>
      </c>
      <c r="AB157" s="5" t="s">
        <v>3281</v>
      </c>
      <c r="AC157" s="5" t="s">
        <v>48</v>
      </c>
      <c r="AD157" s="5" t="s">
        <v>5530</v>
      </c>
      <c r="AE157" s="5" t="str">
        <f t="shared" ca="1" si="26"/>
        <v>NO PRAZO</v>
      </c>
      <c r="AF157" s="49"/>
    </row>
    <row r="158" spans="1:32" ht="30" customHeight="1" x14ac:dyDescent="0.25">
      <c r="A158" s="7" t="s">
        <v>1517</v>
      </c>
      <c r="B158" s="5" t="s">
        <v>10</v>
      </c>
      <c r="C158" s="5" t="s">
        <v>5863</v>
      </c>
      <c r="D158" s="61" t="s">
        <v>348</v>
      </c>
      <c r="E158" s="7" t="s">
        <v>40</v>
      </c>
      <c r="F158" s="7" t="s">
        <v>644</v>
      </c>
      <c r="G158" s="7" t="s">
        <v>1516</v>
      </c>
      <c r="H158" s="7" t="s">
        <v>92</v>
      </c>
      <c r="I158" s="7" t="s">
        <v>121</v>
      </c>
      <c r="J158" s="7" t="s">
        <v>587</v>
      </c>
      <c r="K158" s="7" t="s">
        <v>10</v>
      </c>
      <c r="L158" s="7" t="s">
        <v>10</v>
      </c>
      <c r="M158" s="7" t="s">
        <v>10</v>
      </c>
      <c r="N158" s="7" t="s">
        <v>45</v>
      </c>
      <c r="O158" s="46" t="s">
        <v>46</v>
      </c>
      <c r="P158" s="101">
        <v>46103</v>
      </c>
      <c r="Q158" s="100">
        <f t="shared" si="23"/>
        <v>46287</v>
      </c>
      <c r="R158" s="5" t="s">
        <v>3416</v>
      </c>
      <c r="S158" s="5" t="s">
        <v>5122</v>
      </c>
      <c r="T158" s="7">
        <v>0.25900000000000001</v>
      </c>
      <c r="U158" s="7" t="s">
        <v>10</v>
      </c>
      <c r="V158" s="7">
        <f t="shared" si="24"/>
        <v>0.25900000000000001</v>
      </c>
      <c r="W158" s="7">
        <v>0.5</v>
      </c>
      <c r="X158" s="7" t="s">
        <v>55</v>
      </c>
      <c r="Y158" s="7" t="s">
        <v>56</v>
      </c>
      <c r="Z158" s="48" t="str">
        <f t="shared" si="25"/>
        <v>APROVADO</v>
      </c>
      <c r="AA158" s="47">
        <v>11556537</v>
      </c>
      <c r="AB158" s="5" t="s">
        <v>2648</v>
      </c>
      <c r="AC158" s="5" t="s">
        <v>48</v>
      </c>
      <c r="AD158" s="5" t="s">
        <v>5530</v>
      </c>
      <c r="AE158" s="5" t="str">
        <f t="shared" ca="1" si="26"/>
        <v>NO PRAZO</v>
      </c>
      <c r="AF158" s="49"/>
    </row>
    <row r="159" spans="1:32" ht="30" customHeight="1" x14ac:dyDescent="0.25">
      <c r="A159" s="7" t="s">
        <v>1518</v>
      </c>
      <c r="B159" s="5" t="s">
        <v>10</v>
      </c>
      <c r="C159" s="5" t="s">
        <v>5863</v>
      </c>
      <c r="D159" s="61" t="s">
        <v>348</v>
      </c>
      <c r="E159" s="7" t="s">
        <v>40</v>
      </c>
      <c r="F159" s="7" t="s">
        <v>644</v>
      </c>
      <c r="G159" s="7" t="s">
        <v>1519</v>
      </c>
      <c r="H159" s="7" t="s">
        <v>92</v>
      </c>
      <c r="I159" s="7" t="s">
        <v>121</v>
      </c>
      <c r="J159" s="7" t="s">
        <v>587</v>
      </c>
      <c r="K159" s="7" t="s">
        <v>10</v>
      </c>
      <c r="L159" s="7" t="s">
        <v>10</v>
      </c>
      <c r="M159" s="7" t="s">
        <v>10</v>
      </c>
      <c r="N159" s="7" t="s">
        <v>45</v>
      </c>
      <c r="O159" s="46" t="s">
        <v>46</v>
      </c>
      <c r="P159" s="101">
        <v>46103</v>
      </c>
      <c r="Q159" s="100">
        <f t="shared" si="23"/>
        <v>46287</v>
      </c>
      <c r="R159" s="7" t="s">
        <v>3178</v>
      </c>
      <c r="S159" s="7" t="s">
        <v>5123</v>
      </c>
      <c r="T159" s="7">
        <v>0.159</v>
      </c>
      <c r="U159" s="7" t="s">
        <v>10</v>
      </c>
      <c r="V159" s="7">
        <f t="shared" si="24"/>
        <v>0.159</v>
      </c>
      <c r="W159" s="7">
        <v>0.5</v>
      </c>
      <c r="X159" s="7" t="s">
        <v>55</v>
      </c>
      <c r="Y159" s="7" t="s">
        <v>56</v>
      </c>
      <c r="Z159" s="48" t="str">
        <f t="shared" si="25"/>
        <v>APROVADO</v>
      </c>
      <c r="AA159" s="47">
        <v>11541257</v>
      </c>
      <c r="AB159" s="5" t="s">
        <v>2649</v>
      </c>
      <c r="AC159" s="5" t="s">
        <v>48</v>
      </c>
      <c r="AD159" s="5" t="s">
        <v>5530</v>
      </c>
      <c r="AE159" s="5" t="str">
        <f t="shared" ca="1" si="26"/>
        <v>NO PRAZO</v>
      </c>
      <c r="AF159" s="49"/>
    </row>
    <row r="160" spans="1:32" ht="30" customHeight="1" x14ac:dyDescent="0.25">
      <c r="A160" s="12" t="s">
        <v>1520</v>
      </c>
      <c r="B160" s="13" t="s">
        <v>10</v>
      </c>
      <c r="C160" s="5" t="s">
        <v>5863</v>
      </c>
      <c r="D160" s="61" t="s">
        <v>348</v>
      </c>
      <c r="E160" s="12" t="s">
        <v>40</v>
      </c>
      <c r="F160" s="12" t="s">
        <v>644</v>
      </c>
      <c r="G160" s="12" t="s">
        <v>1519</v>
      </c>
      <c r="H160" s="12" t="s">
        <v>92</v>
      </c>
      <c r="I160" s="12" t="s">
        <v>121</v>
      </c>
      <c r="J160" s="12" t="s">
        <v>587</v>
      </c>
      <c r="K160" s="12" t="s">
        <v>10</v>
      </c>
      <c r="L160" s="7" t="s">
        <v>10</v>
      </c>
      <c r="M160" s="12" t="s">
        <v>10</v>
      </c>
      <c r="N160" s="7" t="s">
        <v>45</v>
      </c>
      <c r="O160" s="46" t="s">
        <v>46</v>
      </c>
      <c r="P160" s="101">
        <v>46103</v>
      </c>
      <c r="Q160" s="100">
        <f t="shared" si="23"/>
        <v>46287</v>
      </c>
      <c r="R160" s="5" t="s">
        <v>3179</v>
      </c>
      <c r="S160" s="5" t="s">
        <v>5124</v>
      </c>
      <c r="T160" s="7">
        <v>0.159</v>
      </c>
      <c r="U160" s="7" t="s">
        <v>10</v>
      </c>
      <c r="V160" s="7">
        <f t="shared" si="24"/>
        <v>0.159</v>
      </c>
      <c r="W160" s="7">
        <v>0.5</v>
      </c>
      <c r="X160" s="7" t="s">
        <v>55</v>
      </c>
      <c r="Y160" s="7" t="s">
        <v>56</v>
      </c>
      <c r="Z160" s="48" t="str">
        <f t="shared" si="25"/>
        <v>APROVADO</v>
      </c>
      <c r="AA160" s="47">
        <v>11556540</v>
      </c>
      <c r="AB160" s="5" t="s">
        <v>3282</v>
      </c>
      <c r="AC160" s="5" t="s">
        <v>48</v>
      </c>
      <c r="AD160" s="5" t="s">
        <v>5530</v>
      </c>
      <c r="AE160" s="5" t="str">
        <f t="shared" ca="1" si="26"/>
        <v>NO PRAZO</v>
      </c>
      <c r="AF160" s="49"/>
    </row>
    <row r="161" spans="1:32" ht="30" customHeight="1" x14ac:dyDescent="0.25">
      <c r="A161" s="13" t="s">
        <v>4270</v>
      </c>
      <c r="B161" s="72" t="s">
        <v>10</v>
      </c>
      <c r="C161" s="5" t="s">
        <v>5863</v>
      </c>
      <c r="D161" s="61" t="s">
        <v>348</v>
      </c>
      <c r="E161" s="71" t="s">
        <v>40</v>
      </c>
      <c r="F161" s="71" t="s">
        <v>644</v>
      </c>
      <c r="G161" s="122" t="s">
        <v>4263</v>
      </c>
      <c r="H161" s="122" t="s">
        <v>92</v>
      </c>
      <c r="I161" s="122" t="s">
        <v>4271</v>
      </c>
      <c r="J161" s="71" t="s">
        <v>4272</v>
      </c>
      <c r="K161" s="72" t="s">
        <v>10</v>
      </c>
      <c r="L161" s="7" t="s">
        <v>10</v>
      </c>
      <c r="M161" s="72" t="s">
        <v>10</v>
      </c>
      <c r="N161" s="7" t="s">
        <v>45</v>
      </c>
      <c r="O161" s="46" t="s">
        <v>46</v>
      </c>
      <c r="P161" s="100">
        <v>46103</v>
      </c>
      <c r="Q161" s="100">
        <f t="shared" si="23"/>
        <v>46287</v>
      </c>
      <c r="R161" s="5" t="s">
        <v>4284</v>
      </c>
      <c r="S161" s="5" t="s">
        <v>5102</v>
      </c>
      <c r="T161" s="7">
        <v>0.24</v>
      </c>
      <c r="U161" s="7" t="s">
        <v>10</v>
      </c>
      <c r="V161" s="7">
        <f t="shared" si="24"/>
        <v>0.24</v>
      </c>
      <c r="W161" s="7">
        <v>0.5</v>
      </c>
      <c r="X161" s="7" t="s">
        <v>55</v>
      </c>
      <c r="Y161" s="7" t="s">
        <v>56</v>
      </c>
      <c r="Z161" s="48" t="str">
        <f t="shared" si="25"/>
        <v>APROVADO</v>
      </c>
      <c r="AA161" s="47">
        <v>11541258</v>
      </c>
      <c r="AB161" s="47" t="s">
        <v>4373</v>
      </c>
      <c r="AC161" s="5" t="s">
        <v>48</v>
      </c>
      <c r="AD161" s="5" t="s">
        <v>5530</v>
      </c>
      <c r="AE161" s="5" t="str">
        <f t="shared" ca="1" si="26"/>
        <v>NO PRAZO</v>
      </c>
      <c r="AF161" s="51"/>
    </row>
    <row r="162" spans="1:32" ht="30" customHeight="1" x14ac:dyDescent="0.25">
      <c r="A162" s="13" t="s">
        <v>4273</v>
      </c>
      <c r="B162" s="72" t="s">
        <v>10</v>
      </c>
      <c r="C162" s="5" t="s">
        <v>5863</v>
      </c>
      <c r="D162" s="61" t="s">
        <v>348</v>
      </c>
      <c r="E162" s="12" t="s">
        <v>40</v>
      </c>
      <c r="F162" s="12" t="s">
        <v>644</v>
      </c>
      <c r="G162" s="12" t="s">
        <v>4263</v>
      </c>
      <c r="H162" s="12" t="s">
        <v>92</v>
      </c>
      <c r="I162" s="12" t="s">
        <v>4271</v>
      </c>
      <c r="J162" s="12" t="s">
        <v>4272</v>
      </c>
      <c r="K162" s="13" t="s">
        <v>10</v>
      </c>
      <c r="L162" s="7" t="s">
        <v>10</v>
      </c>
      <c r="M162" s="13" t="s">
        <v>10</v>
      </c>
      <c r="N162" s="7" t="s">
        <v>45</v>
      </c>
      <c r="O162" s="46" t="s">
        <v>46</v>
      </c>
      <c r="P162" s="101">
        <v>46103</v>
      </c>
      <c r="Q162" s="100">
        <f t="shared" si="23"/>
        <v>46287</v>
      </c>
      <c r="R162" s="5" t="s">
        <v>4285</v>
      </c>
      <c r="S162" s="5" t="s">
        <v>5125</v>
      </c>
      <c r="T162" s="7">
        <v>0.159</v>
      </c>
      <c r="U162" s="7" t="s">
        <v>10</v>
      </c>
      <c r="V162" s="7">
        <f t="shared" si="24"/>
        <v>0.159</v>
      </c>
      <c r="W162" s="7">
        <v>0.5</v>
      </c>
      <c r="X162" s="7" t="s">
        <v>55</v>
      </c>
      <c r="Y162" s="7" t="s">
        <v>56</v>
      </c>
      <c r="Z162" s="48" t="str">
        <f t="shared" si="25"/>
        <v>APROVADO</v>
      </c>
      <c r="AA162" s="47">
        <v>11556535</v>
      </c>
      <c r="AB162" s="47" t="s">
        <v>4374</v>
      </c>
      <c r="AC162" s="5" t="s">
        <v>48</v>
      </c>
      <c r="AD162" s="5" t="s">
        <v>5530</v>
      </c>
      <c r="AE162" s="5" t="str">
        <f t="shared" ca="1" si="26"/>
        <v>NO PRAZO</v>
      </c>
      <c r="AF162" s="49"/>
    </row>
    <row r="163" spans="1:32" ht="30" customHeight="1" x14ac:dyDescent="0.25">
      <c r="A163" s="13" t="s">
        <v>4274</v>
      </c>
      <c r="B163" s="72" t="s">
        <v>10</v>
      </c>
      <c r="C163" s="5" t="s">
        <v>5863</v>
      </c>
      <c r="D163" s="61" t="s">
        <v>348</v>
      </c>
      <c r="E163" s="71" t="s">
        <v>40</v>
      </c>
      <c r="F163" s="71" t="s">
        <v>644</v>
      </c>
      <c r="G163" s="122" t="s">
        <v>4265</v>
      </c>
      <c r="H163" s="122" t="s">
        <v>92</v>
      </c>
      <c r="I163" s="122" t="s">
        <v>4271</v>
      </c>
      <c r="J163" s="71" t="s">
        <v>4272</v>
      </c>
      <c r="K163" s="72" t="s">
        <v>10</v>
      </c>
      <c r="L163" s="7" t="s">
        <v>10</v>
      </c>
      <c r="M163" s="72" t="s">
        <v>10</v>
      </c>
      <c r="N163" s="7" t="s">
        <v>45</v>
      </c>
      <c r="O163" s="46" t="s">
        <v>46</v>
      </c>
      <c r="P163" s="100">
        <v>46103</v>
      </c>
      <c r="Q163" s="100">
        <f t="shared" si="23"/>
        <v>46287</v>
      </c>
      <c r="R163" s="5" t="s">
        <v>4286</v>
      </c>
      <c r="S163" s="5" t="s">
        <v>5103</v>
      </c>
      <c r="T163" s="7">
        <v>0.25900000000000001</v>
      </c>
      <c r="U163" s="7" t="s">
        <v>10</v>
      </c>
      <c r="V163" s="7">
        <f t="shared" si="24"/>
        <v>0.25900000000000001</v>
      </c>
      <c r="W163" s="7">
        <v>0.5</v>
      </c>
      <c r="X163" s="7" t="s">
        <v>55</v>
      </c>
      <c r="Y163" s="7" t="s">
        <v>56</v>
      </c>
      <c r="Z163" s="48" t="str">
        <f t="shared" si="25"/>
        <v>APROVADO</v>
      </c>
      <c r="AA163" s="47">
        <v>11541259</v>
      </c>
      <c r="AB163" s="47" t="s">
        <v>4375</v>
      </c>
      <c r="AC163" s="5" t="s">
        <v>48</v>
      </c>
      <c r="AD163" s="5" t="s">
        <v>5530</v>
      </c>
      <c r="AE163" s="5" t="str">
        <f t="shared" ca="1" si="26"/>
        <v>NO PRAZO</v>
      </c>
      <c r="AF163" s="51"/>
    </row>
    <row r="164" spans="1:32" ht="30" customHeight="1" x14ac:dyDescent="0.25">
      <c r="A164" s="13" t="s">
        <v>4275</v>
      </c>
      <c r="B164" s="72" t="s">
        <v>10</v>
      </c>
      <c r="C164" s="5" t="s">
        <v>5863</v>
      </c>
      <c r="D164" s="61" t="s">
        <v>348</v>
      </c>
      <c r="E164" s="12" t="s">
        <v>40</v>
      </c>
      <c r="F164" s="12" t="s">
        <v>644</v>
      </c>
      <c r="G164" s="12" t="s">
        <v>4265</v>
      </c>
      <c r="H164" s="12" t="s">
        <v>92</v>
      </c>
      <c r="I164" s="12" t="s">
        <v>4271</v>
      </c>
      <c r="J164" s="12" t="s">
        <v>4272</v>
      </c>
      <c r="K164" s="13" t="s">
        <v>10</v>
      </c>
      <c r="L164" s="7" t="s">
        <v>10</v>
      </c>
      <c r="M164" s="13" t="s">
        <v>10</v>
      </c>
      <c r="N164" s="7" t="s">
        <v>45</v>
      </c>
      <c r="O164" s="46" t="s">
        <v>46</v>
      </c>
      <c r="P164" s="101">
        <v>46103</v>
      </c>
      <c r="Q164" s="100">
        <f t="shared" si="23"/>
        <v>46287</v>
      </c>
      <c r="R164" s="5" t="s">
        <v>4287</v>
      </c>
      <c r="S164" s="5" t="s">
        <v>5126</v>
      </c>
      <c r="T164" s="7">
        <v>0.25900000000000001</v>
      </c>
      <c r="U164" s="7" t="s">
        <v>10</v>
      </c>
      <c r="V164" s="7">
        <f t="shared" si="24"/>
        <v>0.25900000000000001</v>
      </c>
      <c r="W164" s="7">
        <v>0.5</v>
      </c>
      <c r="X164" s="7" t="s">
        <v>55</v>
      </c>
      <c r="Y164" s="7" t="s">
        <v>56</v>
      </c>
      <c r="Z164" s="48" t="str">
        <f t="shared" si="25"/>
        <v>APROVADO</v>
      </c>
      <c r="AA164" s="47">
        <v>11556550</v>
      </c>
      <c r="AB164" s="47" t="s">
        <v>4376</v>
      </c>
      <c r="AC164" s="5" t="s">
        <v>48</v>
      </c>
      <c r="AD164" s="5" t="s">
        <v>5530</v>
      </c>
      <c r="AE164" s="5" t="str">
        <f t="shared" ca="1" si="26"/>
        <v>NO PRAZO</v>
      </c>
      <c r="AF164" s="49"/>
    </row>
    <row r="165" spans="1:32" ht="30" customHeight="1" x14ac:dyDescent="0.25">
      <c r="A165" s="13" t="s">
        <v>4276</v>
      </c>
      <c r="B165" s="72" t="s">
        <v>10</v>
      </c>
      <c r="C165" s="5" t="s">
        <v>5863</v>
      </c>
      <c r="D165" s="61" t="s">
        <v>348</v>
      </c>
      <c r="E165" s="71" t="s">
        <v>40</v>
      </c>
      <c r="F165" s="71" t="s">
        <v>644</v>
      </c>
      <c r="G165" s="122" t="s">
        <v>4267</v>
      </c>
      <c r="H165" s="122" t="s">
        <v>92</v>
      </c>
      <c r="I165" s="122" t="s">
        <v>4271</v>
      </c>
      <c r="J165" s="71" t="s">
        <v>4272</v>
      </c>
      <c r="K165" s="72" t="s">
        <v>10</v>
      </c>
      <c r="L165" s="7" t="s">
        <v>10</v>
      </c>
      <c r="M165" s="72" t="s">
        <v>10</v>
      </c>
      <c r="N165" s="7" t="s">
        <v>45</v>
      </c>
      <c r="O165" s="46" t="s">
        <v>46</v>
      </c>
      <c r="P165" s="101">
        <v>46103</v>
      </c>
      <c r="Q165" s="100">
        <f t="shared" si="23"/>
        <v>46287</v>
      </c>
      <c r="R165" s="5" t="s">
        <v>4288</v>
      </c>
      <c r="S165" s="5" t="s">
        <v>5193</v>
      </c>
      <c r="T165" s="7">
        <v>0.159</v>
      </c>
      <c r="U165" s="7" t="s">
        <v>10</v>
      </c>
      <c r="V165" s="7">
        <f t="shared" si="24"/>
        <v>0.159</v>
      </c>
      <c r="W165" s="7">
        <v>0.5</v>
      </c>
      <c r="X165" s="7" t="s">
        <v>55</v>
      </c>
      <c r="Y165" s="7" t="s">
        <v>56</v>
      </c>
      <c r="Z165" s="48" t="str">
        <f t="shared" si="25"/>
        <v>APROVADO</v>
      </c>
      <c r="AA165" s="47">
        <v>11541260</v>
      </c>
      <c r="AB165" s="47" t="s">
        <v>4377</v>
      </c>
      <c r="AC165" s="5" t="s">
        <v>48</v>
      </c>
      <c r="AD165" s="5" t="s">
        <v>5530</v>
      </c>
      <c r="AE165" s="5" t="str">
        <f t="shared" ca="1" si="26"/>
        <v>NO PRAZO</v>
      </c>
      <c r="AF165" s="49"/>
    </row>
    <row r="166" spans="1:32" ht="30" customHeight="1" x14ac:dyDescent="0.25">
      <c r="A166" s="13" t="s">
        <v>4277</v>
      </c>
      <c r="B166" s="72" t="s">
        <v>10</v>
      </c>
      <c r="C166" s="5" t="s">
        <v>5863</v>
      </c>
      <c r="D166" s="133" t="s">
        <v>348</v>
      </c>
      <c r="E166" s="12" t="s">
        <v>40</v>
      </c>
      <c r="F166" s="12" t="s">
        <v>644</v>
      </c>
      <c r="G166" s="12" t="s">
        <v>4267</v>
      </c>
      <c r="H166" s="12" t="s">
        <v>92</v>
      </c>
      <c r="I166" s="12" t="s">
        <v>4271</v>
      </c>
      <c r="J166" s="12" t="s">
        <v>4272</v>
      </c>
      <c r="K166" s="13" t="s">
        <v>10</v>
      </c>
      <c r="L166" s="7" t="s">
        <v>10</v>
      </c>
      <c r="M166" s="13" t="s">
        <v>10</v>
      </c>
      <c r="N166" s="7" t="s">
        <v>45</v>
      </c>
      <c r="O166" s="46" t="s">
        <v>46</v>
      </c>
      <c r="P166" s="101">
        <v>46103</v>
      </c>
      <c r="Q166" s="100">
        <f t="shared" si="23"/>
        <v>46287</v>
      </c>
      <c r="R166" s="5" t="s">
        <v>4289</v>
      </c>
      <c r="S166" s="5" t="s">
        <v>5194</v>
      </c>
      <c r="T166" s="7">
        <v>0.159</v>
      </c>
      <c r="U166" s="7" t="s">
        <v>10</v>
      </c>
      <c r="V166" s="7">
        <f t="shared" si="24"/>
        <v>0.159</v>
      </c>
      <c r="W166" s="7">
        <v>0.5</v>
      </c>
      <c r="X166" s="7" t="s">
        <v>55</v>
      </c>
      <c r="Y166" s="7" t="s">
        <v>56</v>
      </c>
      <c r="Z166" s="48" t="str">
        <f t="shared" si="25"/>
        <v>APROVADO</v>
      </c>
      <c r="AA166" s="47">
        <v>11556552</v>
      </c>
      <c r="AB166" s="47" t="s">
        <v>4378</v>
      </c>
      <c r="AC166" s="5" t="s">
        <v>48</v>
      </c>
      <c r="AD166" s="5" t="s">
        <v>5530</v>
      </c>
      <c r="AE166" s="5" t="str">
        <f t="shared" ca="1" si="26"/>
        <v>NO PRAZO</v>
      </c>
      <c r="AF166" s="49"/>
    </row>
    <row r="167" spans="1:32" ht="30" customHeight="1" x14ac:dyDescent="0.25">
      <c r="A167" s="13" t="s">
        <v>4278</v>
      </c>
      <c r="B167" s="72" t="s">
        <v>10</v>
      </c>
      <c r="C167" s="5" t="s">
        <v>5863</v>
      </c>
      <c r="D167" s="122" t="s">
        <v>365</v>
      </c>
      <c r="E167" s="12" t="s">
        <v>40</v>
      </c>
      <c r="F167" s="12" t="s">
        <v>644</v>
      </c>
      <c r="G167" s="122" t="s">
        <v>4263</v>
      </c>
      <c r="H167" s="122" t="s">
        <v>92</v>
      </c>
      <c r="I167" s="122" t="s">
        <v>4271</v>
      </c>
      <c r="J167" s="12" t="s">
        <v>4272</v>
      </c>
      <c r="K167" s="13" t="s">
        <v>10</v>
      </c>
      <c r="L167" s="7" t="s">
        <v>10</v>
      </c>
      <c r="M167" s="13" t="s">
        <v>10</v>
      </c>
      <c r="N167" s="7" t="s">
        <v>45</v>
      </c>
      <c r="O167" s="46" t="s">
        <v>46</v>
      </c>
      <c r="P167" s="101">
        <v>46103</v>
      </c>
      <c r="Q167" s="100">
        <f t="shared" si="23"/>
        <v>46287</v>
      </c>
      <c r="R167" s="5" t="s">
        <v>4290</v>
      </c>
      <c r="S167" s="5" t="s">
        <v>5160</v>
      </c>
      <c r="T167" s="7">
        <v>0.375</v>
      </c>
      <c r="U167" s="7" t="s">
        <v>10</v>
      </c>
      <c r="V167" s="7">
        <f t="shared" si="24"/>
        <v>0.375</v>
      </c>
      <c r="W167" s="7">
        <v>0.5</v>
      </c>
      <c r="X167" s="7" t="s">
        <v>55</v>
      </c>
      <c r="Y167" s="7" t="s">
        <v>56</v>
      </c>
      <c r="Z167" s="48" t="str">
        <f t="shared" si="25"/>
        <v>APROVADO</v>
      </c>
      <c r="AA167" s="47">
        <v>11542275</v>
      </c>
      <c r="AB167" s="47" t="s">
        <v>4379</v>
      </c>
      <c r="AC167" s="5" t="s">
        <v>48</v>
      </c>
      <c r="AD167" s="5" t="s">
        <v>5530</v>
      </c>
      <c r="AE167" s="5" t="str">
        <f t="shared" ca="1" si="26"/>
        <v>NO PRAZO</v>
      </c>
      <c r="AF167" s="51"/>
    </row>
    <row r="168" spans="1:32" ht="30" customHeight="1" x14ac:dyDescent="0.25">
      <c r="A168" s="13" t="s">
        <v>4279</v>
      </c>
      <c r="B168" s="72" t="s">
        <v>10</v>
      </c>
      <c r="C168" s="5" t="s">
        <v>5863</v>
      </c>
      <c r="D168" s="122" t="s">
        <v>365</v>
      </c>
      <c r="E168" s="12" t="s">
        <v>40</v>
      </c>
      <c r="F168" s="12" t="s">
        <v>644</v>
      </c>
      <c r="G168" s="122" t="s">
        <v>4263</v>
      </c>
      <c r="H168" s="122" t="s">
        <v>92</v>
      </c>
      <c r="I168" s="122" t="s">
        <v>4271</v>
      </c>
      <c r="J168" s="12" t="s">
        <v>4272</v>
      </c>
      <c r="K168" s="13" t="s">
        <v>10</v>
      </c>
      <c r="L168" s="7" t="s">
        <v>10</v>
      </c>
      <c r="M168" s="13" t="s">
        <v>10</v>
      </c>
      <c r="N168" s="7" t="s">
        <v>45</v>
      </c>
      <c r="O168" s="46" t="s">
        <v>46</v>
      </c>
      <c r="P168" s="101">
        <v>46103</v>
      </c>
      <c r="Q168" s="100">
        <f t="shared" si="23"/>
        <v>46287</v>
      </c>
      <c r="R168" s="5" t="s">
        <v>4291</v>
      </c>
      <c r="S168" s="5" t="s">
        <v>5161</v>
      </c>
      <c r="T168" s="7">
        <v>0.316</v>
      </c>
      <c r="U168" s="7" t="s">
        <v>10</v>
      </c>
      <c r="V168" s="7">
        <f t="shared" si="24"/>
        <v>0.316</v>
      </c>
      <c r="W168" s="7">
        <v>0.5</v>
      </c>
      <c r="X168" s="7" t="s">
        <v>55</v>
      </c>
      <c r="Y168" s="7" t="s">
        <v>56</v>
      </c>
      <c r="Z168" s="48" t="str">
        <f t="shared" si="25"/>
        <v>APROVADO</v>
      </c>
      <c r="AA168" s="47">
        <v>11556534</v>
      </c>
      <c r="AB168" s="47" t="s">
        <v>4380</v>
      </c>
      <c r="AC168" s="5" t="s">
        <v>48</v>
      </c>
      <c r="AD168" s="5" t="s">
        <v>5530</v>
      </c>
      <c r="AE168" s="5" t="str">
        <f t="shared" ca="1" si="26"/>
        <v>NO PRAZO</v>
      </c>
      <c r="AF168" s="51"/>
    </row>
    <row r="169" spans="1:32" ht="30" customHeight="1" x14ac:dyDescent="0.25">
      <c r="A169" s="13" t="s">
        <v>4280</v>
      </c>
      <c r="B169" s="72" t="s">
        <v>10</v>
      </c>
      <c r="C169" s="5" t="s">
        <v>5863</v>
      </c>
      <c r="D169" s="122" t="s">
        <v>365</v>
      </c>
      <c r="E169" s="12" t="s">
        <v>40</v>
      </c>
      <c r="F169" s="12" t="s">
        <v>644</v>
      </c>
      <c r="G169" s="122" t="s">
        <v>4265</v>
      </c>
      <c r="H169" s="122" t="s">
        <v>92</v>
      </c>
      <c r="I169" s="122" t="s">
        <v>4271</v>
      </c>
      <c r="J169" s="12" t="s">
        <v>4272</v>
      </c>
      <c r="K169" s="13" t="s">
        <v>10</v>
      </c>
      <c r="L169" s="7" t="s">
        <v>10</v>
      </c>
      <c r="M169" s="13" t="s">
        <v>10</v>
      </c>
      <c r="N169" s="7" t="s">
        <v>45</v>
      </c>
      <c r="O169" s="46" t="s">
        <v>46</v>
      </c>
      <c r="P169" s="101">
        <v>46103</v>
      </c>
      <c r="Q169" s="100">
        <f t="shared" si="23"/>
        <v>46287</v>
      </c>
      <c r="R169" s="5" t="s">
        <v>4292</v>
      </c>
      <c r="S169" s="5" t="s">
        <v>5162</v>
      </c>
      <c r="T169" s="7">
        <v>0.28599999999999998</v>
      </c>
      <c r="U169" s="7" t="s">
        <v>10</v>
      </c>
      <c r="V169" s="7">
        <f t="shared" si="24"/>
        <v>0.28599999999999998</v>
      </c>
      <c r="W169" s="7">
        <v>0.5</v>
      </c>
      <c r="X169" s="7" t="s">
        <v>55</v>
      </c>
      <c r="Y169" s="7" t="s">
        <v>56</v>
      </c>
      <c r="Z169" s="48" t="str">
        <f t="shared" si="25"/>
        <v>APROVADO</v>
      </c>
      <c r="AA169" s="47">
        <v>11542277</v>
      </c>
      <c r="AB169" s="47" t="s">
        <v>4381</v>
      </c>
      <c r="AC169" s="5" t="s">
        <v>48</v>
      </c>
      <c r="AD169" s="5" t="s">
        <v>5530</v>
      </c>
      <c r="AE169" s="5" t="str">
        <f t="shared" ca="1" si="26"/>
        <v>NO PRAZO</v>
      </c>
      <c r="AF169" s="51"/>
    </row>
    <row r="170" spans="1:32" ht="30" customHeight="1" x14ac:dyDescent="0.25">
      <c r="A170" s="13" t="s">
        <v>4281</v>
      </c>
      <c r="B170" s="72" t="s">
        <v>10</v>
      </c>
      <c r="C170" s="5" t="s">
        <v>5863</v>
      </c>
      <c r="D170" s="122" t="s">
        <v>365</v>
      </c>
      <c r="E170" s="12" t="s">
        <v>40</v>
      </c>
      <c r="F170" s="12" t="s">
        <v>644</v>
      </c>
      <c r="G170" s="122" t="s">
        <v>4265</v>
      </c>
      <c r="H170" s="122" t="s">
        <v>92</v>
      </c>
      <c r="I170" s="122" t="s">
        <v>4271</v>
      </c>
      <c r="J170" s="12" t="s">
        <v>4272</v>
      </c>
      <c r="K170" s="13" t="s">
        <v>10</v>
      </c>
      <c r="L170" s="7" t="s">
        <v>10</v>
      </c>
      <c r="M170" s="13" t="s">
        <v>10</v>
      </c>
      <c r="N170" s="7" t="s">
        <v>45</v>
      </c>
      <c r="O170" s="46" t="s">
        <v>46</v>
      </c>
      <c r="P170" s="101">
        <v>46103</v>
      </c>
      <c r="Q170" s="100">
        <f t="shared" si="23"/>
        <v>46287</v>
      </c>
      <c r="R170" s="5" t="s">
        <v>4293</v>
      </c>
      <c r="S170" s="5" t="s">
        <v>5104</v>
      </c>
      <c r="T170" s="7">
        <v>0.32700000000000001</v>
      </c>
      <c r="U170" s="7" t="s">
        <v>10</v>
      </c>
      <c r="V170" s="7">
        <f t="shared" si="24"/>
        <v>0.32700000000000001</v>
      </c>
      <c r="W170" s="7">
        <v>0.5</v>
      </c>
      <c r="X170" s="7" t="s">
        <v>55</v>
      </c>
      <c r="Y170" s="7" t="s">
        <v>56</v>
      </c>
      <c r="Z170" s="48" t="str">
        <f t="shared" si="25"/>
        <v>APROVADO</v>
      </c>
      <c r="AA170" s="47">
        <v>11556549</v>
      </c>
      <c r="AB170" s="47" t="s">
        <v>4382</v>
      </c>
      <c r="AC170" s="5" t="s">
        <v>48</v>
      </c>
      <c r="AD170" s="5" t="s">
        <v>5530</v>
      </c>
      <c r="AE170" s="5" t="str">
        <f t="shared" ca="1" si="26"/>
        <v>NO PRAZO</v>
      </c>
      <c r="AF170" s="51"/>
    </row>
    <row r="171" spans="1:32" ht="30" customHeight="1" x14ac:dyDescent="0.25">
      <c r="A171" s="13" t="s">
        <v>4282</v>
      </c>
      <c r="B171" s="72" t="s">
        <v>10</v>
      </c>
      <c r="C171" s="5" t="s">
        <v>5863</v>
      </c>
      <c r="D171" s="122" t="s">
        <v>365</v>
      </c>
      <c r="E171" s="12" t="s">
        <v>40</v>
      </c>
      <c r="F171" s="12" t="s">
        <v>644</v>
      </c>
      <c r="G171" s="122" t="s">
        <v>4267</v>
      </c>
      <c r="H171" s="122" t="s">
        <v>92</v>
      </c>
      <c r="I171" s="122" t="s">
        <v>4271</v>
      </c>
      <c r="J171" s="12" t="s">
        <v>4272</v>
      </c>
      <c r="K171" s="13" t="s">
        <v>10</v>
      </c>
      <c r="L171" s="7" t="s">
        <v>10</v>
      </c>
      <c r="M171" s="13" t="s">
        <v>10</v>
      </c>
      <c r="N171" s="7" t="s">
        <v>45</v>
      </c>
      <c r="O171" s="46" t="s">
        <v>46</v>
      </c>
      <c r="P171" s="101">
        <v>46103</v>
      </c>
      <c r="Q171" s="100">
        <f t="shared" si="23"/>
        <v>46287</v>
      </c>
      <c r="R171" s="5" t="s">
        <v>4295</v>
      </c>
      <c r="S171" s="5" t="s">
        <v>5163</v>
      </c>
      <c r="T171" s="7">
        <v>0.29899999999999999</v>
      </c>
      <c r="U171" s="7" t="s">
        <v>10</v>
      </c>
      <c r="V171" s="7">
        <f t="shared" si="24"/>
        <v>0.29899999999999999</v>
      </c>
      <c r="W171" s="7">
        <v>0.5</v>
      </c>
      <c r="X171" s="7" t="s">
        <v>55</v>
      </c>
      <c r="Y171" s="7" t="s">
        <v>56</v>
      </c>
      <c r="Z171" s="48" t="str">
        <f t="shared" si="25"/>
        <v>APROVADO</v>
      </c>
      <c r="AA171" s="47">
        <v>11542279</v>
      </c>
      <c r="AB171" s="47" t="s">
        <v>4383</v>
      </c>
      <c r="AC171" s="5" t="s">
        <v>48</v>
      </c>
      <c r="AD171" s="5" t="s">
        <v>5530</v>
      </c>
      <c r="AE171" s="5" t="str">
        <f t="shared" ca="1" si="26"/>
        <v>NO PRAZO</v>
      </c>
      <c r="AF171" s="51"/>
    </row>
    <row r="172" spans="1:32" ht="30" customHeight="1" x14ac:dyDescent="0.25">
      <c r="A172" s="5" t="s">
        <v>4283</v>
      </c>
      <c r="B172" s="121" t="s">
        <v>10</v>
      </c>
      <c r="C172" s="5" t="s">
        <v>5863</v>
      </c>
      <c r="D172" s="34" t="s">
        <v>365</v>
      </c>
      <c r="E172" s="7" t="s">
        <v>40</v>
      </c>
      <c r="F172" s="7" t="s">
        <v>644</v>
      </c>
      <c r="G172" s="34" t="s">
        <v>4267</v>
      </c>
      <c r="H172" s="34" t="s">
        <v>92</v>
      </c>
      <c r="I172" s="34" t="s">
        <v>4271</v>
      </c>
      <c r="J172" s="7" t="s">
        <v>4272</v>
      </c>
      <c r="K172" s="5" t="s">
        <v>10</v>
      </c>
      <c r="L172" s="7" t="s">
        <v>10</v>
      </c>
      <c r="M172" s="5" t="s">
        <v>10</v>
      </c>
      <c r="N172" s="7" t="s">
        <v>45</v>
      </c>
      <c r="O172" s="46" t="s">
        <v>46</v>
      </c>
      <c r="P172" s="101">
        <v>46103</v>
      </c>
      <c r="Q172" s="100">
        <f t="shared" si="23"/>
        <v>46287</v>
      </c>
      <c r="R172" s="5" t="s">
        <v>4294</v>
      </c>
      <c r="S172" s="5" t="s">
        <v>5164</v>
      </c>
      <c r="T172" s="7">
        <v>0.36</v>
      </c>
      <c r="U172" s="7" t="s">
        <v>10</v>
      </c>
      <c r="V172" s="7">
        <f t="shared" si="24"/>
        <v>0.36</v>
      </c>
      <c r="W172" s="7">
        <v>0.5</v>
      </c>
      <c r="X172" s="7" t="s">
        <v>55</v>
      </c>
      <c r="Y172" s="7" t="s">
        <v>56</v>
      </c>
      <c r="Z172" s="48" t="str">
        <f t="shared" si="25"/>
        <v>APROVADO</v>
      </c>
      <c r="AA172" s="47">
        <v>11556551</v>
      </c>
      <c r="AB172" s="47" t="s">
        <v>4384</v>
      </c>
      <c r="AC172" s="5" t="s">
        <v>48</v>
      </c>
      <c r="AD172" s="5" t="s">
        <v>5530</v>
      </c>
      <c r="AE172" s="5" t="str">
        <f t="shared" ca="1" si="26"/>
        <v>NO PRAZO</v>
      </c>
      <c r="AF172" s="51"/>
    </row>
    <row r="173" spans="1:32" ht="30" customHeight="1" x14ac:dyDescent="0.25">
      <c r="A173" s="7" t="s">
        <v>1521</v>
      </c>
      <c r="B173" s="5" t="s">
        <v>10</v>
      </c>
      <c r="C173" s="5" t="s">
        <v>5863</v>
      </c>
      <c r="D173" s="61" t="s">
        <v>348</v>
      </c>
      <c r="E173" s="7" t="s">
        <v>40</v>
      </c>
      <c r="F173" s="7" t="s">
        <v>644</v>
      </c>
      <c r="G173" s="7" t="s">
        <v>1522</v>
      </c>
      <c r="H173" s="7" t="s">
        <v>92</v>
      </c>
      <c r="I173" s="7" t="s">
        <v>121</v>
      </c>
      <c r="J173" s="7" t="s">
        <v>587</v>
      </c>
      <c r="K173" s="7" t="s">
        <v>10</v>
      </c>
      <c r="L173" s="7" t="s">
        <v>10</v>
      </c>
      <c r="M173" s="7" t="s">
        <v>10</v>
      </c>
      <c r="N173" s="7" t="s">
        <v>45</v>
      </c>
      <c r="O173" s="46" t="s">
        <v>46</v>
      </c>
      <c r="P173" s="101">
        <v>46103</v>
      </c>
      <c r="Q173" s="100">
        <f t="shared" si="23"/>
        <v>46287</v>
      </c>
      <c r="R173" s="5" t="s">
        <v>3180</v>
      </c>
      <c r="S173" s="5" t="s">
        <v>5127</v>
      </c>
      <c r="T173" s="7">
        <v>0.25900000000000001</v>
      </c>
      <c r="U173" s="7" t="s">
        <v>10</v>
      </c>
      <c r="V173" s="7">
        <f t="shared" si="24"/>
        <v>0.25900000000000001</v>
      </c>
      <c r="W173" s="7">
        <v>0.5</v>
      </c>
      <c r="X173" s="7" t="s">
        <v>55</v>
      </c>
      <c r="Y173" s="7" t="s">
        <v>56</v>
      </c>
      <c r="Z173" s="48" t="str">
        <f t="shared" si="25"/>
        <v>APROVADO</v>
      </c>
      <c r="AA173" s="47">
        <v>11541261</v>
      </c>
      <c r="AB173" s="5" t="s">
        <v>2650</v>
      </c>
      <c r="AC173" s="5" t="s">
        <v>48</v>
      </c>
      <c r="AD173" s="5" t="s">
        <v>5530</v>
      </c>
      <c r="AE173" s="5" t="str">
        <f t="shared" ca="1" si="26"/>
        <v>NO PRAZO</v>
      </c>
      <c r="AF173" s="49"/>
    </row>
    <row r="174" spans="1:32" ht="30" customHeight="1" x14ac:dyDescent="0.25">
      <c r="A174" s="7" t="s">
        <v>1523</v>
      </c>
      <c r="B174" s="5" t="s">
        <v>10</v>
      </c>
      <c r="C174" s="5" t="s">
        <v>5863</v>
      </c>
      <c r="D174" s="61" t="s">
        <v>348</v>
      </c>
      <c r="E174" s="7" t="s">
        <v>40</v>
      </c>
      <c r="F174" s="7" t="s">
        <v>644</v>
      </c>
      <c r="G174" s="7" t="s">
        <v>1522</v>
      </c>
      <c r="H174" s="7" t="s">
        <v>92</v>
      </c>
      <c r="I174" s="7" t="s">
        <v>121</v>
      </c>
      <c r="J174" s="7" t="s">
        <v>587</v>
      </c>
      <c r="K174" s="7" t="s">
        <v>10</v>
      </c>
      <c r="L174" s="7" t="s">
        <v>10</v>
      </c>
      <c r="M174" s="7" t="s">
        <v>10</v>
      </c>
      <c r="N174" s="7" t="s">
        <v>45</v>
      </c>
      <c r="O174" s="46" t="s">
        <v>46</v>
      </c>
      <c r="P174" s="101">
        <v>46103</v>
      </c>
      <c r="Q174" s="100">
        <f t="shared" si="23"/>
        <v>46287</v>
      </c>
      <c r="R174" s="5" t="s">
        <v>3181</v>
      </c>
      <c r="S174" s="5" t="s">
        <v>5128</v>
      </c>
      <c r="T174" s="7">
        <v>0.35899999999999999</v>
      </c>
      <c r="U174" s="7" t="s">
        <v>10</v>
      </c>
      <c r="V174" s="7">
        <f t="shared" si="24"/>
        <v>0.35899999999999999</v>
      </c>
      <c r="W174" s="7">
        <v>0.5</v>
      </c>
      <c r="X174" s="7" t="s">
        <v>55</v>
      </c>
      <c r="Y174" s="7" t="s">
        <v>56</v>
      </c>
      <c r="Z174" s="48" t="str">
        <f t="shared" si="25"/>
        <v>APROVADO</v>
      </c>
      <c r="AA174" s="47">
        <v>11556562</v>
      </c>
      <c r="AB174" s="5" t="s">
        <v>2651</v>
      </c>
      <c r="AC174" s="5" t="s">
        <v>48</v>
      </c>
      <c r="AD174" s="5" t="s">
        <v>5530</v>
      </c>
      <c r="AE174" s="5" t="str">
        <f t="shared" ca="1" si="26"/>
        <v>NO PRAZO</v>
      </c>
      <c r="AF174" s="49"/>
    </row>
    <row r="175" spans="1:32" ht="30" customHeight="1" x14ac:dyDescent="0.25">
      <c r="A175" s="7" t="s">
        <v>1524</v>
      </c>
      <c r="B175" s="5" t="s">
        <v>10</v>
      </c>
      <c r="C175" s="5" t="s">
        <v>5863</v>
      </c>
      <c r="D175" s="61" t="s">
        <v>348</v>
      </c>
      <c r="E175" s="7" t="s">
        <v>40</v>
      </c>
      <c r="F175" s="7" t="s">
        <v>644</v>
      </c>
      <c r="G175" s="7" t="s">
        <v>1525</v>
      </c>
      <c r="H175" s="7" t="s">
        <v>92</v>
      </c>
      <c r="I175" s="7" t="s">
        <v>121</v>
      </c>
      <c r="J175" s="7" t="s">
        <v>587</v>
      </c>
      <c r="K175" s="7" t="s">
        <v>10</v>
      </c>
      <c r="L175" s="7" t="s">
        <v>10</v>
      </c>
      <c r="M175" s="7" t="s">
        <v>10</v>
      </c>
      <c r="N175" s="7" t="s">
        <v>45</v>
      </c>
      <c r="O175" s="46" t="s">
        <v>46</v>
      </c>
      <c r="P175" s="101">
        <v>46103</v>
      </c>
      <c r="Q175" s="100">
        <f t="shared" si="23"/>
        <v>46287</v>
      </c>
      <c r="R175" s="5" t="s">
        <v>3182</v>
      </c>
      <c r="S175" s="5" t="s">
        <v>5129</v>
      </c>
      <c r="T175" s="7">
        <v>0.25900000000000001</v>
      </c>
      <c r="U175" s="7" t="s">
        <v>10</v>
      </c>
      <c r="V175" s="7">
        <f t="shared" si="24"/>
        <v>0.25900000000000001</v>
      </c>
      <c r="W175" s="7">
        <v>0.5</v>
      </c>
      <c r="X175" s="7" t="s">
        <v>55</v>
      </c>
      <c r="Y175" s="7" t="s">
        <v>56</v>
      </c>
      <c r="Z175" s="48" t="str">
        <f t="shared" si="25"/>
        <v>APROVADO</v>
      </c>
      <c r="AA175" s="47">
        <v>11541262</v>
      </c>
      <c r="AB175" s="5" t="s">
        <v>2652</v>
      </c>
      <c r="AC175" s="5" t="s">
        <v>48</v>
      </c>
      <c r="AD175" s="5" t="s">
        <v>5530</v>
      </c>
      <c r="AE175" s="5" t="str">
        <f t="shared" ca="1" si="26"/>
        <v>NO PRAZO</v>
      </c>
      <c r="AF175" s="49"/>
    </row>
    <row r="176" spans="1:32" ht="30" customHeight="1" x14ac:dyDescent="0.25">
      <c r="A176" s="7" t="s">
        <v>1526</v>
      </c>
      <c r="B176" s="5" t="s">
        <v>10</v>
      </c>
      <c r="C176" s="5" t="s">
        <v>5863</v>
      </c>
      <c r="D176" s="61" t="s">
        <v>348</v>
      </c>
      <c r="E176" s="7" t="s">
        <v>40</v>
      </c>
      <c r="F176" s="7" t="s">
        <v>644</v>
      </c>
      <c r="G176" s="7" t="s">
        <v>1525</v>
      </c>
      <c r="H176" s="7" t="s">
        <v>92</v>
      </c>
      <c r="I176" s="12" t="s">
        <v>121</v>
      </c>
      <c r="J176" s="12" t="s">
        <v>587</v>
      </c>
      <c r="K176" s="7" t="s">
        <v>10</v>
      </c>
      <c r="L176" s="7" t="s">
        <v>10</v>
      </c>
      <c r="M176" s="7" t="s">
        <v>10</v>
      </c>
      <c r="N176" s="7" t="s">
        <v>45</v>
      </c>
      <c r="O176" s="46" t="s">
        <v>46</v>
      </c>
      <c r="P176" s="101">
        <v>46103</v>
      </c>
      <c r="Q176" s="100">
        <f t="shared" si="23"/>
        <v>46287</v>
      </c>
      <c r="R176" s="5" t="s">
        <v>3183</v>
      </c>
      <c r="S176" s="5" t="s">
        <v>5130</v>
      </c>
      <c r="T176" s="7">
        <v>0.159</v>
      </c>
      <c r="U176" s="7" t="s">
        <v>10</v>
      </c>
      <c r="V176" s="7">
        <f t="shared" si="24"/>
        <v>0.159</v>
      </c>
      <c r="W176" s="7">
        <v>0.5</v>
      </c>
      <c r="X176" s="7" t="s">
        <v>55</v>
      </c>
      <c r="Y176" s="7" t="s">
        <v>56</v>
      </c>
      <c r="Z176" s="48" t="str">
        <f t="shared" si="25"/>
        <v>APROVADO</v>
      </c>
      <c r="AA176" s="47">
        <v>11556566</v>
      </c>
      <c r="AB176" s="5" t="s">
        <v>3283</v>
      </c>
      <c r="AC176" s="5" t="s">
        <v>48</v>
      </c>
      <c r="AD176" s="5" t="s">
        <v>5530</v>
      </c>
      <c r="AE176" s="5" t="str">
        <f t="shared" ca="1" si="26"/>
        <v>NO PRAZO</v>
      </c>
      <c r="AF176" s="49"/>
    </row>
    <row r="177" spans="1:32" ht="30" customHeight="1" x14ac:dyDescent="0.25">
      <c r="A177" s="5" t="s">
        <v>1527</v>
      </c>
      <c r="B177" s="5" t="s">
        <v>10</v>
      </c>
      <c r="C177" s="5" t="s">
        <v>5863</v>
      </c>
      <c r="D177" s="61" t="s">
        <v>348</v>
      </c>
      <c r="E177" s="7" t="s">
        <v>40</v>
      </c>
      <c r="F177" s="7" t="s">
        <v>644</v>
      </c>
      <c r="G177" s="7" t="s">
        <v>1528</v>
      </c>
      <c r="H177" s="7" t="s">
        <v>92</v>
      </c>
      <c r="I177" s="7" t="s">
        <v>121</v>
      </c>
      <c r="J177" s="7" t="s">
        <v>587</v>
      </c>
      <c r="K177" s="5" t="s">
        <v>10</v>
      </c>
      <c r="L177" s="7" t="s">
        <v>10</v>
      </c>
      <c r="M177" s="5" t="s">
        <v>10</v>
      </c>
      <c r="N177" s="5" t="s">
        <v>45</v>
      </c>
      <c r="O177" s="46" t="s">
        <v>46</v>
      </c>
      <c r="P177" s="101">
        <v>46103</v>
      </c>
      <c r="Q177" s="100">
        <f t="shared" si="23"/>
        <v>46287</v>
      </c>
      <c r="R177" s="5" t="s">
        <v>3184</v>
      </c>
      <c r="S177" s="5" t="s">
        <v>5131</v>
      </c>
      <c r="T177" s="7">
        <v>0.159</v>
      </c>
      <c r="U177" s="7" t="s">
        <v>10</v>
      </c>
      <c r="V177" s="7">
        <f t="shared" si="24"/>
        <v>0.159</v>
      </c>
      <c r="W177" s="7">
        <v>0.5</v>
      </c>
      <c r="X177" s="7" t="s">
        <v>55</v>
      </c>
      <c r="Y177" s="7" t="s">
        <v>56</v>
      </c>
      <c r="Z177" s="48" t="str">
        <f t="shared" si="25"/>
        <v>APROVADO</v>
      </c>
      <c r="AA177" s="47">
        <v>11541265</v>
      </c>
      <c r="AB177" s="5" t="s">
        <v>2653</v>
      </c>
      <c r="AC177" s="5" t="s">
        <v>48</v>
      </c>
      <c r="AD177" s="5" t="s">
        <v>5530</v>
      </c>
      <c r="AE177" s="5" t="str">
        <f t="shared" ca="1" si="26"/>
        <v>NO PRAZO</v>
      </c>
      <c r="AF177" s="49"/>
    </row>
    <row r="178" spans="1:32" ht="30" customHeight="1" x14ac:dyDescent="0.25">
      <c r="A178" s="5" t="s">
        <v>1529</v>
      </c>
      <c r="B178" s="5" t="s">
        <v>10</v>
      </c>
      <c r="C178" s="5" t="s">
        <v>5863</v>
      </c>
      <c r="D178" s="61" t="s">
        <v>348</v>
      </c>
      <c r="E178" s="7" t="s">
        <v>40</v>
      </c>
      <c r="F178" s="7" t="s">
        <v>644</v>
      </c>
      <c r="G178" s="7" t="s">
        <v>1528</v>
      </c>
      <c r="H178" s="7" t="s">
        <v>92</v>
      </c>
      <c r="I178" s="7" t="s">
        <v>121</v>
      </c>
      <c r="J178" s="7" t="s">
        <v>587</v>
      </c>
      <c r="K178" s="5" t="s">
        <v>10</v>
      </c>
      <c r="L178" s="7" t="s">
        <v>10</v>
      </c>
      <c r="M178" s="5" t="s">
        <v>10</v>
      </c>
      <c r="N178" s="5" t="s">
        <v>45</v>
      </c>
      <c r="O178" s="46" t="s">
        <v>46</v>
      </c>
      <c r="P178" s="101">
        <v>46103</v>
      </c>
      <c r="Q178" s="100">
        <f t="shared" si="23"/>
        <v>46287</v>
      </c>
      <c r="R178" s="5" t="s">
        <v>3185</v>
      </c>
      <c r="S178" s="5" t="s">
        <v>5133</v>
      </c>
      <c r="T178" s="7">
        <v>0.159</v>
      </c>
      <c r="U178" s="7" t="s">
        <v>10</v>
      </c>
      <c r="V178" s="7">
        <f t="shared" si="24"/>
        <v>0.159</v>
      </c>
      <c r="W178" s="7">
        <v>0.5</v>
      </c>
      <c r="X178" s="7" t="s">
        <v>55</v>
      </c>
      <c r="Y178" s="7" t="s">
        <v>56</v>
      </c>
      <c r="Z178" s="48" t="str">
        <f t="shared" si="25"/>
        <v>APROVADO</v>
      </c>
      <c r="AA178" s="47">
        <v>11556589</v>
      </c>
      <c r="AB178" s="5" t="s">
        <v>2654</v>
      </c>
      <c r="AC178" s="5" t="s">
        <v>48</v>
      </c>
      <c r="AD178" s="5" t="s">
        <v>5530</v>
      </c>
      <c r="AE178" s="5" t="str">
        <f t="shared" ca="1" si="26"/>
        <v>NO PRAZO</v>
      </c>
      <c r="AF178" s="49"/>
    </row>
    <row r="179" spans="1:32" ht="30" customHeight="1" x14ac:dyDescent="0.25">
      <c r="A179" s="5" t="s">
        <v>1530</v>
      </c>
      <c r="B179" s="5" t="s">
        <v>10</v>
      </c>
      <c r="C179" s="5" t="s">
        <v>5863</v>
      </c>
      <c r="D179" s="61" t="s">
        <v>348</v>
      </c>
      <c r="E179" s="7" t="s">
        <v>40</v>
      </c>
      <c r="F179" s="7" t="s">
        <v>644</v>
      </c>
      <c r="G179" s="7" t="s">
        <v>1531</v>
      </c>
      <c r="H179" s="7" t="s">
        <v>92</v>
      </c>
      <c r="I179" s="7" t="s">
        <v>121</v>
      </c>
      <c r="J179" s="7" t="s">
        <v>587</v>
      </c>
      <c r="K179" s="5" t="s">
        <v>10</v>
      </c>
      <c r="L179" s="5" t="s">
        <v>10</v>
      </c>
      <c r="M179" s="5" t="s">
        <v>10</v>
      </c>
      <c r="N179" s="5" t="s">
        <v>45</v>
      </c>
      <c r="O179" s="46" t="s">
        <v>46</v>
      </c>
      <c r="P179" s="101">
        <v>46103</v>
      </c>
      <c r="Q179" s="100">
        <f t="shared" si="23"/>
        <v>46287</v>
      </c>
      <c r="R179" s="5" t="s">
        <v>3186</v>
      </c>
      <c r="S179" s="5" t="s">
        <v>5134</v>
      </c>
      <c r="T179" s="7">
        <v>0.159</v>
      </c>
      <c r="U179" s="7" t="s">
        <v>10</v>
      </c>
      <c r="V179" s="7">
        <f t="shared" si="24"/>
        <v>0.159</v>
      </c>
      <c r="W179" s="7">
        <v>0.5</v>
      </c>
      <c r="X179" s="7" t="s">
        <v>55</v>
      </c>
      <c r="Y179" s="7" t="s">
        <v>56</v>
      </c>
      <c r="Z179" s="48" t="str">
        <f t="shared" si="25"/>
        <v>APROVADO</v>
      </c>
      <c r="AA179" s="47">
        <v>11541266</v>
      </c>
      <c r="AB179" s="5" t="s">
        <v>2655</v>
      </c>
      <c r="AC179" s="5" t="s">
        <v>48</v>
      </c>
      <c r="AD179" s="5" t="s">
        <v>5530</v>
      </c>
      <c r="AE179" s="5" t="str">
        <f t="shared" ca="1" si="26"/>
        <v>NO PRAZO</v>
      </c>
      <c r="AF179" s="49"/>
    </row>
    <row r="180" spans="1:32" ht="30" customHeight="1" x14ac:dyDescent="0.25">
      <c r="A180" s="5" t="s">
        <v>487</v>
      </c>
      <c r="B180" s="5" t="s">
        <v>10</v>
      </c>
      <c r="C180" s="5" t="s">
        <v>5862</v>
      </c>
      <c r="D180" s="7" t="s">
        <v>448</v>
      </c>
      <c r="E180" s="7" t="s">
        <v>40</v>
      </c>
      <c r="F180" s="7" t="s">
        <v>156</v>
      </c>
      <c r="G180" s="7" t="s">
        <v>452</v>
      </c>
      <c r="H180" s="61" t="s">
        <v>338</v>
      </c>
      <c r="I180" s="62" t="s">
        <v>93</v>
      </c>
      <c r="J180" s="7" t="s">
        <v>454</v>
      </c>
      <c r="K180" s="5" t="s">
        <v>45</v>
      </c>
      <c r="L180" s="5" t="s">
        <v>10</v>
      </c>
      <c r="M180" s="5" t="s">
        <v>10</v>
      </c>
      <c r="N180" s="5" t="s">
        <v>10</v>
      </c>
      <c r="O180" s="46" t="s">
        <v>46</v>
      </c>
      <c r="P180" s="101">
        <v>46131</v>
      </c>
      <c r="Q180" s="100">
        <f t="shared" ref="Q180:Q197" si="27">IF(P180="","",P180+183)</f>
        <v>46314</v>
      </c>
      <c r="R180" s="5" t="s">
        <v>3588</v>
      </c>
      <c r="S180" s="5" t="s">
        <v>5296</v>
      </c>
      <c r="T180" s="7">
        <v>0.129</v>
      </c>
      <c r="U180" s="5" t="s">
        <v>340</v>
      </c>
      <c r="V180" s="7">
        <f t="shared" si="24"/>
        <v>0.129</v>
      </c>
      <c r="W180" s="15">
        <v>0.5</v>
      </c>
      <c r="X180" s="5" t="s">
        <v>55</v>
      </c>
      <c r="Y180" s="7" t="s">
        <v>56</v>
      </c>
      <c r="Z180" s="48" t="str">
        <f t="shared" si="25"/>
        <v>APROVADO</v>
      </c>
      <c r="AA180" s="47">
        <v>11540653</v>
      </c>
      <c r="AB180" s="5" t="s">
        <v>2776</v>
      </c>
      <c r="AC180" s="5" t="s">
        <v>48</v>
      </c>
      <c r="AD180" s="5" t="s">
        <v>5530</v>
      </c>
      <c r="AE180" s="5" t="str">
        <f t="shared" ca="1" si="26"/>
        <v>NO PRAZO</v>
      </c>
      <c r="AF180" s="51"/>
    </row>
    <row r="181" spans="1:32" ht="30" customHeight="1" x14ac:dyDescent="0.25">
      <c r="A181" s="6" t="s">
        <v>501</v>
      </c>
      <c r="B181" s="5" t="s">
        <v>10</v>
      </c>
      <c r="C181" s="5" t="s">
        <v>5862</v>
      </c>
      <c r="D181" s="7" t="s">
        <v>448</v>
      </c>
      <c r="E181" s="7" t="s">
        <v>40</v>
      </c>
      <c r="F181" s="7" t="s">
        <v>156</v>
      </c>
      <c r="G181" s="7" t="s">
        <v>459</v>
      </c>
      <c r="H181" s="61" t="s">
        <v>338</v>
      </c>
      <c r="I181" s="62" t="s">
        <v>93</v>
      </c>
      <c r="J181" s="7" t="s">
        <v>454</v>
      </c>
      <c r="K181" s="5" t="s">
        <v>45</v>
      </c>
      <c r="L181" s="5" t="s">
        <v>10</v>
      </c>
      <c r="M181" s="5" t="s">
        <v>10</v>
      </c>
      <c r="N181" s="5" t="s">
        <v>10</v>
      </c>
      <c r="O181" s="46" t="s">
        <v>46</v>
      </c>
      <c r="P181" s="101">
        <v>46131</v>
      </c>
      <c r="Q181" s="100">
        <f t="shared" si="27"/>
        <v>46314</v>
      </c>
      <c r="R181" s="5" t="s">
        <v>3589</v>
      </c>
      <c r="S181" s="5" t="s">
        <v>5297</v>
      </c>
      <c r="T181" s="7">
        <v>0.129</v>
      </c>
      <c r="U181" s="5" t="s">
        <v>340</v>
      </c>
      <c r="V181" s="7">
        <f t="shared" si="24"/>
        <v>0.129</v>
      </c>
      <c r="W181" s="15">
        <v>0.5</v>
      </c>
      <c r="X181" s="5" t="s">
        <v>55</v>
      </c>
      <c r="Y181" s="7" t="s">
        <v>56</v>
      </c>
      <c r="Z181" s="48" t="str">
        <f t="shared" si="25"/>
        <v>APROVADO</v>
      </c>
      <c r="AA181" s="47">
        <v>11540648</v>
      </c>
      <c r="AB181" s="5" t="s">
        <v>502</v>
      </c>
      <c r="AC181" s="5" t="s">
        <v>48</v>
      </c>
      <c r="AD181" s="5" t="s">
        <v>5530</v>
      </c>
      <c r="AE181" s="5" t="str">
        <f t="shared" ca="1" si="26"/>
        <v>NO PRAZO</v>
      </c>
      <c r="AF181" s="51"/>
    </row>
    <row r="182" spans="1:32" ht="30" customHeight="1" x14ac:dyDescent="0.25">
      <c r="A182" s="6" t="s">
        <v>503</v>
      </c>
      <c r="B182" s="5" t="s">
        <v>10</v>
      </c>
      <c r="C182" s="5" t="s">
        <v>5862</v>
      </c>
      <c r="D182" s="7" t="s">
        <v>448</v>
      </c>
      <c r="E182" s="7" t="s">
        <v>40</v>
      </c>
      <c r="F182" s="7" t="s">
        <v>156</v>
      </c>
      <c r="G182" s="7" t="s">
        <v>462</v>
      </c>
      <c r="H182" s="61" t="s">
        <v>338</v>
      </c>
      <c r="I182" s="62" t="s">
        <v>93</v>
      </c>
      <c r="J182" s="7" t="s">
        <v>454</v>
      </c>
      <c r="K182" s="5" t="s">
        <v>45</v>
      </c>
      <c r="L182" s="5" t="s">
        <v>10</v>
      </c>
      <c r="M182" s="5" t="s">
        <v>10</v>
      </c>
      <c r="N182" s="5" t="s">
        <v>10</v>
      </c>
      <c r="O182" s="46" t="s">
        <v>46</v>
      </c>
      <c r="P182" s="101">
        <v>46131</v>
      </c>
      <c r="Q182" s="100">
        <f t="shared" si="27"/>
        <v>46314</v>
      </c>
      <c r="R182" s="5" t="s">
        <v>3590</v>
      </c>
      <c r="S182" s="5" t="s">
        <v>5298</v>
      </c>
      <c r="T182" s="7">
        <v>0.129</v>
      </c>
      <c r="U182" s="5" t="s">
        <v>340</v>
      </c>
      <c r="V182" s="7">
        <f t="shared" si="24"/>
        <v>0.129</v>
      </c>
      <c r="W182" s="15">
        <v>0.5</v>
      </c>
      <c r="X182" s="5" t="s">
        <v>55</v>
      </c>
      <c r="Y182" s="7" t="s">
        <v>56</v>
      </c>
      <c r="Z182" s="48" t="str">
        <f t="shared" si="25"/>
        <v>APROVADO</v>
      </c>
      <c r="AA182" s="47">
        <v>11540657</v>
      </c>
      <c r="AB182" s="5" t="s">
        <v>504</v>
      </c>
      <c r="AC182" s="5" t="s">
        <v>48</v>
      </c>
      <c r="AD182" s="5" t="s">
        <v>5530</v>
      </c>
      <c r="AE182" s="5" t="str">
        <f t="shared" ca="1" si="26"/>
        <v>NO PRAZO</v>
      </c>
      <c r="AF182" s="51"/>
    </row>
    <row r="183" spans="1:32" ht="30" customHeight="1" x14ac:dyDescent="0.25">
      <c r="A183" s="6" t="s">
        <v>505</v>
      </c>
      <c r="B183" s="5" t="s">
        <v>10</v>
      </c>
      <c r="C183" s="5" t="s">
        <v>5862</v>
      </c>
      <c r="D183" s="7" t="s">
        <v>448</v>
      </c>
      <c r="E183" s="7" t="s">
        <v>40</v>
      </c>
      <c r="F183" s="7" t="s">
        <v>156</v>
      </c>
      <c r="G183" s="7" t="s">
        <v>465</v>
      </c>
      <c r="H183" s="61" t="s">
        <v>338</v>
      </c>
      <c r="I183" s="62" t="s">
        <v>93</v>
      </c>
      <c r="J183" s="7" t="s">
        <v>454</v>
      </c>
      <c r="K183" s="5" t="s">
        <v>45</v>
      </c>
      <c r="L183" s="5" t="s">
        <v>10</v>
      </c>
      <c r="M183" s="5" t="s">
        <v>10</v>
      </c>
      <c r="N183" s="5" t="s">
        <v>10</v>
      </c>
      <c r="O183" s="46" t="s">
        <v>46</v>
      </c>
      <c r="P183" s="101">
        <v>46131</v>
      </c>
      <c r="Q183" s="100">
        <f t="shared" si="27"/>
        <v>46314</v>
      </c>
      <c r="R183" s="5" t="s">
        <v>3591</v>
      </c>
      <c r="S183" s="5" t="s">
        <v>5299</v>
      </c>
      <c r="T183" s="7">
        <v>0.129</v>
      </c>
      <c r="U183" s="5" t="s">
        <v>340</v>
      </c>
      <c r="V183" s="7">
        <f t="shared" si="24"/>
        <v>0.129</v>
      </c>
      <c r="W183" s="15">
        <v>0.5</v>
      </c>
      <c r="X183" s="5" t="s">
        <v>55</v>
      </c>
      <c r="Y183" s="7" t="s">
        <v>56</v>
      </c>
      <c r="Z183" s="48" t="str">
        <f t="shared" si="25"/>
        <v>APROVADO</v>
      </c>
      <c r="AA183" s="47">
        <v>11540649</v>
      </c>
      <c r="AB183" s="5" t="s">
        <v>506</v>
      </c>
      <c r="AC183" s="5" t="s">
        <v>48</v>
      </c>
      <c r="AD183" s="5" t="s">
        <v>5530</v>
      </c>
      <c r="AE183" s="5" t="str">
        <f t="shared" ca="1" si="26"/>
        <v>NO PRAZO</v>
      </c>
      <c r="AF183" s="51"/>
    </row>
    <row r="184" spans="1:32" ht="30" customHeight="1" x14ac:dyDescent="0.25">
      <c r="A184" s="6" t="s">
        <v>507</v>
      </c>
      <c r="B184" s="5" t="s">
        <v>10</v>
      </c>
      <c r="C184" s="5" t="s">
        <v>5862</v>
      </c>
      <c r="D184" s="7" t="s">
        <v>448</v>
      </c>
      <c r="E184" s="7" t="s">
        <v>40</v>
      </c>
      <c r="F184" s="7" t="s">
        <v>156</v>
      </c>
      <c r="G184" s="7" t="s">
        <v>468</v>
      </c>
      <c r="H184" s="61" t="s">
        <v>338</v>
      </c>
      <c r="I184" s="62" t="s">
        <v>93</v>
      </c>
      <c r="J184" s="7" t="s">
        <v>454</v>
      </c>
      <c r="K184" s="5" t="s">
        <v>45</v>
      </c>
      <c r="L184" s="5" t="s">
        <v>10</v>
      </c>
      <c r="M184" s="5" t="s">
        <v>10</v>
      </c>
      <c r="N184" s="5" t="s">
        <v>10</v>
      </c>
      <c r="O184" s="46" t="s">
        <v>46</v>
      </c>
      <c r="P184" s="101">
        <v>46131</v>
      </c>
      <c r="Q184" s="100">
        <f t="shared" si="27"/>
        <v>46314</v>
      </c>
      <c r="R184" s="5" t="s">
        <v>3592</v>
      </c>
      <c r="S184" s="5" t="s">
        <v>5301</v>
      </c>
      <c r="T184" s="7">
        <v>0.129</v>
      </c>
      <c r="U184" s="5" t="s">
        <v>340</v>
      </c>
      <c r="V184" s="7">
        <f t="shared" si="24"/>
        <v>0.129</v>
      </c>
      <c r="W184" s="15">
        <v>0.5</v>
      </c>
      <c r="X184" s="5" t="s">
        <v>55</v>
      </c>
      <c r="Y184" s="7" t="s">
        <v>56</v>
      </c>
      <c r="Z184" s="48" t="str">
        <f t="shared" si="25"/>
        <v>APROVADO</v>
      </c>
      <c r="AA184" s="47">
        <v>11540658</v>
      </c>
      <c r="AB184" s="5" t="s">
        <v>508</v>
      </c>
      <c r="AC184" s="5" t="s">
        <v>48</v>
      </c>
      <c r="AD184" s="5" t="s">
        <v>5530</v>
      </c>
      <c r="AE184" s="5" t="str">
        <f t="shared" ca="1" si="26"/>
        <v>NO PRAZO</v>
      </c>
      <c r="AF184" s="51"/>
    </row>
    <row r="185" spans="1:32" ht="30" customHeight="1" x14ac:dyDescent="0.25">
      <c r="A185" s="6" t="s">
        <v>509</v>
      </c>
      <c r="B185" s="5" t="s">
        <v>10</v>
      </c>
      <c r="C185" s="5" t="s">
        <v>5862</v>
      </c>
      <c r="D185" s="7" t="s">
        <v>448</v>
      </c>
      <c r="E185" s="7" t="s">
        <v>40</v>
      </c>
      <c r="F185" s="7" t="s">
        <v>156</v>
      </c>
      <c r="G185" s="7" t="s">
        <v>471</v>
      </c>
      <c r="H185" s="61" t="s">
        <v>338</v>
      </c>
      <c r="I185" s="62" t="s">
        <v>93</v>
      </c>
      <c r="J185" s="7" t="s">
        <v>454</v>
      </c>
      <c r="K185" s="5" t="s">
        <v>45</v>
      </c>
      <c r="L185" s="5" t="s">
        <v>10</v>
      </c>
      <c r="M185" s="5" t="s">
        <v>10</v>
      </c>
      <c r="N185" s="5" t="s">
        <v>10</v>
      </c>
      <c r="O185" s="46" t="s">
        <v>46</v>
      </c>
      <c r="P185" s="101">
        <v>46128</v>
      </c>
      <c r="Q185" s="100">
        <f t="shared" si="27"/>
        <v>46311</v>
      </c>
      <c r="R185" s="5" t="s">
        <v>3593</v>
      </c>
      <c r="S185" s="5" t="s">
        <v>5345</v>
      </c>
      <c r="T185" s="7">
        <v>0.15</v>
      </c>
      <c r="U185" s="5" t="s">
        <v>340</v>
      </c>
      <c r="V185" s="7">
        <f t="shared" si="24"/>
        <v>0.15</v>
      </c>
      <c r="W185" s="15">
        <v>0.5</v>
      </c>
      <c r="X185" s="5" t="s">
        <v>55</v>
      </c>
      <c r="Y185" s="7" t="s">
        <v>56</v>
      </c>
      <c r="Z185" s="48" t="str">
        <f t="shared" si="25"/>
        <v>APROVADO</v>
      </c>
      <c r="AA185" s="47">
        <v>11540650</v>
      </c>
      <c r="AB185" s="5" t="s">
        <v>3965</v>
      </c>
      <c r="AC185" s="5" t="s">
        <v>48</v>
      </c>
      <c r="AD185" s="5" t="s">
        <v>5530</v>
      </c>
      <c r="AE185" s="5" t="str">
        <f t="shared" ca="1" si="26"/>
        <v>NO PRAZO</v>
      </c>
      <c r="AF185" s="51"/>
    </row>
    <row r="186" spans="1:32" ht="30" customHeight="1" x14ac:dyDescent="0.25">
      <c r="A186" s="6" t="s">
        <v>510</v>
      </c>
      <c r="B186" s="5" t="s">
        <v>10</v>
      </c>
      <c r="C186" s="5" t="s">
        <v>5862</v>
      </c>
      <c r="D186" s="7" t="s">
        <v>448</v>
      </c>
      <c r="E186" s="7" t="s">
        <v>40</v>
      </c>
      <c r="F186" s="7" t="s">
        <v>156</v>
      </c>
      <c r="G186" s="7" t="s">
        <v>473</v>
      </c>
      <c r="H186" s="61" t="s">
        <v>338</v>
      </c>
      <c r="I186" s="62" t="s">
        <v>93</v>
      </c>
      <c r="J186" s="7" t="s">
        <v>454</v>
      </c>
      <c r="K186" s="5" t="s">
        <v>45</v>
      </c>
      <c r="L186" s="5" t="s">
        <v>10</v>
      </c>
      <c r="M186" s="5" t="s">
        <v>10</v>
      </c>
      <c r="N186" s="5" t="s">
        <v>10</v>
      </c>
      <c r="O186" s="46" t="s">
        <v>46</v>
      </c>
      <c r="P186" s="101">
        <v>46131</v>
      </c>
      <c r="Q186" s="100">
        <f t="shared" si="27"/>
        <v>46314</v>
      </c>
      <c r="R186" s="5" t="s">
        <v>3594</v>
      </c>
      <c r="S186" s="5" t="s">
        <v>5302</v>
      </c>
      <c r="T186" s="7">
        <v>0.129</v>
      </c>
      <c r="U186" s="5" t="s">
        <v>340</v>
      </c>
      <c r="V186" s="7">
        <f t="shared" si="24"/>
        <v>0.129</v>
      </c>
      <c r="W186" s="15">
        <v>0.5</v>
      </c>
      <c r="X186" s="5" t="s">
        <v>55</v>
      </c>
      <c r="Y186" s="7" t="s">
        <v>56</v>
      </c>
      <c r="Z186" s="48" t="str">
        <f t="shared" si="25"/>
        <v>APROVADO</v>
      </c>
      <c r="AA186" s="47">
        <v>11597211</v>
      </c>
      <c r="AB186" s="5" t="s">
        <v>511</v>
      </c>
      <c r="AC186" s="5" t="s">
        <v>48</v>
      </c>
      <c r="AD186" s="5" t="s">
        <v>5530</v>
      </c>
      <c r="AE186" s="5" t="str">
        <f t="shared" ca="1" si="26"/>
        <v>NO PRAZO</v>
      </c>
      <c r="AF186" s="51"/>
    </row>
    <row r="187" spans="1:32" ht="30" customHeight="1" x14ac:dyDescent="0.25">
      <c r="A187" s="6" t="s">
        <v>512</v>
      </c>
      <c r="B187" s="5" t="s">
        <v>10</v>
      </c>
      <c r="C187" s="5" t="s">
        <v>5862</v>
      </c>
      <c r="D187" s="7" t="s">
        <v>448</v>
      </c>
      <c r="E187" s="7" t="s">
        <v>40</v>
      </c>
      <c r="F187" s="7" t="s">
        <v>156</v>
      </c>
      <c r="G187" s="7" t="s">
        <v>476</v>
      </c>
      <c r="H187" s="61" t="s">
        <v>338</v>
      </c>
      <c r="I187" s="62" t="s">
        <v>93</v>
      </c>
      <c r="J187" s="7" t="s">
        <v>454</v>
      </c>
      <c r="K187" s="5" t="s">
        <v>45</v>
      </c>
      <c r="L187" s="5" t="s">
        <v>10</v>
      </c>
      <c r="M187" s="5" t="s">
        <v>10</v>
      </c>
      <c r="N187" s="5" t="s">
        <v>10</v>
      </c>
      <c r="O187" s="46" t="s">
        <v>46</v>
      </c>
      <c r="P187" s="101">
        <v>46128</v>
      </c>
      <c r="Q187" s="100">
        <f t="shared" si="27"/>
        <v>46311</v>
      </c>
      <c r="R187" s="5" t="s">
        <v>3595</v>
      </c>
      <c r="S187" s="5" t="s">
        <v>5344</v>
      </c>
      <c r="T187" s="7">
        <v>0.27100000000000002</v>
      </c>
      <c r="U187" s="5" t="s">
        <v>340</v>
      </c>
      <c r="V187" s="7">
        <f t="shared" si="24"/>
        <v>0.27100000000000002</v>
      </c>
      <c r="W187" s="15">
        <v>0.5</v>
      </c>
      <c r="X187" s="5" t="s">
        <v>55</v>
      </c>
      <c r="Y187" s="7" t="s">
        <v>56</v>
      </c>
      <c r="Z187" s="48" t="str">
        <f t="shared" si="25"/>
        <v>APROVADO</v>
      </c>
      <c r="AA187" s="47">
        <v>11540651</v>
      </c>
      <c r="AB187" s="5" t="s">
        <v>513</v>
      </c>
      <c r="AC187" s="5" t="s">
        <v>48</v>
      </c>
      <c r="AD187" s="5" t="s">
        <v>5530</v>
      </c>
      <c r="AE187" s="5" t="str">
        <f t="shared" ca="1" si="26"/>
        <v>NO PRAZO</v>
      </c>
      <c r="AF187" s="51"/>
    </row>
    <row r="188" spans="1:32" ht="30" customHeight="1" x14ac:dyDescent="0.25">
      <c r="A188" s="6" t="s">
        <v>514</v>
      </c>
      <c r="B188" s="5" t="s">
        <v>10</v>
      </c>
      <c r="C188" s="5" t="s">
        <v>5862</v>
      </c>
      <c r="D188" s="7" t="s">
        <v>448</v>
      </c>
      <c r="E188" s="7" t="s">
        <v>40</v>
      </c>
      <c r="F188" s="7" t="s">
        <v>156</v>
      </c>
      <c r="G188" s="7" t="s">
        <v>479</v>
      </c>
      <c r="H188" s="61" t="s">
        <v>338</v>
      </c>
      <c r="I188" s="62" t="s">
        <v>93</v>
      </c>
      <c r="J188" s="7" t="s">
        <v>454</v>
      </c>
      <c r="K188" s="5" t="s">
        <v>45</v>
      </c>
      <c r="L188" s="5" t="s">
        <v>10</v>
      </c>
      <c r="M188" s="5" t="s">
        <v>10</v>
      </c>
      <c r="N188" s="5" t="s">
        <v>10</v>
      </c>
      <c r="O188" s="46" t="s">
        <v>46</v>
      </c>
      <c r="P188" s="101">
        <v>46131</v>
      </c>
      <c r="Q188" s="100">
        <f t="shared" si="27"/>
        <v>46314</v>
      </c>
      <c r="R188" s="5" t="s">
        <v>3596</v>
      </c>
      <c r="S188" s="5" t="s">
        <v>5300</v>
      </c>
      <c r="T188" s="7">
        <v>0.129</v>
      </c>
      <c r="U188" s="5" t="s">
        <v>340</v>
      </c>
      <c r="V188" s="7">
        <f t="shared" si="24"/>
        <v>0.129</v>
      </c>
      <c r="W188" s="15">
        <v>0.5</v>
      </c>
      <c r="X188" s="5" t="s">
        <v>55</v>
      </c>
      <c r="Y188" s="7" t="s">
        <v>56</v>
      </c>
      <c r="Z188" s="48" t="str">
        <f t="shared" si="25"/>
        <v>APROVADO</v>
      </c>
      <c r="AA188" s="47">
        <v>11540652</v>
      </c>
      <c r="AB188" s="5" t="s">
        <v>515</v>
      </c>
      <c r="AC188" s="5" t="s">
        <v>48</v>
      </c>
      <c r="AD188" s="5" t="s">
        <v>5530</v>
      </c>
      <c r="AE188" s="5" t="str">
        <f t="shared" ca="1" si="26"/>
        <v>NO PRAZO</v>
      </c>
      <c r="AF188" s="51"/>
    </row>
    <row r="189" spans="1:32" ht="30" customHeight="1" x14ac:dyDescent="0.25">
      <c r="A189" s="6" t="s">
        <v>516</v>
      </c>
      <c r="B189" s="5" t="s">
        <v>10</v>
      </c>
      <c r="C189" s="5" t="s">
        <v>5862</v>
      </c>
      <c r="D189" s="7" t="s">
        <v>448</v>
      </c>
      <c r="E189" s="7" t="s">
        <v>40</v>
      </c>
      <c r="F189" s="7" t="s">
        <v>156</v>
      </c>
      <c r="G189" s="7" t="s">
        <v>482</v>
      </c>
      <c r="H189" s="61" t="s">
        <v>338</v>
      </c>
      <c r="I189" s="62" t="s">
        <v>93</v>
      </c>
      <c r="J189" s="7" t="s">
        <v>454</v>
      </c>
      <c r="K189" s="5" t="s">
        <v>45</v>
      </c>
      <c r="L189" s="5" t="s">
        <v>10</v>
      </c>
      <c r="M189" s="5" t="s">
        <v>10</v>
      </c>
      <c r="N189" s="5" t="s">
        <v>10</v>
      </c>
      <c r="O189" s="46" t="s">
        <v>46</v>
      </c>
      <c r="P189" s="101">
        <v>46131</v>
      </c>
      <c r="Q189" s="100">
        <f t="shared" si="27"/>
        <v>46314</v>
      </c>
      <c r="R189" s="5" t="s">
        <v>3597</v>
      </c>
      <c r="S189" s="5" t="s">
        <v>5303</v>
      </c>
      <c r="T189" s="7">
        <v>0.129</v>
      </c>
      <c r="U189" s="5" t="s">
        <v>340</v>
      </c>
      <c r="V189" s="7">
        <f t="shared" si="24"/>
        <v>0.129</v>
      </c>
      <c r="W189" s="15">
        <v>0.5</v>
      </c>
      <c r="X189" s="5" t="s">
        <v>55</v>
      </c>
      <c r="Y189" s="7" t="s">
        <v>56</v>
      </c>
      <c r="Z189" s="48" t="str">
        <f t="shared" si="25"/>
        <v>APROVADO</v>
      </c>
      <c r="AA189" s="47">
        <v>11540688</v>
      </c>
      <c r="AB189" s="5" t="s">
        <v>517</v>
      </c>
      <c r="AC189" s="5" t="s">
        <v>48</v>
      </c>
      <c r="AD189" s="5" t="s">
        <v>5530</v>
      </c>
      <c r="AE189" s="5" t="str">
        <f t="shared" ca="1" si="26"/>
        <v>NO PRAZO</v>
      </c>
      <c r="AF189" s="51"/>
    </row>
    <row r="190" spans="1:32" ht="30" customHeight="1" x14ac:dyDescent="0.25">
      <c r="A190" s="6" t="s">
        <v>522</v>
      </c>
      <c r="B190" s="5" t="s">
        <v>10</v>
      </c>
      <c r="C190" s="5" t="s">
        <v>5862</v>
      </c>
      <c r="D190" s="7" t="s">
        <v>448</v>
      </c>
      <c r="E190" s="7" t="s">
        <v>40</v>
      </c>
      <c r="F190" s="7" t="s">
        <v>156</v>
      </c>
      <c r="G190" s="7" t="s">
        <v>485</v>
      </c>
      <c r="H190" s="61" t="s">
        <v>338</v>
      </c>
      <c r="I190" s="62" t="s">
        <v>93</v>
      </c>
      <c r="J190" s="7" t="s">
        <v>454</v>
      </c>
      <c r="K190" s="5" t="s">
        <v>45</v>
      </c>
      <c r="L190" s="5" t="s">
        <v>10</v>
      </c>
      <c r="M190" s="5" t="s">
        <v>10</v>
      </c>
      <c r="N190" s="5" t="s">
        <v>10</v>
      </c>
      <c r="O190" s="46" t="s">
        <v>46</v>
      </c>
      <c r="P190" s="101">
        <v>46131</v>
      </c>
      <c r="Q190" s="100">
        <f t="shared" si="27"/>
        <v>46314</v>
      </c>
      <c r="R190" s="5" t="s">
        <v>3598</v>
      </c>
      <c r="S190" s="5" t="s">
        <v>5304</v>
      </c>
      <c r="T190" s="7">
        <v>0.129</v>
      </c>
      <c r="U190" s="5" t="s">
        <v>340</v>
      </c>
      <c r="V190" s="7">
        <f t="shared" si="24"/>
        <v>0.129</v>
      </c>
      <c r="W190" s="15">
        <v>0.5</v>
      </c>
      <c r="X190" s="5" t="s">
        <v>55</v>
      </c>
      <c r="Y190" s="7" t="s">
        <v>56</v>
      </c>
      <c r="Z190" s="48" t="str">
        <f t="shared" si="25"/>
        <v>APROVADO</v>
      </c>
      <c r="AA190" s="47">
        <v>11597212</v>
      </c>
      <c r="AB190" s="5" t="s">
        <v>523</v>
      </c>
      <c r="AC190" s="5" t="s">
        <v>48</v>
      </c>
      <c r="AD190" s="5" t="s">
        <v>5530</v>
      </c>
      <c r="AE190" s="5" t="str">
        <f t="shared" ca="1" si="26"/>
        <v>NO PRAZO</v>
      </c>
      <c r="AF190" s="51"/>
    </row>
    <row r="191" spans="1:32" ht="30" customHeight="1" x14ac:dyDescent="0.25">
      <c r="A191" s="6" t="s">
        <v>524</v>
      </c>
      <c r="B191" s="5" t="s">
        <v>10</v>
      </c>
      <c r="C191" s="5" t="s">
        <v>5862</v>
      </c>
      <c r="D191" s="7" t="s">
        <v>448</v>
      </c>
      <c r="E191" s="7" t="s">
        <v>40</v>
      </c>
      <c r="F191" s="7" t="s">
        <v>156</v>
      </c>
      <c r="G191" s="7" t="s">
        <v>489</v>
      </c>
      <c r="H191" s="61" t="s">
        <v>338</v>
      </c>
      <c r="I191" s="62" t="s">
        <v>93</v>
      </c>
      <c r="J191" s="7" t="s">
        <v>5816</v>
      </c>
      <c r="K191" s="5" t="s">
        <v>45</v>
      </c>
      <c r="L191" s="5" t="s">
        <v>10</v>
      </c>
      <c r="M191" s="5" t="s">
        <v>10</v>
      </c>
      <c r="N191" s="5" t="s">
        <v>10</v>
      </c>
      <c r="O191" s="46" t="s">
        <v>46</v>
      </c>
      <c r="P191" s="101">
        <v>45749</v>
      </c>
      <c r="Q191" s="100">
        <f t="shared" si="27"/>
        <v>45932</v>
      </c>
      <c r="R191" s="5" t="s">
        <v>1728</v>
      </c>
      <c r="S191" s="5" t="s">
        <v>2193</v>
      </c>
      <c r="T191" s="7">
        <v>0.47</v>
      </c>
      <c r="U191" s="5" t="s">
        <v>340</v>
      </c>
      <c r="V191" s="7">
        <f t="shared" si="24"/>
        <v>0.47</v>
      </c>
      <c r="W191" s="65">
        <v>0.5</v>
      </c>
      <c r="X191" s="5" t="s">
        <v>55</v>
      </c>
      <c r="Y191" s="7" t="s">
        <v>56</v>
      </c>
      <c r="Z191" s="48" t="str">
        <f t="shared" si="25"/>
        <v>APROVADO</v>
      </c>
      <c r="AA191" s="47">
        <v>11540654</v>
      </c>
      <c r="AB191" s="5" t="s">
        <v>525</v>
      </c>
      <c r="AC191" s="5" t="s">
        <v>48</v>
      </c>
      <c r="AD191" s="5" t="s">
        <v>5530</v>
      </c>
      <c r="AE191" s="5" t="s">
        <v>3062</v>
      </c>
      <c r="AF191" s="53" t="s">
        <v>3730</v>
      </c>
    </row>
    <row r="192" spans="1:32" ht="30" customHeight="1" x14ac:dyDescent="0.25">
      <c r="A192" s="6" t="s">
        <v>1729</v>
      </c>
      <c r="B192" s="6" t="s">
        <v>526</v>
      </c>
      <c r="C192" s="5" t="s">
        <v>5862</v>
      </c>
      <c r="D192" s="12" t="s">
        <v>448</v>
      </c>
      <c r="E192" s="7" t="s">
        <v>40</v>
      </c>
      <c r="F192" s="7" t="s">
        <v>156</v>
      </c>
      <c r="G192" s="7" t="s">
        <v>493</v>
      </c>
      <c r="H192" s="61" t="s">
        <v>338</v>
      </c>
      <c r="I192" s="117" t="s">
        <v>93</v>
      </c>
      <c r="J192" s="12" t="s">
        <v>454</v>
      </c>
      <c r="K192" s="5" t="s">
        <v>45</v>
      </c>
      <c r="L192" s="5" t="s">
        <v>10</v>
      </c>
      <c r="M192" s="5" t="s">
        <v>10</v>
      </c>
      <c r="N192" s="5" t="s">
        <v>10</v>
      </c>
      <c r="O192" s="46" t="s">
        <v>46</v>
      </c>
      <c r="P192" s="101">
        <v>46131</v>
      </c>
      <c r="Q192" s="100">
        <f t="shared" si="27"/>
        <v>46314</v>
      </c>
      <c r="R192" s="5" t="s">
        <v>3599</v>
      </c>
      <c r="S192" s="5" t="s">
        <v>5305</v>
      </c>
      <c r="T192" s="7">
        <v>0.129</v>
      </c>
      <c r="U192" s="5" t="s">
        <v>340</v>
      </c>
      <c r="V192" s="7">
        <f t="shared" si="24"/>
        <v>0.129</v>
      </c>
      <c r="W192" s="15">
        <v>0.5</v>
      </c>
      <c r="X192" s="5" t="s">
        <v>55</v>
      </c>
      <c r="Y192" s="7" t="s">
        <v>56</v>
      </c>
      <c r="Z192" s="48" t="str">
        <f t="shared" si="25"/>
        <v>APROVADO</v>
      </c>
      <c r="AA192" s="47">
        <v>11597213</v>
      </c>
      <c r="AB192" s="5" t="s">
        <v>527</v>
      </c>
      <c r="AC192" s="5" t="s">
        <v>48</v>
      </c>
      <c r="AD192" s="5" t="s">
        <v>5530</v>
      </c>
      <c r="AE192" s="5" t="str">
        <f ca="1">IFERROR(IF(OR(AND(YEAR(Q192)=YEAR(TODAY()),MONTH(Q192)&gt;MONTH(TODAY())),(YEAR(Q192)&gt;YEAR(TODAY()))),$AK$4,IF(AND(YEAR(Q192)=YEAR(TODAY()),MONTH(Q192)=MONTH(TODAY())),$AK$5,IF(Q192="",$AK$6,$AK$7))),"-")</f>
        <v>NO PRAZO</v>
      </c>
      <c r="AF192" s="51"/>
    </row>
    <row r="193" spans="1:32" ht="30" customHeight="1" x14ac:dyDescent="0.25">
      <c r="A193" s="6" t="s">
        <v>583</v>
      </c>
      <c r="B193" s="5" t="s">
        <v>10</v>
      </c>
      <c r="C193" s="5" t="s">
        <v>5862</v>
      </c>
      <c r="D193" s="7" t="s">
        <v>448</v>
      </c>
      <c r="E193" s="7" t="s">
        <v>40</v>
      </c>
      <c r="F193" s="7" t="s">
        <v>156</v>
      </c>
      <c r="G193" s="7" t="s">
        <v>496</v>
      </c>
      <c r="H193" s="61" t="s">
        <v>338</v>
      </c>
      <c r="I193" s="62" t="s">
        <v>93</v>
      </c>
      <c r="J193" s="7" t="s">
        <v>454</v>
      </c>
      <c r="K193" s="5" t="s">
        <v>45</v>
      </c>
      <c r="L193" s="5" t="s">
        <v>10</v>
      </c>
      <c r="M193" s="5" t="s">
        <v>10</v>
      </c>
      <c r="N193" s="5" t="s">
        <v>10</v>
      </c>
      <c r="O193" s="46" t="s">
        <v>46</v>
      </c>
      <c r="P193" s="101">
        <v>45749</v>
      </c>
      <c r="Q193" s="100">
        <f t="shared" si="27"/>
        <v>45932</v>
      </c>
      <c r="R193" s="5" t="s">
        <v>1730</v>
      </c>
      <c r="S193" s="5" t="s">
        <v>2194</v>
      </c>
      <c r="T193" s="7">
        <v>0.47</v>
      </c>
      <c r="U193" s="5" t="s">
        <v>340</v>
      </c>
      <c r="V193" s="7">
        <f t="shared" si="24"/>
        <v>0.47</v>
      </c>
      <c r="W193" s="65">
        <v>0.5</v>
      </c>
      <c r="X193" s="5" t="s">
        <v>55</v>
      </c>
      <c r="Y193" s="7" t="s">
        <v>56</v>
      </c>
      <c r="Z193" s="48" t="str">
        <f t="shared" si="25"/>
        <v>APROVADO</v>
      </c>
      <c r="AA193" s="47">
        <v>11540655</v>
      </c>
      <c r="AB193" s="5" t="s">
        <v>584</v>
      </c>
      <c r="AC193" s="5" t="s">
        <v>48</v>
      </c>
      <c r="AD193" s="5" t="s">
        <v>5530</v>
      </c>
      <c r="AE193" s="7" t="s">
        <v>3062</v>
      </c>
      <c r="AF193" s="53" t="s">
        <v>3730</v>
      </c>
    </row>
    <row r="194" spans="1:32" ht="30" customHeight="1" x14ac:dyDescent="0.25">
      <c r="A194" s="6" t="s">
        <v>585</v>
      </c>
      <c r="B194" s="5" t="s">
        <v>10</v>
      </c>
      <c r="C194" s="5" t="s">
        <v>5862</v>
      </c>
      <c r="D194" s="7" t="s">
        <v>448</v>
      </c>
      <c r="E194" s="7" t="s">
        <v>40</v>
      </c>
      <c r="F194" s="7" t="s">
        <v>156</v>
      </c>
      <c r="G194" s="7" t="s">
        <v>499</v>
      </c>
      <c r="H194" s="61" t="s">
        <v>338</v>
      </c>
      <c r="I194" s="62" t="s">
        <v>93</v>
      </c>
      <c r="J194" s="7" t="s">
        <v>454</v>
      </c>
      <c r="K194" s="5" t="s">
        <v>45</v>
      </c>
      <c r="L194" s="5" t="s">
        <v>10</v>
      </c>
      <c r="M194" s="5" t="s">
        <v>10</v>
      </c>
      <c r="N194" s="5" t="s">
        <v>10</v>
      </c>
      <c r="O194" s="46" t="s">
        <v>46</v>
      </c>
      <c r="P194" s="101">
        <v>46131</v>
      </c>
      <c r="Q194" s="100">
        <f t="shared" si="27"/>
        <v>46314</v>
      </c>
      <c r="R194" s="5" t="s">
        <v>3600</v>
      </c>
      <c r="S194" s="5" t="s">
        <v>5306</v>
      </c>
      <c r="T194" s="7">
        <v>0.129</v>
      </c>
      <c r="U194" s="5" t="s">
        <v>340</v>
      </c>
      <c r="V194" s="7">
        <f t="shared" si="24"/>
        <v>0.129</v>
      </c>
      <c r="W194" s="15">
        <v>0.5</v>
      </c>
      <c r="X194" s="5" t="s">
        <v>55</v>
      </c>
      <c r="Y194" s="7" t="s">
        <v>56</v>
      </c>
      <c r="Z194" s="48" t="str">
        <f t="shared" si="25"/>
        <v>APROVADO</v>
      </c>
      <c r="AA194" s="47">
        <v>11540656</v>
      </c>
      <c r="AB194" s="5" t="s">
        <v>586</v>
      </c>
      <c r="AC194" s="5" t="s">
        <v>48</v>
      </c>
      <c r="AD194" s="5" t="s">
        <v>5530</v>
      </c>
      <c r="AE194" s="5" t="str">
        <f t="shared" ref="AE194:AE225" ca="1" si="28">IFERROR(IF(OR(AND(YEAR(Q194)=YEAR(TODAY()),MONTH(Q194)&gt;MONTH(TODAY())),(YEAR(Q194)&gt;YEAR(TODAY()))),$AK$4,IF(AND(YEAR(Q194)=YEAR(TODAY()),MONTH(Q194)=MONTH(TODAY())),$AK$5,IF(Q194="",$AK$6,$AK$7))),"-")</f>
        <v>NO PRAZO</v>
      </c>
      <c r="AF194" s="51"/>
    </row>
    <row r="195" spans="1:32" ht="30" customHeight="1" x14ac:dyDescent="0.25">
      <c r="A195" s="6" t="s">
        <v>620</v>
      </c>
      <c r="B195" s="5" t="s">
        <v>10</v>
      </c>
      <c r="C195" s="5" t="s">
        <v>5862</v>
      </c>
      <c r="D195" s="7" t="s">
        <v>348</v>
      </c>
      <c r="E195" s="7" t="s">
        <v>50</v>
      </c>
      <c r="F195" s="7" t="s">
        <v>589</v>
      </c>
      <c r="G195" s="7" t="s">
        <v>613</v>
      </c>
      <c r="H195" s="7" t="s">
        <v>591</v>
      </c>
      <c r="I195" s="7" t="s">
        <v>93</v>
      </c>
      <c r="J195" s="7" t="s">
        <v>450</v>
      </c>
      <c r="K195" s="7" t="s">
        <v>45</v>
      </c>
      <c r="L195" s="5" t="s">
        <v>10</v>
      </c>
      <c r="M195" s="5" t="s">
        <v>10</v>
      </c>
      <c r="N195" s="5" t="s">
        <v>10</v>
      </c>
      <c r="O195" s="46" t="s">
        <v>46</v>
      </c>
      <c r="P195" s="100">
        <v>46116</v>
      </c>
      <c r="Q195" s="100">
        <f t="shared" si="27"/>
        <v>46299</v>
      </c>
      <c r="R195" s="5" t="s">
        <v>3510</v>
      </c>
      <c r="S195" s="5" t="s">
        <v>5204</v>
      </c>
      <c r="T195" s="59">
        <v>0.45</v>
      </c>
      <c r="U195" s="5" t="s">
        <v>340</v>
      </c>
      <c r="V195" s="7">
        <f t="shared" si="24"/>
        <v>0.45</v>
      </c>
      <c r="W195" s="5">
        <v>0.5</v>
      </c>
      <c r="X195" s="5" t="s">
        <v>55</v>
      </c>
      <c r="Y195" s="7" t="s">
        <v>56</v>
      </c>
      <c r="Z195" s="48" t="str">
        <f t="shared" si="25"/>
        <v>APROVADO</v>
      </c>
      <c r="AA195" s="47">
        <v>11601342</v>
      </c>
      <c r="AB195" s="5" t="s">
        <v>2778</v>
      </c>
      <c r="AC195" s="7" t="s">
        <v>48</v>
      </c>
      <c r="AD195" s="5" t="s">
        <v>5530</v>
      </c>
      <c r="AE195" s="5" t="str">
        <f t="shared" ca="1" si="28"/>
        <v>NO PRAZO</v>
      </c>
      <c r="AF195" s="49"/>
    </row>
    <row r="196" spans="1:32" ht="30" customHeight="1" x14ac:dyDescent="0.25">
      <c r="A196" s="6" t="s">
        <v>621</v>
      </c>
      <c r="B196" s="5" t="s">
        <v>10</v>
      </c>
      <c r="C196" s="5" t="s">
        <v>5862</v>
      </c>
      <c r="D196" s="7" t="s">
        <v>348</v>
      </c>
      <c r="E196" s="7" t="s">
        <v>50</v>
      </c>
      <c r="F196" s="7" t="s">
        <v>589</v>
      </c>
      <c r="G196" s="7" t="s">
        <v>616</v>
      </c>
      <c r="H196" s="7" t="s">
        <v>591</v>
      </c>
      <c r="I196" s="7" t="s">
        <v>622</v>
      </c>
      <c r="J196" s="7" t="s">
        <v>617</v>
      </c>
      <c r="K196" s="7" t="s">
        <v>45</v>
      </c>
      <c r="L196" s="5" t="s">
        <v>10</v>
      </c>
      <c r="M196" s="5" t="s">
        <v>10</v>
      </c>
      <c r="N196" s="5" t="s">
        <v>10</v>
      </c>
      <c r="O196" s="46" t="s">
        <v>46</v>
      </c>
      <c r="P196" s="100">
        <v>46116</v>
      </c>
      <c r="Q196" s="100">
        <f t="shared" si="27"/>
        <v>46299</v>
      </c>
      <c r="R196" s="5" t="s">
        <v>3508</v>
      </c>
      <c r="S196" s="5" t="s">
        <v>5205</v>
      </c>
      <c r="T196" s="59">
        <v>0.17100000000000001</v>
      </c>
      <c r="U196" s="5" t="s">
        <v>340</v>
      </c>
      <c r="V196" s="7">
        <f t="shared" si="24"/>
        <v>0.17100000000000001</v>
      </c>
      <c r="W196" s="5">
        <v>0.5</v>
      </c>
      <c r="X196" s="5" t="s">
        <v>55</v>
      </c>
      <c r="Y196" s="7" t="s">
        <v>56</v>
      </c>
      <c r="Z196" s="48" t="str">
        <f t="shared" si="25"/>
        <v>APROVADO</v>
      </c>
      <c r="AA196" s="47">
        <v>11601343</v>
      </c>
      <c r="AB196" s="5" t="s">
        <v>2779</v>
      </c>
      <c r="AC196" s="34" t="s">
        <v>48</v>
      </c>
      <c r="AD196" s="5" t="s">
        <v>5530</v>
      </c>
      <c r="AE196" s="5" t="str">
        <f t="shared" ca="1" si="28"/>
        <v>NO PRAZO</v>
      </c>
      <c r="AF196" s="49"/>
    </row>
    <row r="197" spans="1:32" ht="30" customHeight="1" x14ac:dyDescent="0.25">
      <c r="A197" s="5" t="s">
        <v>627</v>
      </c>
      <c r="B197" s="5" t="s">
        <v>10</v>
      </c>
      <c r="C197" s="5" t="s">
        <v>5862</v>
      </c>
      <c r="D197" s="7" t="s">
        <v>3627</v>
      </c>
      <c r="E197" s="7" t="s">
        <v>50</v>
      </c>
      <c r="F197" s="7" t="s">
        <v>589</v>
      </c>
      <c r="G197" s="7" t="s">
        <v>594</v>
      </c>
      <c r="H197" s="7" t="s">
        <v>3628</v>
      </c>
      <c r="I197" s="7" t="s">
        <v>626</v>
      </c>
      <c r="J197" s="7" t="s">
        <v>592</v>
      </c>
      <c r="K197" s="7" t="s">
        <v>45</v>
      </c>
      <c r="L197" s="5" t="s">
        <v>10</v>
      </c>
      <c r="M197" s="5" t="s">
        <v>10</v>
      </c>
      <c r="N197" s="5" t="s">
        <v>10</v>
      </c>
      <c r="O197" s="46" t="s">
        <v>46</v>
      </c>
      <c r="P197" s="100">
        <v>46116</v>
      </c>
      <c r="Q197" s="100">
        <f t="shared" si="27"/>
        <v>46299</v>
      </c>
      <c r="R197" s="7" t="s">
        <v>3509</v>
      </c>
      <c r="S197" s="7" t="s">
        <v>5200</v>
      </c>
      <c r="T197" s="7">
        <v>0.17100000000000001</v>
      </c>
      <c r="U197" s="5" t="s">
        <v>340</v>
      </c>
      <c r="V197" s="7">
        <f t="shared" si="24"/>
        <v>0.17100000000000001</v>
      </c>
      <c r="W197" s="5">
        <v>0.5</v>
      </c>
      <c r="X197" s="5" t="s">
        <v>55</v>
      </c>
      <c r="Y197" s="7" t="s">
        <v>56</v>
      </c>
      <c r="Z197" s="48" t="str">
        <f t="shared" si="25"/>
        <v>APROVADO</v>
      </c>
      <c r="AA197" s="47">
        <v>11601340</v>
      </c>
      <c r="AB197" s="5" t="s">
        <v>2780</v>
      </c>
      <c r="AC197" s="7" t="s">
        <v>48</v>
      </c>
      <c r="AD197" s="5" t="s">
        <v>5530</v>
      </c>
      <c r="AE197" s="5" t="str">
        <f t="shared" ca="1" si="28"/>
        <v>NO PRAZO</v>
      </c>
      <c r="AF197" s="49"/>
    </row>
    <row r="198" spans="1:32" ht="30" customHeight="1" x14ac:dyDescent="0.25">
      <c r="A198" s="8" t="s">
        <v>170</v>
      </c>
      <c r="B198" s="7" t="s">
        <v>10</v>
      </c>
      <c r="C198" s="5" t="s">
        <v>5862</v>
      </c>
      <c r="D198" s="5" t="s">
        <v>348</v>
      </c>
      <c r="E198" s="7" t="s">
        <v>50</v>
      </c>
      <c r="F198" s="7" t="s">
        <v>3583</v>
      </c>
      <c r="G198" s="5" t="s">
        <v>51</v>
      </c>
      <c r="H198" s="7" t="s">
        <v>52</v>
      </c>
      <c r="I198" s="7" t="s">
        <v>93</v>
      </c>
      <c r="J198" s="5" t="s">
        <v>54</v>
      </c>
      <c r="K198" s="5" t="s">
        <v>45</v>
      </c>
      <c r="L198" s="5" t="s">
        <v>10</v>
      </c>
      <c r="M198" s="5" t="s">
        <v>10</v>
      </c>
      <c r="N198" s="5" t="s">
        <v>10</v>
      </c>
      <c r="O198" s="46" t="s">
        <v>46</v>
      </c>
      <c r="P198" s="101">
        <v>46068</v>
      </c>
      <c r="Q198" s="100">
        <f t="shared" ref="Q198:Q217" si="29">IF(P198="","",P198+181)</f>
        <v>46249</v>
      </c>
      <c r="R198" s="5" t="s">
        <v>3091</v>
      </c>
      <c r="S198" s="5" t="s">
        <v>4787</v>
      </c>
      <c r="T198" s="7">
        <v>0.38</v>
      </c>
      <c r="U198" s="7" t="s">
        <v>10</v>
      </c>
      <c r="V198" s="7">
        <f t="shared" si="24"/>
        <v>0.38</v>
      </c>
      <c r="W198" s="7">
        <v>0.5</v>
      </c>
      <c r="X198" s="7" t="s">
        <v>55</v>
      </c>
      <c r="Y198" s="7" t="s">
        <v>56</v>
      </c>
      <c r="Z198" s="48" t="str">
        <f t="shared" si="25"/>
        <v>APROVADO</v>
      </c>
      <c r="AA198" s="47">
        <v>11541278</v>
      </c>
      <c r="AB198" s="5" t="s">
        <v>2439</v>
      </c>
      <c r="AC198" s="5" t="s">
        <v>48</v>
      </c>
      <c r="AD198" s="5" t="s">
        <v>5530</v>
      </c>
      <c r="AE198" s="5" t="str">
        <f t="shared" ca="1" si="28"/>
        <v>CALIBRAR</v>
      </c>
      <c r="AF198" s="49"/>
    </row>
    <row r="199" spans="1:32" ht="30" customHeight="1" x14ac:dyDescent="0.25">
      <c r="A199" s="8" t="s">
        <v>3189</v>
      </c>
      <c r="B199" s="7" t="s">
        <v>10</v>
      </c>
      <c r="C199" s="5" t="s">
        <v>5862</v>
      </c>
      <c r="D199" s="5" t="s">
        <v>348</v>
      </c>
      <c r="E199" s="7" t="s">
        <v>50</v>
      </c>
      <c r="F199" s="7" t="s">
        <v>3583</v>
      </c>
      <c r="G199" s="5" t="s">
        <v>51</v>
      </c>
      <c r="H199" s="7" t="s">
        <v>52</v>
      </c>
      <c r="I199" s="7" t="s">
        <v>93</v>
      </c>
      <c r="J199" s="5" t="s">
        <v>54</v>
      </c>
      <c r="K199" s="5" t="s">
        <v>45</v>
      </c>
      <c r="L199" s="5" t="s">
        <v>10</v>
      </c>
      <c r="M199" s="5" t="s">
        <v>10</v>
      </c>
      <c r="N199" s="5" t="s">
        <v>10</v>
      </c>
      <c r="O199" s="46" t="s">
        <v>46</v>
      </c>
      <c r="P199" s="101">
        <v>46068</v>
      </c>
      <c r="Q199" s="100">
        <f t="shared" si="29"/>
        <v>46249</v>
      </c>
      <c r="R199" s="5" t="s">
        <v>3092</v>
      </c>
      <c r="S199" s="5" t="s">
        <v>4788</v>
      </c>
      <c r="T199" s="7">
        <v>0.37</v>
      </c>
      <c r="U199" s="7" t="s">
        <v>10</v>
      </c>
      <c r="V199" s="7">
        <f t="shared" si="24"/>
        <v>0.37</v>
      </c>
      <c r="W199" s="7">
        <v>0.5</v>
      </c>
      <c r="X199" s="7" t="s">
        <v>55</v>
      </c>
      <c r="Y199" s="7" t="s">
        <v>56</v>
      </c>
      <c r="Z199" s="48" t="str">
        <f t="shared" si="25"/>
        <v>APROVADO</v>
      </c>
      <c r="AA199" s="47">
        <v>11541279</v>
      </c>
      <c r="AB199" s="5" t="s">
        <v>2440</v>
      </c>
      <c r="AC199" s="5" t="s">
        <v>48</v>
      </c>
      <c r="AD199" s="5" t="s">
        <v>5530</v>
      </c>
      <c r="AE199" s="5" t="str">
        <f t="shared" ca="1" si="28"/>
        <v>CALIBRAR</v>
      </c>
      <c r="AF199" s="49"/>
    </row>
    <row r="200" spans="1:32" ht="30" customHeight="1" x14ac:dyDescent="0.25">
      <c r="A200" s="8" t="s">
        <v>208</v>
      </c>
      <c r="B200" s="7" t="s">
        <v>10</v>
      </c>
      <c r="C200" s="5" t="s">
        <v>5862</v>
      </c>
      <c r="D200" s="5" t="s">
        <v>348</v>
      </c>
      <c r="E200" s="7" t="s">
        <v>50</v>
      </c>
      <c r="F200" s="7" t="s">
        <v>3583</v>
      </c>
      <c r="G200" s="5" t="s">
        <v>176</v>
      </c>
      <c r="H200" s="7" t="s">
        <v>52</v>
      </c>
      <c r="I200" s="7" t="s">
        <v>93</v>
      </c>
      <c r="J200" s="5" t="s">
        <v>54</v>
      </c>
      <c r="K200" s="5" t="s">
        <v>45</v>
      </c>
      <c r="L200" s="5" t="s">
        <v>10</v>
      </c>
      <c r="M200" s="5" t="s">
        <v>10</v>
      </c>
      <c r="N200" s="5" t="s">
        <v>10</v>
      </c>
      <c r="O200" s="46" t="s">
        <v>46</v>
      </c>
      <c r="P200" s="100">
        <v>46068</v>
      </c>
      <c r="Q200" s="100">
        <f t="shared" si="29"/>
        <v>46249</v>
      </c>
      <c r="R200" s="5" t="s">
        <v>3094</v>
      </c>
      <c r="S200" s="5" t="s">
        <v>4792</v>
      </c>
      <c r="T200" s="7">
        <v>0.28000000000000003</v>
      </c>
      <c r="U200" s="7" t="s">
        <v>10</v>
      </c>
      <c r="V200" s="7">
        <f t="shared" si="24"/>
        <v>0.28000000000000003</v>
      </c>
      <c r="W200" s="7">
        <v>0.5</v>
      </c>
      <c r="X200" s="7" t="s">
        <v>55</v>
      </c>
      <c r="Y200" s="7" t="s">
        <v>56</v>
      </c>
      <c r="Z200" s="48" t="str">
        <f t="shared" si="25"/>
        <v>APROVADO</v>
      </c>
      <c r="AA200" s="47">
        <v>11541282</v>
      </c>
      <c r="AB200" s="5" t="s">
        <v>2441</v>
      </c>
      <c r="AC200" s="5" t="s">
        <v>48</v>
      </c>
      <c r="AD200" s="5" t="s">
        <v>5530</v>
      </c>
      <c r="AE200" s="5" t="str">
        <f t="shared" ca="1" si="28"/>
        <v>CALIBRAR</v>
      </c>
      <c r="AF200" s="49"/>
    </row>
    <row r="201" spans="1:32" ht="30" customHeight="1" x14ac:dyDescent="0.25">
      <c r="A201" s="8" t="s">
        <v>3191</v>
      </c>
      <c r="B201" s="7" t="s">
        <v>10</v>
      </c>
      <c r="C201" s="5" t="s">
        <v>5862</v>
      </c>
      <c r="D201" s="5" t="s">
        <v>348</v>
      </c>
      <c r="E201" s="7" t="s">
        <v>50</v>
      </c>
      <c r="F201" s="7" t="s">
        <v>3583</v>
      </c>
      <c r="G201" s="5" t="s">
        <v>176</v>
      </c>
      <c r="H201" s="7" t="s">
        <v>52</v>
      </c>
      <c r="I201" s="7" t="s">
        <v>93</v>
      </c>
      <c r="J201" s="5" t="s">
        <v>54</v>
      </c>
      <c r="K201" s="5" t="s">
        <v>45</v>
      </c>
      <c r="L201" s="5" t="s">
        <v>10</v>
      </c>
      <c r="M201" s="5" t="s">
        <v>10</v>
      </c>
      <c r="N201" s="5" t="s">
        <v>10</v>
      </c>
      <c r="O201" s="46" t="s">
        <v>46</v>
      </c>
      <c r="P201" s="101">
        <v>46068</v>
      </c>
      <c r="Q201" s="100">
        <f t="shared" si="29"/>
        <v>46249</v>
      </c>
      <c r="R201" s="5" t="s">
        <v>3095</v>
      </c>
      <c r="S201" s="5" t="s">
        <v>4793</v>
      </c>
      <c r="T201" s="7">
        <v>0.27</v>
      </c>
      <c r="U201" s="7" t="s">
        <v>10</v>
      </c>
      <c r="V201" s="7">
        <f t="shared" si="24"/>
        <v>0.27</v>
      </c>
      <c r="W201" s="7">
        <v>0.5</v>
      </c>
      <c r="X201" s="7" t="s">
        <v>55</v>
      </c>
      <c r="Y201" s="7" t="s">
        <v>56</v>
      </c>
      <c r="Z201" s="48" t="str">
        <f t="shared" si="25"/>
        <v>APROVADO</v>
      </c>
      <c r="AA201" s="47">
        <v>11541283</v>
      </c>
      <c r="AB201" s="5" t="s">
        <v>2442</v>
      </c>
      <c r="AC201" s="5" t="s">
        <v>48</v>
      </c>
      <c r="AD201" s="5" t="s">
        <v>5530</v>
      </c>
      <c r="AE201" s="5" t="str">
        <f t="shared" ca="1" si="28"/>
        <v>CALIBRAR</v>
      </c>
      <c r="AF201" s="49"/>
    </row>
    <row r="202" spans="1:32" ht="30" customHeight="1" x14ac:dyDescent="0.25">
      <c r="A202" s="8" t="s">
        <v>213</v>
      </c>
      <c r="B202" s="7" t="s">
        <v>10</v>
      </c>
      <c r="C202" s="5" t="s">
        <v>5862</v>
      </c>
      <c r="D202" s="5" t="s">
        <v>348</v>
      </c>
      <c r="E202" s="7" t="s">
        <v>50</v>
      </c>
      <c r="F202" s="7" t="s">
        <v>3583</v>
      </c>
      <c r="G202" s="5" t="s">
        <v>211</v>
      </c>
      <c r="H202" s="7" t="s">
        <v>52</v>
      </c>
      <c r="I202" s="7" t="s">
        <v>93</v>
      </c>
      <c r="J202" s="5" t="s">
        <v>54</v>
      </c>
      <c r="K202" s="5" t="s">
        <v>45</v>
      </c>
      <c r="L202" s="5" t="s">
        <v>10</v>
      </c>
      <c r="M202" s="5" t="s">
        <v>10</v>
      </c>
      <c r="N202" s="5" t="s">
        <v>10</v>
      </c>
      <c r="O202" s="46" t="s">
        <v>46</v>
      </c>
      <c r="P202" s="100">
        <v>46068</v>
      </c>
      <c r="Q202" s="100">
        <f t="shared" si="29"/>
        <v>46249</v>
      </c>
      <c r="R202" s="5" t="s">
        <v>3097</v>
      </c>
      <c r="S202" s="5" t="s">
        <v>4797</v>
      </c>
      <c r="T202" s="7">
        <v>0.19</v>
      </c>
      <c r="U202" s="7" t="s">
        <v>10</v>
      </c>
      <c r="V202" s="7">
        <f t="shared" si="24"/>
        <v>0.19</v>
      </c>
      <c r="W202" s="7">
        <v>0.5</v>
      </c>
      <c r="X202" s="7" t="s">
        <v>55</v>
      </c>
      <c r="Y202" s="7" t="s">
        <v>56</v>
      </c>
      <c r="Z202" s="48" t="str">
        <f t="shared" si="25"/>
        <v>APROVADO</v>
      </c>
      <c r="AA202" s="47">
        <v>11541286</v>
      </c>
      <c r="AB202" s="5" t="s">
        <v>2443</v>
      </c>
      <c r="AC202" s="5" t="s">
        <v>48</v>
      </c>
      <c r="AD202" s="5" t="s">
        <v>5530</v>
      </c>
      <c r="AE202" s="5" t="str">
        <f t="shared" ca="1" si="28"/>
        <v>CALIBRAR</v>
      </c>
      <c r="AF202" s="51"/>
    </row>
    <row r="203" spans="1:32" ht="30" customHeight="1" x14ac:dyDescent="0.25">
      <c r="A203" s="8" t="s">
        <v>3193</v>
      </c>
      <c r="B203" s="7" t="s">
        <v>10</v>
      </c>
      <c r="C203" s="5" t="s">
        <v>5862</v>
      </c>
      <c r="D203" s="5" t="s">
        <v>348</v>
      </c>
      <c r="E203" s="7" t="s">
        <v>50</v>
      </c>
      <c r="F203" s="7" t="s">
        <v>3583</v>
      </c>
      <c r="G203" s="5" t="s">
        <v>211</v>
      </c>
      <c r="H203" s="7" t="s">
        <v>52</v>
      </c>
      <c r="I203" s="7" t="s">
        <v>93</v>
      </c>
      <c r="J203" s="5" t="s">
        <v>54</v>
      </c>
      <c r="K203" s="5" t="s">
        <v>45</v>
      </c>
      <c r="L203" s="5" t="s">
        <v>10</v>
      </c>
      <c r="M203" s="5" t="s">
        <v>10</v>
      </c>
      <c r="N203" s="5" t="s">
        <v>10</v>
      </c>
      <c r="O203" s="46" t="s">
        <v>46</v>
      </c>
      <c r="P203" s="101">
        <v>46068</v>
      </c>
      <c r="Q203" s="100">
        <f t="shared" si="29"/>
        <v>46249</v>
      </c>
      <c r="R203" s="5" t="s">
        <v>3098</v>
      </c>
      <c r="S203" s="5" t="s">
        <v>4798</v>
      </c>
      <c r="T203" s="7">
        <v>0.27</v>
      </c>
      <c r="U203" s="7" t="s">
        <v>10</v>
      </c>
      <c r="V203" s="7">
        <f t="shared" si="24"/>
        <v>0.27</v>
      </c>
      <c r="W203" s="7">
        <v>0.5</v>
      </c>
      <c r="X203" s="7" t="s">
        <v>55</v>
      </c>
      <c r="Y203" s="7" t="s">
        <v>56</v>
      </c>
      <c r="Z203" s="48" t="str">
        <f t="shared" si="25"/>
        <v>APROVADO</v>
      </c>
      <c r="AA203" s="47">
        <v>11541287</v>
      </c>
      <c r="AB203" s="5" t="s">
        <v>2444</v>
      </c>
      <c r="AC203" s="5" t="s">
        <v>48</v>
      </c>
      <c r="AD203" s="5" t="s">
        <v>5530</v>
      </c>
      <c r="AE203" s="5" t="str">
        <f t="shared" ca="1" si="28"/>
        <v>CALIBRAR</v>
      </c>
      <c r="AF203" s="51"/>
    </row>
    <row r="204" spans="1:32" ht="30" customHeight="1" x14ac:dyDescent="0.25">
      <c r="A204" s="8" t="s">
        <v>218</v>
      </c>
      <c r="B204" s="7" t="s">
        <v>10</v>
      </c>
      <c r="C204" s="5" t="s">
        <v>5862</v>
      </c>
      <c r="D204" s="5" t="s">
        <v>348</v>
      </c>
      <c r="E204" s="7" t="s">
        <v>50</v>
      </c>
      <c r="F204" s="7" t="s">
        <v>3583</v>
      </c>
      <c r="G204" s="5" t="s">
        <v>216</v>
      </c>
      <c r="H204" s="7" t="s">
        <v>52</v>
      </c>
      <c r="I204" s="7" t="s">
        <v>93</v>
      </c>
      <c r="J204" s="5" t="s">
        <v>54</v>
      </c>
      <c r="K204" s="5" t="s">
        <v>45</v>
      </c>
      <c r="L204" s="5" t="s">
        <v>10</v>
      </c>
      <c r="M204" s="5" t="s">
        <v>10</v>
      </c>
      <c r="N204" s="5" t="s">
        <v>10</v>
      </c>
      <c r="O204" s="46" t="s">
        <v>46</v>
      </c>
      <c r="P204" s="101">
        <v>46068</v>
      </c>
      <c r="Q204" s="100">
        <f t="shared" si="29"/>
        <v>46249</v>
      </c>
      <c r="R204" s="5" t="s">
        <v>3101</v>
      </c>
      <c r="S204" s="5" t="s">
        <v>4802</v>
      </c>
      <c r="T204" s="7">
        <v>0.26</v>
      </c>
      <c r="U204" s="7" t="s">
        <v>10</v>
      </c>
      <c r="V204" s="7">
        <f t="shared" si="24"/>
        <v>0.26</v>
      </c>
      <c r="W204" s="7">
        <v>0.5</v>
      </c>
      <c r="X204" s="7" t="s">
        <v>55</v>
      </c>
      <c r="Y204" s="7" t="s">
        <v>56</v>
      </c>
      <c r="Z204" s="48" t="str">
        <f t="shared" si="25"/>
        <v>APROVADO</v>
      </c>
      <c r="AA204" s="47">
        <v>11541290</v>
      </c>
      <c r="AB204" s="5" t="s">
        <v>2445</v>
      </c>
      <c r="AC204" s="5" t="s">
        <v>48</v>
      </c>
      <c r="AD204" s="5" t="s">
        <v>5530</v>
      </c>
      <c r="AE204" s="5" t="str">
        <f t="shared" ca="1" si="28"/>
        <v>CALIBRAR</v>
      </c>
      <c r="AF204" s="49"/>
    </row>
    <row r="205" spans="1:32" ht="30" customHeight="1" x14ac:dyDescent="0.25">
      <c r="A205" s="8" t="s">
        <v>3195</v>
      </c>
      <c r="B205" s="7" t="s">
        <v>10</v>
      </c>
      <c r="C205" s="5" t="s">
        <v>5862</v>
      </c>
      <c r="D205" s="5" t="s">
        <v>348</v>
      </c>
      <c r="E205" s="7" t="s">
        <v>50</v>
      </c>
      <c r="F205" s="7" t="s">
        <v>3583</v>
      </c>
      <c r="G205" s="5" t="s">
        <v>216</v>
      </c>
      <c r="H205" s="7" t="s">
        <v>52</v>
      </c>
      <c r="I205" s="7" t="s">
        <v>93</v>
      </c>
      <c r="J205" s="5" t="s">
        <v>54</v>
      </c>
      <c r="K205" s="5" t="s">
        <v>45</v>
      </c>
      <c r="L205" s="5" t="s">
        <v>10</v>
      </c>
      <c r="M205" s="5" t="s">
        <v>10</v>
      </c>
      <c r="N205" s="5" t="s">
        <v>10</v>
      </c>
      <c r="O205" s="46" t="s">
        <v>46</v>
      </c>
      <c r="P205" s="101">
        <v>46068</v>
      </c>
      <c r="Q205" s="100">
        <f t="shared" si="29"/>
        <v>46249</v>
      </c>
      <c r="R205" s="5" t="s">
        <v>3102</v>
      </c>
      <c r="S205" s="5" t="s">
        <v>4803</v>
      </c>
      <c r="T205" s="7">
        <v>0.17</v>
      </c>
      <c r="U205" s="7" t="s">
        <v>10</v>
      </c>
      <c r="V205" s="7">
        <f t="shared" si="24"/>
        <v>0.17</v>
      </c>
      <c r="W205" s="7">
        <v>0.5</v>
      </c>
      <c r="X205" s="7" t="s">
        <v>55</v>
      </c>
      <c r="Y205" s="7" t="s">
        <v>56</v>
      </c>
      <c r="Z205" s="48" t="str">
        <f t="shared" si="25"/>
        <v>APROVADO</v>
      </c>
      <c r="AA205" s="47">
        <v>11541291</v>
      </c>
      <c r="AB205" s="5" t="s">
        <v>2446</v>
      </c>
      <c r="AC205" s="5" t="s">
        <v>48</v>
      </c>
      <c r="AD205" s="5" t="s">
        <v>5530</v>
      </c>
      <c r="AE205" s="5" t="str">
        <f t="shared" ca="1" si="28"/>
        <v>CALIBRAR</v>
      </c>
      <c r="AF205" s="49"/>
    </row>
    <row r="206" spans="1:32" ht="30" customHeight="1" x14ac:dyDescent="0.25">
      <c r="A206" s="8" t="s">
        <v>228</v>
      </c>
      <c r="B206" s="7" t="s">
        <v>10</v>
      </c>
      <c r="C206" s="5" t="s">
        <v>5862</v>
      </c>
      <c r="D206" s="5" t="s">
        <v>348</v>
      </c>
      <c r="E206" s="7" t="s">
        <v>50</v>
      </c>
      <c r="F206" s="7" t="s">
        <v>3583</v>
      </c>
      <c r="G206" s="5" t="s">
        <v>226</v>
      </c>
      <c r="H206" s="7" t="s">
        <v>52</v>
      </c>
      <c r="I206" s="7" t="s">
        <v>93</v>
      </c>
      <c r="J206" s="5" t="s">
        <v>54</v>
      </c>
      <c r="K206" s="5" t="s">
        <v>45</v>
      </c>
      <c r="L206" s="5" t="s">
        <v>10</v>
      </c>
      <c r="M206" s="5" t="s">
        <v>10</v>
      </c>
      <c r="N206" s="5" t="s">
        <v>10</v>
      </c>
      <c r="O206" s="46" t="s">
        <v>46</v>
      </c>
      <c r="P206" s="101">
        <v>46068</v>
      </c>
      <c r="Q206" s="100">
        <f t="shared" si="29"/>
        <v>46249</v>
      </c>
      <c r="R206" s="5" t="s">
        <v>3105</v>
      </c>
      <c r="S206" s="5" t="s">
        <v>4806</v>
      </c>
      <c r="T206" s="7">
        <v>0.37</v>
      </c>
      <c r="U206" s="7" t="s">
        <v>10</v>
      </c>
      <c r="V206" s="7">
        <f t="shared" si="24"/>
        <v>0.37</v>
      </c>
      <c r="W206" s="7">
        <v>0.5</v>
      </c>
      <c r="X206" s="7" t="s">
        <v>55</v>
      </c>
      <c r="Y206" s="7" t="s">
        <v>56</v>
      </c>
      <c r="Z206" s="48" t="str">
        <f t="shared" si="25"/>
        <v>APROVADO</v>
      </c>
      <c r="AA206" s="47">
        <v>11541294</v>
      </c>
      <c r="AB206" s="5" t="s">
        <v>2447</v>
      </c>
      <c r="AC206" s="5" t="s">
        <v>48</v>
      </c>
      <c r="AD206" s="5" t="s">
        <v>5530</v>
      </c>
      <c r="AE206" s="5" t="str">
        <f t="shared" ca="1" si="28"/>
        <v>CALIBRAR</v>
      </c>
      <c r="AF206" s="49"/>
    </row>
    <row r="207" spans="1:32" ht="30" customHeight="1" x14ac:dyDescent="0.25">
      <c r="A207" s="8" t="s">
        <v>3196</v>
      </c>
      <c r="B207" s="7" t="s">
        <v>10</v>
      </c>
      <c r="C207" s="5" t="s">
        <v>5862</v>
      </c>
      <c r="D207" s="5" t="s">
        <v>348</v>
      </c>
      <c r="E207" s="7" t="s">
        <v>50</v>
      </c>
      <c r="F207" s="7" t="s">
        <v>3583</v>
      </c>
      <c r="G207" s="5" t="s">
        <v>226</v>
      </c>
      <c r="H207" s="7" t="s">
        <v>52</v>
      </c>
      <c r="I207" s="7" t="s">
        <v>93</v>
      </c>
      <c r="J207" s="5" t="s">
        <v>54</v>
      </c>
      <c r="K207" s="5" t="s">
        <v>45</v>
      </c>
      <c r="L207" s="5" t="s">
        <v>10</v>
      </c>
      <c r="M207" s="5" t="s">
        <v>10</v>
      </c>
      <c r="N207" s="5" t="s">
        <v>10</v>
      </c>
      <c r="O207" s="46" t="s">
        <v>46</v>
      </c>
      <c r="P207" s="101">
        <v>46068</v>
      </c>
      <c r="Q207" s="100">
        <f t="shared" si="29"/>
        <v>46249</v>
      </c>
      <c r="R207" s="5" t="s">
        <v>3106</v>
      </c>
      <c r="S207" s="5" t="s">
        <v>4807</v>
      </c>
      <c r="T207" s="7">
        <v>0.27</v>
      </c>
      <c r="U207" s="7" t="s">
        <v>10</v>
      </c>
      <c r="V207" s="7">
        <f t="shared" ref="V207:V273" si="30">IFERROR(IF(U207&gt;0,T207*100/U207,T207),T207)</f>
        <v>0.27</v>
      </c>
      <c r="W207" s="7">
        <v>0.5</v>
      </c>
      <c r="X207" s="7" t="s">
        <v>55</v>
      </c>
      <c r="Y207" s="7" t="s">
        <v>56</v>
      </c>
      <c r="Z207" s="48" t="str">
        <f t="shared" ref="Z207:Z273" si="31">IFERROR(IF(W207="-",$AL$6,CHOOSE(IF(T207="",1,2),$AL$7,IF(V207&gt;W207,$AL$5,$AL$4))),"-")</f>
        <v>APROVADO</v>
      </c>
      <c r="AA207" s="47">
        <v>11541295</v>
      </c>
      <c r="AB207" s="5" t="s">
        <v>2448</v>
      </c>
      <c r="AC207" s="5" t="s">
        <v>48</v>
      </c>
      <c r="AD207" s="5" t="s">
        <v>5530</v>
      </c>
      <c r="AE207" s="5" t="str">
        <f t="shared" ca="1" si="28"/>
        <v>CALIBRAR</v>
      </c>
      <c r="AF207" s="49"/>
    </row>
    <row r="208" spans="1:32" ht="30" customHeight="1" x14ac:dyDescent="0.25">
      <c r="A208" s="8" t="s">
        <v>232</v>
      </c>
      <c r="B208" s="7" t="s">
        <v>10</v>
      </c>
      <c r="C208" s="5" t="s">
        <v>5862</v>
      </c>
      <c r="D208" s="5" t="s">
        <v>348</v>
      </c>
      <c r="E208" s="7" t="s">
        <v>50</v>
      </c>
      <c r="F208" s="7" t="s">
        <v>230</v>
      </c>
      <c r="G208" s="5" t="s">
        <v>51</v>
      </c>
      <c r="H208" s="7" t="s">
        <v>52</v>
      </c>
      <c r="I208" s="7" t="s">
        <v>93</v>
      </c>
      <c r="J208" s="5" t="s">
        <v>54</v>
      </c>
      <c r="K208" s="5" t="s">
        <v>45</v>
      </c>
      <c r="L208" s="5" t="s">
        <v>10</v>
      </c>
      <c r="M208" s="5" t="s">
        <v>10</v>
      </c>
      <c r="N208" s="5" t="s">
        <v>10</v>
      </c>
      <c r="O208" s="46" t="s">
        <v>46</v>
      </c>
      <c r="P208" s="100">
        <v>46068</v>
      </c>
      <c r="Q208" s="100">
        <f t="shared" si="29"/>
        <v>46249</v>
      </c>
      <c r="R208" s="7" t="s">
        <v>3123</v>
      </c>
      <c r="S208" s="7" t="s">
        <v>4811</v>
      </c>
      <c r="T208" s="7">
        <v>0.27</v>
      </c>
      <c r="U208" s="7" t="s">
        <v>10</v>
      </c>
      <c r="V208" s="7">
        <f t="shared" si="30"/>
        <v>0.27</v>
      </c>
      <c r="W208" s="7">
        <v>0.5</v>
      </c>
      <c r="X208" s="7" t="s">
        <v>55</v>
      </c>
      <c r="Y208" s="7" t="s">
        <v>56</v>
      </c>
      <c r="Z208" s="48" t="str">
        <f t="shared" si="31"/>
        <v>APROVADO</v>
      </c>
      <c r="AA208" s="47">
        <v>11541802</v>
      </c>
      <c r="AB208" s="5" t="s">
        <v>2449</v>
      </c>
      <c r="AC208" s="5" t="s">
        <v>48</v>
      </c>
      <c r="AD208" s="5" t="s">
        <v>5530</v>
      </c>
      <c r="AE208" s="5" t="str">
        <f t="shared" ca="1" si="28"/>
        <v>CALIBRAR</v>
      </c>
      <c r="AF208" s="51"/>
    </row>
    <row r="209" spans="1:32" ht="30" customHeight="1" x14ac:dyDescent="0.25">
      <c r="A209" s="8" t="s">
        <v>3198</v>
      </c>
      <c r="B209" s="7" t="s">
        <v>10</v>
      </c>
      <c r="C209" s="5" t="s">
        <v>5862</v>
      </c>
      <c r="D209" s="5" t="s">
        <v>348</v>
      </c>
      <c r="E209" s="7" t="s">
        <v>50</v>
      </c>
      <c r="F209" s="7" t="s">
        <v>230</v>
      </c>
      <c r="G209" s="5" t="s">
        <v>51</v>
      </c>
      <c r="H209" s="7" t="s">
        <v>52</v>
      </c>
      <c r="I209" s="7" t="s">
        <v>93</v>
      </c>
      <c r="J209" s="5" t="s">
        <v>54</v>
      </c>
      <c r="K209" s="5" t="s">
        <v>45</v>
      </c>
      <c r="L209" s="5" t="s">
        <v>10</v>
      </c>
      <c r="M209" s="5" t="s">
        <v>10</v>
      </c>
      <c r="N209" s="5" t="s">
        <v>10</v>
      </c>
      <c r="O209" s="46" t="s">
        <v>46</v>
      </c>
      <c r="P209" s="100">
        <v>46068</v>
      </c>
      <c r="Q209" s="100">
        <f t="shared" si="29"/>
        <v>46249</v>
      </c>
      <c r="R209" s="7" t="s">
        <v>3124</v>
      </c>
      <c r="S209" s="7" t="s">
        <v>4812</v>
      </c>
      <c r="T209" s="7">
        <v>0.27</v>
      </c>
      <c r="U209" s="7" t="s">
        <v>10</v>
      </c>
      <c r="V209" s="7">
        <f t="shared" si="30"/>
        <v>0.27</v>
      </c>
      <c r="W209" s="7">
        <v>0.5</v>
      </c>
      <c r="X209" s="7" t="s">
        <v>55</v>
      </c>
      <c r="Y209" s="7" t="s">
        <v>56</v>
      </c>
      <c r="Z209" s="48" t="str">
        <f t="shared" si="31"/>
        <v>APROVADO</v>
      </c>
      <c r="AA209" s="47">
        <v>11541803</v>
      </c>
      <c r="AB209" s="5" t="s">
        <v>2450</v>
      </c>
      <c r="AC209" s="5" t="s">
        <v>48</v>
      </c>
      <c r="AD209" s="5" t="s">
        <v>5530</v>
      </c>
      <c r="AE209" s="5" t="str">
        <f t="shared" ca="1" si="28"/>
        <v>CALIBRAR</v>
      </c>
      <c r="AF209" s="51"/>
    </row>
    <row r="210" spans="1:32" ht="30" customHeight="1" x14ac:dyDescent="0.25">
      <c r="A210" s="5" t="s">
        <v>3199</v>
      </c>
      <c r="B210" s="7" t="s">
        <v>10</v>
      </c>
      <c r="C210" s="5" t="s">
        <v>5862</v>
      </c>
      <c r="D210" s="5" t="s">
        <v>348</v>
      </c>
      <c r="E210" s="7" t="s">
        <v>50</v>
      </c>
      <c r="F210" s="7" t="s">
        <v>221</v>
      </c>
      <c r="G210" s="5" t="s">
        <v>236</v>
      </c>
      <c r="H210" s="7" t="s">
        <v>52</v>
      </c>
      <c r="I210" s="7" t="s">
        <v>104</v>
      </c>
      <c r="J210" s="5" t="s">
        <v>237</v>
      </c>
      <c r="K210" s="5" t="s">
        <v>45</v>
      </c>
      <c r="L210" s="5" t="s">
        <v>10</v>
      </c>
      <c r="M210" s="5" t="s">
        <v>10</v>
      </c>
      <c r="N210" s="5" t="s">
        <v>10</v>
      </c>
      <c r="O210" s="46" t="s">
        <v>46</v>
      </c>
      <c r="P210" s="101">
        <v>46236</v>
      </c>
      <c r="Q210" s="100">
        <f>IF(P210="","",P210+184)</f>
        <v>46420</v>
      </c>
      <c r="R210" s="10" t="s">
        <v>4691</v>
      </c>
      <c r="S210" s="10" t="s">
        <v>5978</v>
      </c>
      <c r="T210" s="5"/>
      <c r="U210" s="5" t="s">
        <v>10</v>
      </c>
      <c r="V210" s="7">
        <f t="shared" si="30"/>
        <v>0</v>
      </c>
      <c r="W210" s="7">
        <v>0.5</v>
      </c>
      <c r="X210" s="7" t="s">
        <v>55</v>
      </c>
      <c r="Y210" s="7" t="s">
        <v>56</v>
      </c>
      <c r="Z210" s="48" t="str">
        <f t="shared" si="31"/>
        <v>AGUARDANDO CERTIFICADO</v>
      </c>
      <c r="AA210" s="47">
        <v>11541360</v>
      </c>
      <c r="AB210" s="5" t="s">
        <v>3261</v>
      </c>
      <c r="AC210" s="5" t="s">
        <v>48</v>
      </c>
      <c r="AD210" s="5" t="s">
        <v>5530</v>
      </c>
      <c r="AE210" s="5" t="str">
        <f t="shared" ca="1" si="28"/>
        <v>NO PRAZO</v>
      </c>
      <c r="AF210" s="52" t="s">
        <v>5967</v>
      </c>
    </row>
    <row r="211" spans="1:32" ht="30" customHeight="1" x14ac:dyDescent="0.25">
      <c r="A211" s="5" t="s">
        <v>3200</v>
      </c>
      <c r="B211" s="7" t="s">
        <v>10</v>
      </c>
      <c r="C211" s="5" t="s">
        <v>5862</v>
      </c>
      <c r="D211" s="5" t="s">
        <v>348</v>
      </c>
      <c r="E211" s="7" t="s">
        <v>50</v>
      </c>
      <c r="F211" s="7" t="s">
        <v>221</v>
      </c>
      <c r="G211" s="5" t="s">
        <v>236</v>
      </c>
      <c r="H211" s="7" t="s">
        <v>52</v>
      </c>
      <c r="I211" s="12" t="s">
        <v>238</v>
      </c>
      <c r="J211" s="13" t="s">
        <v>237</v>
      </c>
      <c r="K211" s="5" t="s">
        <v>45</v>
      </c>
      <c r="L211" s="5" t="s">
        <v>10</v>
      </c>
      <c r="M211" s="5" t="s">
        <v>10</v>
      </c>
      <c r="N211" s="5" t="s">
        <v>10</v>
      </c>
      <c r="O211" s="46" t="s">
        <v>46</v>
      </c>
      <c r="P211" s="101">
        <v>46236</v>
      </c>
      <c r="Q211" s="100">
        <f>IF(P211="","",P211+184)</f>
        <v>46420</v>
      </c>
      <c r="R211" s="10" t="s">
        <v>4692</v>
      </c>
      <c r="S211" s="10" t="s">
        <v>5979</v>
      </c>
      <c r="T211" s="5"/>
      <c r="U211" s="5" t="s">
        <v>10</v>
      </c>
      <c r="V211" s="7">
        <f t="shared" si="30"/>
        <v>0</v>
      </c>
      <c r="W211" s="7">
        <v>0.5</v>
      </c>
      <c r="X211" s="7" t="s">
        <v>55</v>
      </c>
      <c r="Y211" s="7" t="s">
        <v>56</v>
      </c>
      <c r="Z211" s="48" t="str">
        <f t="shared" si="31"/>
        <v>AGUARDANDO CERTIFICADO</v>
      </c>
      <c r="AA211" s="47">
        <v>11541361</v>
      </c>
      <c r="AB211" s="5" t="s">
        <v>3262</v>
      </c>
      <c r="AC211" s="5" t="s">
        <v>48</v>
      </c>
      <c r="AD211" s="5" t="s">
        <v>5530</v>
      </c>
      <c r="AE211" s="5" t="str">
        <f t="shared" ca="1" si="28"/>
        <v>NO PRAZO</v>
      </c>
      <c r="AF211" s="52" t="s">
        <v>5967</v>
      </c>
    </row>
    <row r="212" spans="1:32" ht="28.2" customHeight="1" x14ac:dyDescent="0.25">
      <c r="A212" s="8" t="s">
        <v>240</v>
      </c>
      <c r="B212" s="7" t="s">
        <v>10</v>
      </c>
      <c r="C212" s="5" t="s">
        <v>5862</v>
      </c>
      <c r="D212" s="5" t="s">
        <v>348</v>
      </c>
      <c r="E212" s="7" t="s">
        <v>50</v>
      </c>
      <c r="F212" s="7" t="s">
        <v>230</v>
      </c>
      <c r="G212" s="5" t="s">
        <v>176</v>
      </c>
      <c r="H212" s="7" t="s">
        <v>52</v>
      </c>
      <c r="I212" s="12" t="s">
        <v>93</v>
      </c>
      <c r="J212" s="13" t="s">
        <v>54</v>
      </c>
      <c r="K212" s="5" t="s">
        <v>45</v>
      </c>
      <c r="L212" s="5" t="s">
        <v>10</v>
      </c>
      <c r="M212" s="5" t="s">
        <v>10</v>
      </c>
      <c r="N212" s="5" t="s">
        <v>10</v>
      </c>
      <c r="O212" s="46" t="s">
        <v>46</v>
      </c>
      <c r="P212" s="100">
        <v>46068</v>
      </c>
      <c r="Q212" s="100">
        <f t="shared" si="29"/>
        <v>46249</v>
      </c>
      <c r="R212" s="7" t="s">
        <v>3127</v>
      </c>
      <c r="S212" s="7" t="s">
        <v>4815</v>
      </c>
      <c r="T212" s="7">
        <v>0.36</v>
      </c>
      <c r="U212" s="7" t="s">
        <v>10</v>
      </c>
      <c r="V212" s="7">
        <f t="shared" si="30"/>
        <v>0.36</v>
      </c>
      <c r="W212" s="7">
        <v>0.5</v>
      </c>
      <c r="X212" s="7" t="s">
        <v>55</v>
      </c>
      <c r="Y212" s="7" t="s">
        <v>56</v>
      </c>
      <c r="Z212" s="48" t="str">
        <f t="shared" si="31"/>
        <v>APROVADO</v>
      </c>
      <c r="AA212" s="47">
        <v>11541800</v>
      </c>
      <c r="AB212" s="5" t="s">
        <v>2451</v>
      </c>
      <c r="AC212" s="5" t="s">
        <v>48</v>
      </c>
      <c r="AD212" s="5" t="s">
        <v>5530</v>
      </c>
      <c r="AE212" s="5" t="str">
        <f t="shared" ca="1" si="28"/>
        <v>CALIBRAR</v>
      </c>
      <c r="AF212" s="49"/>
    </row>
    <row r="213" spans="1:32" ht="30" customHeight="1" x14ac:dyDescent="0.25">
      <c r="A213" s="8" t="s">
        <v>3201</v>
      </c>
      <c r="B213" s="7" t="s">
        <v>10</v>
      </c>
      <c r="C213" s="5" t="s">
        <v>5862</v>
      </c>
      <c r="D213" s="5" t="s">
        <v>348</v>
      </c>
      <c r="E213" s="7" t="s">
        <v>50</v>
      </c>
      <c r="F213" s="7" t="s">
        <v>230</v>
      </c>
      <c r="G213" s="5" t="s">
        <v>176</v>
      </c>
      <c r="H213" s="7" t="s">
        <v>52</v>
      </c>
      <c r="I213" s="12" t="s">
        <v>93</v>
      </c>
      <c r="J213" s="13" t="s">
        <v>54</v>
      </c>
      <c r="K213" s="5" t="s">
        <v>45</v>
      </c>
      <c r="L213" s="5" t="s">
        <v>10</v>
      </c>
      <c r="M213" s="5" t="s">
        <v>10</v>
      </c>
      <c r="N213" s="5" t="s">
        <v>10</v>
      </c>
      <c r="O213" s="46" t="s">
        <v>46</v>
      </c>
      <c r="P213" s="100">
        <v>46068</v>
      </c>
      <c r="Q213" s="100">
        <f t="shared" si="29"/>
        <v>46249</v>
      </c>
      <c r="R213" s="5" t="s">
        <v>3128</v>
      </c>
      <c r="S213" s="5" t="s">
        <v>4816</v>
      </c>
      <c r="T213" s="7">
        <v>0.37</v>
      </c>
      <c r="U213" s="7" t="s">
        <v>10</v>
      </c>
      <c r="V213" s="7">
        <f t="shared" si="30"/>
        <v>0.37</v>
      </c>
      <c r="W213" s="7">
        <v>0.5</v>
      </c>
      <c r="X213" s="7" t="s">
        <v>55</v>
      </c>
      <c r="Y213" s="7" t="s">
        <v>56</v>
      </c>
      <c r="Z213" s="48" t="str">
        <f t="shared" si="31"/>
        <v>APROVADO</v>
      </c>
      <c r="AA213" s="47">
        <v>11541801</v>
      </c>
      <c r="AB213" s="5" t="s">
        <v>2452</v>
      </c>
      <c r="AC213" s="5" t="s">
        <v>48</v>
      </c>
      <c r="AD213" s="5" t="s">
        <v>5530</v>
      </c>
      <c r="AE213" s="5" t="str">
        <f t="shared" ca="1" si="28"/>
        <v>CALIBRAR</v>
      </c>
      <c r="AF213" s="49"/>
    </row>
    <row r="214" spans="1:32" ht="30" customHeight="1" x14ac:dyDescent="0.25">
      <c r="A214" s="8" t="s">
        <v>243</v>
      </c>
      <c r="B214" s="7" t="s">
        <v>10</v>
      </c>
      <c r="C214" s="5" t="s">
        <v>5862</v>
      </c>
      <c r="D214" s="5" t="s">
        <v>348</v>
      </c>
      <c r="E214" s="7" t="s">
        <v>50</v>
      </c>
      <c r="F214" s="7" t="s">
        <v>230</v>
      </c>
      <c r="G214" s="5" t="s">
        <v>211</v>
      </c>
      <c r="H214" s="7" t="s">
        <v>52</v>
      </c>
      <c r="I214" s="7" t="s">
        <v>93</v>
      </c>
      <c r="J214" s="5" t="s">
        <v>54</v>
      </c>
      <c r="K214" s="5" t="s">
        <v>45</v>
      </c>
      <c r="L214" s="5" t="s">
        <v>10</v>
      </c>
      <c r="M214" s="5" t="s">
        <v>10</v>
      </c>
      <c r="N214" s="5" t="s">
        <v>10</v>
      </c>
      <c r="O214" s="46" t="s">
        <v>46</v>
      </c>
      <c r="P214" s="100">
        <v>46068</v>
      </c>
      <c r="Q214" s="100">
        <f t="shared" si="29"/>
        <v>46249</v>
      </c>
      <c r="R214" s="7" t="s">
        <v>3132</v>
      </c>
      <c r="S214" s="7" t="s">
        <v>4820</v>
      </c>
      <c r="T214" s="7">
        <v>0.26</v>
      </c>
      <c r="U214" s="7" t="s">
        <v>10</v>
      </c>
      <c r="V214" s="7">
        <f t="shared" si="30"/>
        <v>0.26</v>
      </c>
      <c r="W214" s="7">
        <v>0.5</v>
      </c>
      <c r="X214" s="7" t="s">
        <v>55</v>
      </c>
      <c r="Y214" s="7" t="s">
        <v>56</v>
      </c>
      <c r="Z214" s="48" t="str">
        <f t="shared" si="31"/>
        <v>APROVADO</v>
      </c>
      <c r="AA214" s="47">
        <v>11541798</v>
      </c>
      <c r="AB214" s="5" t="s">
        <v>2453</v>
      </c>
      <c r="AC214" s="5" t="s">
        <v>48</v>
      </c>
      <c r="AD214" s="5" t="s">
        <v>5530</v>
      </c>
      <c r="AE214" s="5" t="str">
        <f t="shared" ca="1" si="28"/>
        <v>CALIBRAR</v>
      </c>
      <c r="AF214" s="49"/>
    </row>
    <row r="215" spans="1:32" ht="30" customHeight="1" x14ac:dyDescent="0.25">
      <c r="A215" s="8" t="s">
        <v>244</v>
      </c>
      <c r="B215" s="7" t="s">
        <v>10</v>
      </c>
      <c r="C215" s="5" t="s">
        <v>5862</v>
      </c>
      <c r="D215" s="5" t="s">
        <v>348</v>
      </c>
      <c r="E215" s="7" t="s">
        <v>50</v>
      </c>
      <c r="F215" s="7" t="s">
        <v>230</v>
      </c>
      <c r="G215" s="5" t="s">
        <v>211</v>
      </c>
      <c r="H215" s="7" t="s">
        <v>52</v>
      </c>
      <c r="I215" s="7" t="s">
        <v>93</v>
      </c>
      <c r="J215" s="5" t="s">
        <v>237</v>
      </c>
      <c r="K215" s="5" t="s">
        <v>45</v>
      </c>
      <c r="L215" s="5" t="s">
        <v>10</v>
      </c>
      <c r="M215" s="5" t="s">
        <v>10</v>
      </c>
      <c r="N215" s="5" t="s">
        <v>10</v>
      </c>
      <c r="O215" s="46" t="s">
        <v>46</v>
      </c>
      <c r="P215" s="100">
        <v>46068</v>
      </c>
      <c r="Q215" s="100">
        <f t="shared" si="29"/>
        <v>46249</v>
      </c>
      <c r="R215" s="7" t="s">
        <v>3133</v>
      </c>
      <c r="S215" s="7" t="s">
        <v>4821</v>
      </c>
      <c r="T215" s="7">
        <v>0.19</v>
      </c>
      <c r="U215" s="7" t="s">
        <v>10</v>
      </c>
      <c r="V215" s="7">
        <f t="shared" si="30"/>
        <v>0.19</v>
      </c>
      <c r="W215" s="7">
        <v>0.5</v>
      </c>
      <c r="X215" s="7" t="s">
        <v>55</v>
      </c>
      <c r="Y215" s="7" t="s">
        <v>56</v>
      </c>
      <c r="Z215" s="48" t="str">
        <f t="shared" si="31"/>
        <v>APROVADO</v>
      </c>
      <c r="AA215" s="47">
        <v>11541799</v>
      </c>
      <c r="AB215" s="5" t="s">
        <v>2454</v>
      </c>
      <c r="AC215" s="5" t="s">
        <v>48</v>
      </c>
      <c r="AD215" s="5" t="s">
        <v>5530</v>
      </c>
      <c r="AE215" s="5" t="str">
        <f t="shared" ca="1" si="28"/>
        <v>CALIBRAR</v>
      </c>
      <c r="AF215" s="49"/>
    </row>
    <row r="216" spans="1:32" ht="30" customHeight="1" x14ac:dyDescent="0.25">
      <c r="A216" s="8" t="s">
        <v>247</v>
      </c>
      <c r="B216" s="7" t="s">
        <v>10</v>
      </c>
      <c r="C216" s="5" t="s">
        <v>5862</v>
      </c>
      <c r="D216" s="5" t="s">
        <v>348</v>
      </c>
      <c r="E216" s="7" t="s">
        <v>50</v>
      </c>
      <c r="F216" s="7" t="s">
        <v>230</v>
      </c>
      <c r="G216" s="5" t="s">
        <v>216</v>
      </c>
      <c r="H216" s="7" t="s">
        <v>52</v>
      </c>
      <c r="I216" s="7" t="s">
        <v>93</v>
      </c>
      <c r="J216" s="5" t="s">
        <v>54</v>
      </c>
      <c r="K216" s="5" t="s">
        <v>45</v>
      </c>
      <c r="L216" s="5" t="s">
        <v>10</v>
      </c>
      <c r="M216" s="5" t="s">
        <v>10</v>
      </c>
      <c r="N216" s="5" t="s">
        <v>10</v>
      </c>
      <c r="O216" s="46" t="s">
        <v>46</v>
      </c>
      <c r="P216" s="100">
        <v>46068</v>
      </c>
      <c r="Q216" s="100">
        <f t="shared" si="29"/>
        <v>46249</v>
      </c>
      <c r="R216" s="7" t="s">
        <v>3136</v>
      </c>
      <c r="S216" s="7" t="s">
        <v>4824</v>
      </c>
      <c r="T216" s="7">
        <v>0.37</v>
      </c>
      <c r="U216" s="7" t="s">
        <v>10</v>
      </c>
      <c r="V216" s="7">
        <f t="shared" si="30"/>
        <v>0.37</v>
      </c>
      <c r="W216" s="7">
        <v>0.5</v>
      </c>
      <c r="X216" s="7" t="s">
        <v>55</v>
      </c>
      <c r="Y216" s="7" t="s">
        <v>56</v>
      </c>
      <c r="Z216" s="48" t="str">
        <f t="shared" si="31"/>
        <v>APROVADO</v>
      </c>
      <c r="AA216" s="47">
        <v>11541796</v>
      </c>
      <c r="AB216" s="5" t="s">
        <v>2455</v>
      </c>
      <c r="AC216" s="5" t="s">
        <v>48</v>
      </c>
      <c r="AD216" s="5" t="s">
        <v>5530</v>
      </c>
      <c r="AE216" s="5" t="str">
        <f t="shared" ca="1" si="28"/>
        <v>CALIBRAR</v>
      </c>
      <c r="AF216" s="49"/>
    </row>
    <row r="217" spans="1:32" ht="30" customHeight="1" x14ac:dyDescent="0.25">
      <c r="A217" s="8" t="s">
        <v>3203</v>
      </c>
      <c r="B217" s="7" t="s">
        <v>10</v>
      </c>
      <c r="C217" s="5" t="s">
        <v>5862</v>
      </c>
      <c r="D217" s="5" t="s">
        <v>348</v>
      </c>
      <c r="E217" s="7" t="s">
        <v>50</v>
      </c>
      <c r="F217" s="7" t="s">
        <v>230</v>
      </c>
      <c r="G217" s="5" t="s">
        <v>216</v>
      </c>
      <c r="H217" s="7" t="s">
        <v>52</v>
      </c>
      <c r="I217" s="7" t="s">
        <v>93</v>
      </c>
      <c r="J217" s="5" t="s">
        <v>54</v>
      </c>
      <c r="K217" s="5" t="s">
        <v>45</v>
      </c>
      <c r="L217" s="5" t="s">
        <v>10</v>
      </c>
      <c r="M217" s="5" t="s">
        <v>10</v>
      </c>
      <c r="N217" s="5" t="s">
        <v>10</v>
      </c>
      <c r="O217" s="46" t="s">
        <v>46</v>
      </c>
      <c r="P217" s="100">
        <v>46068</v>
      </c>
      <c r="Q217" s="100">
        <f t="shared" si="29"/>
        <v>46249</v>
      </c>
      <c r="R217" s="5" t="s">
        <v>3137</v>
      </c>
      <c r="S217" s="5" t="s">
        <v>4825</v>
      </c>
      <c r="T217" s="7">
        <v>0.37</v>
      </c>
      <c r="U217" s="7" t="s">
        <v>10</v>
      </c>
      <c r="V217" s="7">
        <f t="shared" si="30"/>
        <v>0.37</v>
      </c>
      <c r="W217" s="7">
        <v>0.5</v>
      </c>
      <c r="X217" s="7" t="s">
        <v>55</v>
      </c>
      <c r="Y217" s="7" t="s">
        <v>56</v>
      </c>
      <c r="Z217" s="48" t="str">
        <f t="shared" si="31"/>
        <v>APROVADO</v>
      </c>
      <c r="AA217" s="47">
        <v>11541797</v>
      </c>
      <c r="AB217" s="5" t="s">
        <v>2456</v>
      </c>
      <c r="AC217" s="5" t="s">
        <v>48</v>
      </c>
      <c r="AD217" s="5" t="s">
        <v>5530</v>
      </c>
      <c r="AE217" s="5" t="str">
        <f t="shared" ca="1" si="28"/>
        <v>CALIBRAR</v>
      </c>
      <c r="AF217" s="49"/>
    </row>
    <row r="218" spans="1:32" ht="30" customHeight="1" x14ac:dyDescent="0.25">
      <c r="A218" s="6" t="s">
        <v>288</v>
      </c>
      <c r="B218" s="7" t="s">
        <v>10</v>
      </c>
      <c r="C218" s="5" t="s">
        <v>5862</v>
      </c>
      <c r="D218" s="5" t="s">
        <v>348</v>
      </c>
      <c r="E218" s="7" t="s">
        <v>50</v>
      </c>
      <c r="F218" s="7" t="s">
        <v>221</v>
      </c>
      <c r="G218" s="5" t="s">
        <v>286</v>
      </c>
      <c r="H218" s="7" t="s">
        <v>52</v>
      </c>
      <c r="I218" s="7" t="s">
        <v>104</v>
      </c>
      <c r="J218" s="5" t="s">
        <v>237</v>
      </c>
      <c r="K218" s="5" t="s">
        <v>45</v>
      </c>
      <c r="L218" s="5" t="s">
        <v>10</v>
      </c>
      <c r="M218" s="5" t="s">
        <v>10</v>
      </c>
      <c r="N218" s="5" t="s">
        <v>10</v>
      </c>
      <c r="O218" s="46" t="s">
        <v>46</v>
      </c>
      <c r="P218" s="101">
        <v>46236</v>
      </c>
      <c r="Q218" s="100">
        <f t="shared" ref="Q218:Q237" si="32">IF(P218="","",P218+184)</f>
        <v>46420</v>
      </c>
      <c r="R218" s="5" t="s">
        <v>4745</v>
      </c>
      <c r="S218" s="5" t="s">
        <v>5970</v>
      </c>
      <c r="T218" s="5"/>
      <c r="U218" s="5"/>
      <c r="V218" s="7">
        <f t="shared" si="30"/>
        <v>0</v>
      </c>
      <c r="W218" s="7">
        <v>0.5</v>
      </c>
      <c r="X218" s="7" t="s">
        <v>55</v>
      </c>
      <c r="Y218" s="7" t="s">
        <v>56</v>
      </c>
      <c r="Z218" s="48" t="str">
        <f t="shared" si="31"/>
        <v>AGUARDANDO CERTIFICADO</v>
      </c>
      <c r="AA218" s="47">
        <v>11541348</v>
      </c>
      <c r="AB218" s="5" t="s">
        <v>3263</v>
      </c>
      <c r="AC218" s="5" t="s">
        <v>48</v>
      </c>
      <c r="AD218" s="5" t="s">
        <v>5632</v>
      </c>
      <c r="AE218" s="5" t="str">
        <f t="shared" ca="1" si="28"/>
        <v>NO PRAZO</v>
      </c>
      <c r="AF218" s="52" t="s">
        <v>5967</v>
      </c>
    </row>
    <row r="219" spans="1:32" ht="30" customHeight="1" x14ac:dyDescent="0.25">
      <c r="A219" s="6" t="s">
        <v>3082</v>
      </c>
      <c r="B219" s="7" t="s">
        <v>10</v>
      </c>
      <c r="C219" s="5" t="s">
        <v>5862</v>
      </c>
      <c r="D219" s="5" t="s">
        <v>348</v>
      </c>
      <c r="E219" s="7" t="s">
        <v>50</v>
      </c>
      <c r="F219" s="7" t="s">
        <v>221</v>
      </c>
      <c r="G219" s="5" t="s">
        <v>286</v>
      </c>
      <c r="H219" s="7" t="s">
        <v>52</v>
      </c>
      <c r="I219" s="7" t="s">
        <v>104</v>
      </c>
      <c r="J219" s="5" t="s">
        <v>237</v>
      </c>
      <c r="K219" s="5" t="s">
        <v>45</v>
      </c>
      <c r="L219" s="5" t="s">
        <v>10</v>
      </c>
      <c r="M219" s="5" t="s">
        <v>10</v>
      </c>
      <c r="N219" s="5" t="s">
        <v>10</v>
      </c>
      <c r="O219" s="46" t="s">
        <v>46</v>
      </c>
      <c r="P219" s="101">
        <v>46236</v>
      </c>
      <c r="Q219" s="100">
        <f t="shared" si="32"/>
        <v>46420</v>
      </c>
      <c r="R219" s="5" t="s">
        <v>4746</v>
      </c>
      <c r="S219" s="5" t="s">
        <v>5971</v>
      </c>
      <c r="T219" s="5"/>
      <c r="U219" s="5" t="s">
        <v>10</v>
      </c>
      <c r="V219" s="7">
        <f t="shared" si="30"/>
        <v>0</v>
      </c>
      <c r="W219" s="7">
        <v>0.5</v>
      </c>
      <c r="X219" s="7" t="s">
        <v>55</v>
      </c>
      <c r="Y219" s="7" t="s">
        <v>56</v>
      </c>
      <c r="Z219" s="48" t="str">
        <f t="shared" si="31"/>
        <v>AGUARDANDO CERTIFICADO</v>
      </c>
      <c r="AA219" s="47">
        <v>11606571</v>
      </c>
      <c r="AB219" s="5" t="s">
        <v>4013</v>
      </c>
      <c r="AC219" s="5" t="s">
        <v>48</v>
      </c>
      <c r="AD219" s="5" t="s">
        <v>5632</v>
      </c>
      <c r="AE219" s="5" t="str">
        <f t="shared" ca="1" si="28"/>
        <v>NO PRAZO</v>
      </c>
      <c r="AF219" s="52" t="s">
        <v>5967</v>
      </c>
    </row>
    <row r="220" spans="1:32" ht="30" customHeight="1" x14ac:dyDescent="0.25">
      <c r="A220" s="6" t="s">
        <v>292</v>
      </c>
      <c r="B220" s="7" t="s">
        <v>10</v>
      </c>
      <c r="C220" s="5" t="s">
        <v>5862</v>
      </c>
      <c r="D220" s="5" t="s">
        <v>348</v>
      </c>
      <c r="E220" s="7" t="s">
        <v>50</v>
      </c>
      <c r="F220" s="7" t="s">
        <v>221</v>
      </c>
      <c r="G220" s="5" t="s">
        <v>290</v>
      </c>
      <c r="H220" s="7" t="s">
        <v>52</v>
      </c>
      <c r="I220" s="7" t="s">
        <v>104</v>
      </c>
      <c r="J220" s="5" t="s">
        <v>237</v>
      </c>
      <c r="K220" s="5" t="s">
        <v>45</v>
      </c>
      <c r="L220" s="5" t="s">
        <v>10</v>
      </c>
      <c r="M220" s="5" t="s">
        <v>10</v>
      </c>
      <c r="N220" s="5" t="s">
        <v>10</v>
      </c>
      <c r="O220" s="46" t="s">
        <v>46</v>
      </c>
      <c r="P220" s="101">
        <v>46236</v>
      </c>
      <c r="Q220" s="100">
        <f t="shared" si="32"/>
        <v>46420</v>
      </c>
      <c r="R220" s="10" t="s">
        <v>4693</v>
      </c>
      <c r="S220" s="10" t="s">
        <v>5972</v>
      </c>
      <c r="T220" s="5"/>
      <c r="U220" s="5" t="s">
        <v>10</v>
      </c>
      <c r="V220" s="7">
        <f t="shared" si="30"/>
        <v>0</v>
      </c>
      <c r="W220" s="7">
        <v>0.5</v>
      </c>
      <c r="X220" s="7" t="s">
        <v>55</v>
      </c>
      <c r="Y220" s="7" t="s">
        <v>56</v>
      </c>
      <c r="Z220" s="48" t="str">
        <f t="shared" si="31"/>
        <v>AGUARDANDO CERTIFICADO</v>
      </c>
      <c r="AA220" s="47">
        <v>11541356</v>
      </c>
      <c r="AB220" s="5" t="s">
        <v>2457</v>
      </c>
      <c r="AC220" s="5" t="s">
        <v>48</v>
      </c>
      <c r="AD220" s="5" t="s">
        <v>5632</v>
      </c>
      <c r="AE220" s="5" t="str">
        <f t="shared" ca="1" si="28"/>
        <v>NO PRAZO</v>
      </c>
      <c r="AF220" s="52" t="s">
        <v>5967</v>
      </c>
    </row>
    <row r="221" spans="1:32" ht="30" customHeight="1" x14ac:dyDescent="0.25">
      <c r="A221" s="6" t="s">
        <v>293</v>
      </c>
      <c r="B221" s="7" t="s">
        <v>10</v>
      </c>
      <c r="C221" s="5" t="s">
        <v>5862</v>
      </c>
      <c r="D221" s="5" t="s">
        <v>348</v>
      </c>
      <c r="E221" s="7" t="s">
        <v>50</v>
      </c>
      <c r="F221" s="7" t="s">
        <v>221</v>
      </c>
      <c r="G221" s="5" t="s">
        <v>290</v>
      </c>
      <c r="H221" s="7" t="s">
        <v>52</v>
      </c>
      <c r="I221" s="7" t="s">
        <v>104</v>
      </c>
      <c r="J221" s="5" t="s">
        <v>237</v>
      </c>
      <c r="K221" s="5" t="s">
        <v>45</v>
      </c>
      <c r="L221" s="5" t="s">
        <v>10</v>
      </c>
      <c r="M221" s="5" t="s">
        <v>10</v>
      </c>
      <c r="N221" s="5" t="s">
        <v>10</v>
      </c>
      <c r="O221" s="46" t="s">
        <v>46</v>
      </c>
      <c r="P221" s="101">
        <v>46236</v>
      </c>
      <c r="Q221" s="100">
        <f t="shared" si="32"/>
        <v>46420</v>
      </c>
      <c r="R221" s="10" t="s">
        <v>4694</v>
      </c>
      <c r="S221" s="10" t="s">
        <v>5973</v>
      </c>
      <c r="T221" s="5"/>
      <c r="U221" s="5" t="s">
        <v>10</v>
      </c>
      <c r="V221" s="7">
        <f t="shared" si="30"/>
        <v>0</v>
      </c>
      <c r="W221" s="7">
        <v>0.5</v>
      </c>
      <c r="X221" s="7" t="s">
        <v>55</v>
      </c>
      <c r="Y221" s="7" t="s">
        <v>56</v>
      </c>
      <c r="Z221" s="48" t="str">
        <f t="shared" si="31"/>
        <v>AGUARDANDO CERTIFICADO</v>
      </c>
      <c r="AA221" s="47">
        <v>11603006</v>
      </c>
      <c r="AB221" s="5" t="s">
        <v>2458</v>
      </c>
      <c r="AC221" s="5" t="s">
        <v>48</v>
      </c>
      <c r="AD221" s="5" t="s">
        <v>5632</v>
      </c>
      <c r="AE221" s="5" t="str">
        <f t="shared" ca="1" si="28"/>
        <v>NO PRAZO</v>
      </c>
      <c r="AF221" s="52" t="s">
        <v>5967</v>
      </c>
    </row>
    <row r="222" spans="1:32" ht="30" customHeight="1" x14ac:dyDescent="0.25">
      <c r="A222" s="6" t="s">
        <v>3205</v>
      </c>
      <c r="B222" s="7" t="s">
        <v>10</v>
      </c>
      <c r="C222" s="5" t="s">
        <v>5862</v>
      </c>
      <c r="D222" s="5" t="s">
        <v>348</v>
      </c>
      <c r="E222" s="7" t="s">
        <v>50</v>
      </c>
      <c r="F222" s="7" t="s">
        <v>221</v>
      </c>
      <c r="G222" s="5" t="s">
        <v>265</v>
      </c>
      <c r="H222" s="7" t="s">
        <v>52</v>
      </c>
      <c r="I222" s="7" t="s">
        <v>238</v>
      </c>
      <c r="J222" s="5" t="s">
        <v>237</v>
      </c>
      <c r="K222" s="5" t="s">
        <v>45</v>
      </c>
      <c r="L222" s="5" t="s">
        <v>10</v>
      </c>
      <c r="M222" s="5" t="s">
        <v>10</v>
      </c>
      <c r="N222" s="5" t="s">
        <v>10</v>
      </c>
      <c r="O222" s="46" t="s">
        <v>46</v>
      </c>
      <c r="P222" s="101">
        <v>46236</v>
      </c>
      <c r="Q222" s="100">
        <f t="shared" si="32"/>
        <v>46420</v>
      </c>
      <c r="R222" s="10" t="s">
        <v>4741</v>
      </c>
      <c r="S222" s="10" t="s">
        <v>5980</v>
      </c>
      <c r="T222" s="5"/>
      <c r="U222" s="5" t="s">
        <v>10</v>
      </c>
      <c r="V222" s="7">
        <f t="shared" si="30"/>
        <v>0</v>
      </c>
      <c r="W222" s="7">
        <v>0.5</v>
      </c>
      <c r="X222" s="7" t="s">
        <v>55</v>
      </c>
      <c r="Y222" s="7" t="s">
        <v>56</v>
      </c>
      <c r="Z222" s="48" t="str">
        <f t="shared" si="31"/>
        <v>AGUARDANDO CERTIFICADO</v>
      </c>
      <c r="AA222" s="47">
        <v>11541368</v>
      </c>
      <c r="AB222" s="5" t="s">
        <v>2459</v>
      </c>
      <c r="AC222" s="5" t="s">
        <v>48</v>
      </c>
      <c r="AD222" s="5" t="s">
        <v>5530</v>
      </c>
      <c r="AE222" s="5" t="str">
        <f t="shared" ca="1" si="28"/>
        <v>NO PRAZO</v>
      </c>
      <c r="AF222" s="52" t="s">
        <v>5967</v>
      </c>
    </row>
    <row r="223" spans="1:32" ht="30" customHeight="1" x14ac:dyDescent="0.25">
      <c r="A223" s="6" t="s">
        <v>3206</v>
      </c>
      <c r="B223" s="7" t="s">
        <v>10</v>
      </c>
      <c r="C223" s="5" t="s">
        <v>5862</v>
      </c>
      <c r="D223" s="5" t="s">
        <v>348</v>
      </c>
      <c r="E223" s="7" t="s">
        <v>50</v>
      </c>
      <c r="F223" s="7" t="s">
        <v>221</v>
      </c>
      <c r="G223" s="5" t="s">
        <v>265</v>
      </c>
      <c r="H223" s="7" t="s">
        <v>52</v>
      </c>
      <c r="I223" s="7" t="s">
        <v>238</v>
      </c>
      <c r="J223" s="5" t="s">
        <v>237</v>
      </c>
      <c r="K223" s="5" t="s">
        <v>45</v>
      </c>
      <c r="L223" s="5" t="s">
        <v>10</v>
      </c>
      <c r="M223" s="5" t="s">
        <v>10</v>
      </c>
      <c r="N223" s="5" t="s">
        <v>10</v>
      </c>
      <c r="O223" s="46" t="s">
        <v>46</v>
      </c>
      <c r="P223" s="101">
        <v>46236</v>
      </c>
      <c r="Q223" s="100">
        <f t="shared" si="32"/>
        <v>46420</v>
      </c>
      <c r="R223" s="54" t="s">
        <v>4742</v>
      </c>
      <c r="S223" s="54" t="s">
        <v>5981</v>
      </c>
      <c r="T223" s="5"/>
      <c r="U223" s="5" t="s">
        <v>10</v>
      </c>
      <c r="V223" s="7">
        <f t="shared" si="30"/>
        <v>0</v>
      </c>
      <c r="W223" s="7">
        <v>0.5</v>
      </c>
      <c r="X223" s="7" t="s">
        <v>55</v>
      </c>
      <c r="Y223" s="7" t="s">
        <v>56</v>
      </c>
      <c r="Z223" s="48" t="str">
        <f t="shared" si="31"/>
        <v>AGUARDANDO CERTIFICADO</v>
      </c>
      <c r="AA223" s="47">
        <v>11541369</v>
      </c>
      <c r="AB223" s="5" t="s">
        <v>2460</v>
      </c>
      <c r="AC223" s="5" t="s">
        <v>48</v>
      </c>
      <c r="AD223" s="5" t="s">
        <v>5530</v>
      </c>
      <c r="AE223" s="5" t="str">
        <f t="shared" ca="1" si="28"/>
        <v>NO PRAZO</v>
      </c>
      <c r="AF223" s="52" t="s">
        <v>5967</v>
      </c>
    </row>
    <row r="224" spans="1:32" ht="30" customHeight="1" x14ac:dyDescent="0.25">
      <c r="A224" s="6" t="s">
        <v>3207</v>
      </c>
      <c r="B224" s="7" t="s">
        <v>10</v>
      </c>
      <c r="C224" s="5" t="s">
        <v>5862</v>
      </c>
      <c r="D224" s="5" t="s">
        <v>348</v>
      </c>
      <c r="E224" s="7" t="s">
        <v>50</v>
      </c>
      <c r="F224" s="7" t="s">
        <v>221</v>
      </c>
      <c r="G224" s="5" t="s">
        <v>298</v>
      </c>
      <c r="H224" s="7" t="s">
        <v>52</v>
      </c>
      <c r="I224" s="7" t="s">
        <v>238</v>
      </c>
      <c r="J224" s="5" t="s">
        <v>237</v>
      </c>
      <c r="K224" s="5" t="s">
        <v>45</v>
      </c>
      <c r="L224" s="5" t="s">
        <v>10</v>
      </c>
      <c r="M224" s="5" t="s">
        <v>10</v>
      </c>
      <c r="N224" s="5" t="s">
        <v>10</v>
      </c>
      <c r="O224" s="46" t="s">
        <v>46</v>
      </c>
      <c r="P224" s="101">
        <v>46236</v>
      </c>
      <c r="Q224" s="100">
        <f t="shared" si="32"/>
        <v>46420</v>
      </c>
      <c r="R224" s="54" t="s">
        <v>4695</v>
      </c>
      <c r="S224" s="54" t="s">
        <v>5982</v>
      </c>
      <c r="T224" s="5"/>
      <c r="U224" s="5" t="s">
        <v>10</v>
      </c>
      <c r="V224" s="7">
        <f t="shared" si="30"/>
        <v>0</v>
      </c>
      <c r="W224" s="7">
        <v>0.5</v>
      </c>
      <c r="X224" s="7" t="s">
        <v>55</v>
      </c>
      <c r="Y224" s="7" t="s">
        <v>56</v>
      </c>
      <c r="Z224" s="48" t="str">
        <f t="shared" si="31"/>
        <v>AGUARDANDO CERTIFICADO</v>
      </c>
      <c r="AA224" s="47">
        <v>11595841</v>
      </c>
      <c r="AB224" s="5" t="s">
        <v>2461</v>
      </c>
      <c r="AC224" s="5" t="s">
        <v>48</v>
      </c>
      <c r="AD224" s="5" t="s">
        <v>5530</v>
      </c>
      <c r="AE224" s="5" t="str">
        <f t="shared" ca="1" si="28"/>
        <v>NO PRAZO</v>
      </c>
      <c r="AF224" s="52" t="s">
        <v>5967</v>
      </c>
    </row>
    <row r="225" spans="1:32" ht="30" customHeight="1" x14ac:dyDescent="0.25">
      <c r="A225" s="6" t="s">
        <v>3208</v>
      </c>
      <c r="B225" s="7" t="s">
        <v>10</v>
      </c>
      <c r="C225" s="5" t="s">
        <v>5862</v>
      </c>
      <c r="D225" s="5" t="s">
        <v>348</v>
      </c>
      <c r="E225" s="7" t="s">
        <v>50</v>
      </c>
      <c r="F225" s="7" t="s">
        <v>221</v>
      </c>
      <c r="G225" s="5" t="s">
        <v>298</v>
      </c>
      <c r="H225" s="7" t="s">
        <v>52</v>
      </c>
      <c r="I225" s="7" t="s">
        <v>238</v>
      </c>
      <c r="J225" s="5" t="s">
        <v>237</v>
      </c>
      <c r="K225" s="5" t="s">
        <v>45</v>
      </c>
      <c r="L225" s="5" t="s">
        <v>10</v>
      </c>
      <c r="M225" s="5" t="s">
        <v>10</v>
      </c>
      <c r="N225" s="5" t="s">
        <v>10</v>
      </c>
      <c r="O225" s="46" t="s">
        <v>46</v>
      </c>
      <c r="P225" s="101">
        <v>46236</v>
      </c>
      <c r="Q225" s="100">
        <f t="shared" si="32"/>
        <v>46420</v>
      </c>
      <c r="R225" s="54" t="s">
        <v>4696</v>
      </c>
      <c r="S225" s="54" t="s">
        <v>5983</v>
      </c>
      <c r="T225" s="5"/>
      <c r="U225" s="5" t="s">
        <v>10</v>
      </c>
      <c r="V225" s="7">
        <f t="shared" si="30"/>
        <v>0</v>
      </c>
      <c r="W225" s="7">
        <v>0.5</v>
      </c>
      <c r="X225" s="7" t="s">
        <v>55</v>
      </c>
      <c r="Y225" s="7" t="s">
        <v>56</v>
      </c>
      <c r="Z225" s="48" t="str">
        <f t="shared" si="31"/>
        <v>AGUARDANDO CERTIFICADO</v>
      </c>
      <c r="AA225" s="47">
        <v>11595842</v>
      </c>
      <c r="AB225" s="5" t="s">
        <v>2462</v>
      </c>
      <c r="AC225" s="5" t="s">
        <v>48</v>
      </c>
      <c r="AD225" s="5" t="s">
        <v>5530</v>
      </c>
      <c r="AE225" s="5" t="str">
        <f t="shared" ca="1" si="28"/>
        <v>NO PRAZO</v>
      </c>
      <c r="AF225" s="52" t="s">
        <v>5967</v>
      </c>
    </row>
    <row r="226" spans="1:32" ht="30" customHeight="1" x14ac:dyDescent="0.25">
      <c r="A226" s="6" t="s">
        <v>3209</v>
      </c>
      <c r="B226" s="7" t="s">
        <v>10</v>
      </c>
      <c r="C226" s="5" t="s">
        <v>5862</v>
      </c>
      <c r="D226" s="5" t="s">
        <v>348</v>
      </c>
      <c r="E226" s="7" t="s">
        <v>50</v>
      </c>
      <c r="F226" s="7" t="s">
        <v>221</v>
      </c>
      <c r="G226" s="5" t="s">
        <v>267</v>
      </c>
      <c r="H226" s="7" t="s">
        <v>52</v>
      </c>
      <c r="I226" s="7" t="s">
        <v>238</v>
      </c>
      <c r="J226" s="5" t="s">
        <v>237</v>
      </c>
      <c r="K226" s="5" t="s">
        <v>45</v>
      </c>
      <c r="L226" s="5" t="s">
        <v>10</v>
      </c>
      <c r="M226" s="5" t="s">
        <v>10</v>
      </c>
      <c r="N226" s="5" t="s">
        <v>10</v>
      </c>
      <c r="O226" s="46" t="s">
        <v>46</v>
      </c>
      <c r="P226" s="101">
        <v>46236</v>
      </c>
      <c r="Q226" s="100">
        <f t="shared" si="32"/>
        <v>46420</v>
      </c>
      <c r="R226" s="54" t="s">
        <v>4743</v>
      </c>
      <c r="S226" s="54" t="s">
        <v>5984</v>
      </c>
      <c r="T226" s="5"/>
      <c r="U226" s="5" t="s">
        <v>10</v>
      </c>
      <c r="V226" s="7">
        <f t="shared" si="30"/>
        <v>0</v>
      </c>
      <c r="W226" s="7">
        <v>0.5</v>
      </c>
      <c r="X226" s="7" t="s">
        <v>55</v>
      </c>
      <c r="Y226" s="7" t="s">
        <v>56</v>
      </c>
      <c r="Z226" s="48" t="str">
        <f t="shared" si="31"/>
        <v>AGUARDANDO CERTIFICADO</v>
      </c>
      <c r="AA226" s="47">
        <v>11595851</v>
      </c>
      <c r="AB226" s="5" t="s">
        <v>2463</v>
      </c>
      <c r="AC226" s="5" t="s">
        <v>48</v>
      </c>
      <c r="AD226" s="5" t="s">
        <v>5530</v>
      </c>
      <c r="AE226" s="5" t="str">
        <f t="shared" ref="AE226:AE260" ca="1" si="33">IFERROR(IF(OR(AND(YEAR(Q226)=YEAR(TODAY()),MONTH(Q226)&gt;MONTH(TODAY())),(YEAR(Q226)&gt;YEAR(TODAY()))),$AK$4,IF(AND(YEAR(Q226)=YEAR(TODAY()),MONTH(Q226)=MONTH(TODAY())),$AK$5,IF(Q226="",$AK$6,$AK$7))),"-")</f>
        <v>NO PRAZO</v>
      </c>
      <c r="AF226" s="52" t="s">
        <v>5967</v>
      </c>
    </row>
    <row r="227" spans="1:32" ht="30" customHeight="1" x14ac:dyDescent="0.25">
      <c r="A227" s="6" t="s">
        <v>3210</v>
      </c>
      <c r="B227" s="7" t="s">
        <v>10</v>
      </c>
      <c r="C227" s="5" t="s">
        <v>5862</v>
      </c>
      <c r="D227" s="5" t="s">
        <v>348</v>
      </c>
      <c r="E227" s="7" t="s">
        <v>50</v>
      </c>
      <c r="F227" s="7" t="s">
        <v>221</v>
      </c>
      <c r="G227" s="5" t="s">
        <v>267</v>
      </c>
      <c r="H227" s="7" t="s">
        <v>52</v>
      </c>
      <c r="I227" s="7" t="s">
        <v>238</v>
      </c>
      <c r="J227" s="5" t="s">
        <v>237</v>
      </c>
      <c r="K227" s="5" t="s">
        <v>45</v>
      </c>
      <c r="L227" s="5" t="s">
        <v>10</v>
      </c>
      <c r="M227" s="5" t="s">
        <v>10</v>
      </c>
      <c r="N227" s="5" t="s">
        <v>10</v>
      </c>
      <c r="O227" s="46" t="s">
        <v>46</v>
      </c>
      <c r="P227" s="101">
        <v>46236</v>
      </c>
      <c r="Q227" s="100">
        <f t="shared" si="32"/>
        <v>46420</v>
      </c>
      <c r="R227" s="54" t="s">
        <v>4744</v>
      </c>
      <c r="S227" s="54" t="s">
        <v>5985</v>
      </c>
      <c r="T227" s="5"/>
      <c r="U227" s="5" t="s">
        <v>10</v>
      </c>
      <c r="V227" s="7">
        <f t="shared" si="30"/>
        <v>0</v>
      </c>
      <c r="W227" s="7">
        <v>0.5</v>
      </c>
      <c r="X227" s="7" t="s">
        <v>55</v>
      </c>
      <c r="Y227" s="7" t="s">
        <v>56</v>
      </c>
      <c r="Z227" s="48" t="str">
        <f t="shared" si="31"/>
        <v>AGUARDANDO CERTIFICADO</v>
      </c>
      <c r="AA227" s="47">
        <v>11595854</v>
      </c>
      <c r="AB227" s="5" t="s">
        <v>2464</v>
      </c>
      <c r="AC227" s="5" t="s">
        <v>48</v>
      </c>
      <c r="AD227" s="5" t="s">
        <v>5530</v>
      </c>
      <c r="AE227" s="5" t="str">
        <f t="shared" ca="1" si="33"/>
        <v>NO PRAZO</v>
      </c>
      <c r="AF227" s="52" t="s">
        <v>5967</v>
      </c>
    </row>
    <row r="228" spans="1:32" ht="30" customHeight="1" x14ac:dyDescent="0.25">
      <c r="A228" s="6" t="s">
        <v>3085</v>
      </c>
      <c r="B228" s="7" t="s">
        <v>10</v>
      </c>
      <c r="C228" s="5" t="s">
        <v>5862</v>
      </c>
      <c r="D228" s="5" t="s">
        <v>348</v>
      </c>
      <c r="E228" s="7" t="s">
        <v>50</v>
      </c>
      <c r="F228" s="7" t="s">
        <v>221</v>
      </c>
      <c r="G228" s="5" t="s">
        <v>222</v>
      </c>
      <c r="H228" s="7" t="s">
        <v>52</v>
      </c>
      <c r="I228" s="7" t="s">
        <v>104</v>
      </c>
      <c r="J228" s="5" t="s">
        <v>237</v>
      </c>
      <c r="K228" s="5" t="s">
        <v>45</v>
      </c>
      <c r="L228" s="5" t="s">
        <v>10</v>
      </c>
      <c r="M228" s="5" t="s">
        <v>10</v>
      </c>
      <c r="N228" s="5" t="s">
        <v>10</v>
      </c>
      <c r="O228" s="46" t="s">
        <v>46</v>
      </c>
      <c r="P228" s="101">
        <v>46236</v>
      </c>
      <c r="Q228" s="100">
        <f t="shared" si="32"/>
        <v>46420</v>
      </c>
      <c r="R228" s="54" t="s">
        <v>4735</v>
      </c>
      <c r="S228" s="54" t="s">
        <v>5974</v>
      </c>
      <c r="T228" s="5"/>
      <c r="U228" s="5"/>
      <c r="V228" s="7">
        <f t="shared" si="30"/>
        <v>0</v>
      </c>
      <c r="W228" s="7">
        <v>0.5</v>
      </c>
      <c r="X228" s="7" t="s">
        <v>55</v>
      </c>
      <c r="Y228" s="7" t="s">
        <v>56</v>
      </c>
      <c r="Z228" s="48" t="str">
        <f t="shared" si="31"/>
        <v>AGUARDANDO CERTIFICADO</v>
      </c>
      <c r="AA228" s="47">
        <v>11541354</v>
      </c>
      <c r="AB228" s="5" t="s">
        <v>3966</v>
      </c>
      <c r="AC228" s="5" t="s">
        <v>48</v>
      </c>
      <c r="AD228" s="5" t="s">
        <v>5632</v>
      </c>
      <c r="AE228" s="5" t="str">
        <f t="shared" ca="1" si="33"/>
        <v>NO PRAZO</v>
      </c>
      <c r="AF228" s="52" t="s">
        <v>5967</v>
      </c>
    </row>
    <row r="229" spans="1:32" ht="30" customHeight="1" x14ac:dyDescent="0.25">
      <c r="A229" s="6" t="s">
        <v>3086</v>
      </c>
      <c r="B229" s="7" t="s">
        <v>10</v>
      </c>
      <c r="C229" s="5" t="s">
        <v>5862</v>
      </c>
      <c r="D229" s="5" t="s">
        <v>348</v>
      </c>
      <c r="E229" s="7" t="s">
        <v>50</v>
      </c>
      <c r="F229" s="7" t="s">
        <v>221</v>
      </c>
      <c r="G229" s="5" t="s">
        <v>222</v>
      </c>
      <c r="H229" s="7" t="s">
        <v>52</v>
      </c>
      <c r="I229" s="7" t="s">
        <v>104</v>
      </c>
      <c r="J229" s="5" t="s">
        <v>237</v>
      </c>
      <c r="K229" s="5" t="s">
        <v>45</v>
      </c>
      <c r="L229" s="5" t="s">
        <v>10</v>
      </c>
      <c r="M229" s="5" t="s">
        <v>10</v>
      </c>
      <c r="N229" s="5" t="s">
        <v>10</v>
      </c>
      <c r="O229" s="46" t="s">
        <v>46</v>
      </c>
      <c r="P229" s="101">
        <v>46236</v>
      </c>
      <c r="Q229" s="100">
        <f t="shared" si="32"/>
        <v>46420</v>
      </c>
      <c r="R229" s="54" t="s">
        <v>4736</v>
      </c>
      <c r="S229" s="54" t="s">
        <v>5975</v>
      </c>
      <c r="T229" s="5"/>
      <c r="U229" s="5" t="s">
        <v>10</v>
      </c>
      <c r="V229" s="7">
        <f t="shared" si="30"/>
        <v>0</v>
      </c>
      <c r="W229" s="7">
        <v>0.5</v>
      </c>
      <c r="X229" s="7" t="s">
        <v>55</v>
      </c>
      <c r="Y229" s="7" t="s">
        <v>56</v>
      </c>
      <c r="Z229" s="48" t="str">
        <f t="shared" si="31"/>
        <v>AGUARDANDO CERTIFICADO</v>
      </c>
      <c r="AA229" s="47">
        <v>11606572</v>
      </c>
      <c r="AB229" s="5" t="s">
        <v>4014</v>
      </c>
      <c r="AC229" s="5" t="s">
        <v>48</v>
      </c>
      <c r="AD229" s="5" t="s">
        <v>5632</v>
      </c>
      <c r="AE229" s="5" t="str">
        <f t="shared" ca="1" si="33"/>
        <v>NO PRAZO</v>
      </c>
      <c r="AF229" s="52" t="s">
        <v>5967</v>
      </c>
    </row>
    <row r="230" spans="1:32" ht="30" customHeight="1" x14ac:dyDescent="0.25">
      <c r="A230" s="6" t="s">
        <v>3087</v>
      </c>
      <c r="B230" s="7" t="s">
        <v>10</v>
      </c>
      <c r="C230" s="5" t="s">
        <v>5862</v>
      </c>
      <c r="D230" s="5" t="s">
        <v>348</v>
      </c>
      <c r="E230" s="7" t="s">
        <v>50</v>
      </c>
      <c r="F230" s="7" t="s">
        <v>221</v>
      </c>
      <c r="G230" s="5" t="s">
        <v>303</v>
      </c>
      <c r="H230" s="7" t="s">
        <v>52</v>
      </c>
      <c r="I230" s="7" t="s">
        <v>238</v>
      </c>
      <c r="J230" s="5" t="s">
        <v>237</v>
      </c>
      <c r="K230" s="5" t="s">
        <v>45</v>
      </c>
      <c r="L230" s="5" t="s">
        <v>10</v>
      </c>
      <c r="M230" s="5" t="s">
        <v>10</v>
      </c>
      <c r="N230" s="5" t="s">
        <v>10</v>
      </c>
      <c r="O230" s="46" t="s">
        <v>46</v>
      </c>
      <c r="P230" s="101">
        <v>46236</v>
      </c>
      <c r="Q230" s="100">
        <f t="shared" si="32"/>
        <v>46420</v>
      </c>
      <c r="R230" s="54" t="s">
        <v>4737</v>
      </c>
      <c r="S230" s="54" t="s">
        <v>5976</v>
      </c>
      <c r="T230" s="5"/>
      <c r="U230" s="5"/>
      <c r="V230" s="7">
        <f t="shared" si="30"/>
        <v>0</v>
      </c>
      <c r="W230" s="7">
        <v>0.5</v>
      </c>
      <c r="X230" s="7" t="s">
        <v>55</v>
      </c>
      <c r="Y230" s="7" t="s">
        <v>56</v>
      </c>
      <c r="Z230" s="48" t="str">
        <f t="shared" si="31"/>
        <v>AGUARDANDO CERTIFICADO</v>
      </c>
      <c r="AA230" s="47">
        <v>11606573</v>
      </c>
      <c r="AB230" s="5" t="s">
        <v>4015</v>
      </c>
      <c r="AC230" s="5" t="s">
        <v>48</v>
      </c>
      <c r="AD230" s="5" t="s">
        <v>5632</v>
      </c>
      <c r="AE230" s="5" t="str">
        <f t="shared" ca="1" si="33"/>
        <v>NO PRAZO</v>
      </c>
      <c r="AF230" s="52" t="s">
        <v>5967</v>
      </c>
    </row>
    <row r="231" spans="1:32" ht="30" customHeight="1" x14ac:dyDescent="0.25">
      <c r="A231" s="6" t="s">
        <v>305</v>
      </c>
      <c r="B231" s="7" t="s">
        <v>10</v>
      </c>
      <c r="C231" s="5" t="s">
        <v>5862</v>
      </c>
      <c r="D231" s="5" t="s">
        <v>348</v>
      </c>
      <c r="E231" s="7" t="s">
        <v>50</v>
      </c>
      <c r="F231" s="7" t="s">
        <v>221</v>
      </c>
      <c r="G231" s="5" t="s">
        <v>303</v>
      </c>
      <c r="H231" s="7" t="s">
        <v>52</v>
      </c>
      <c r="I231" s="7" t="s">
        <v>238</v>
      </c>
      <c r="J231" s="5" t="s">
        <v>237</v>
      </c>
      <c r="K231" s="5" t="s">
        <v>45</v>
      </c>
      <c r="L231" s="5" t="s">
        <v>10</v>
      </c>
      <c r="M231" s="5" t="s">
        <v>10</v>
      </c>
      <c r="N231" s="5" t="s">
        <v>10</v>
      </c>
      <c r="O231" s="46" t="s">
        <v>46</v>
      </c>
      <c r="P231" s="101">
        <v>46236</v>
      </c>
      <c r="Q231" s="100">
        <f t="shared" si="32"/>
        <v>46420</v>
      </c>
      <c r="R231" s="54" t="s">
        <v>4738</v>
      </c>
      <c r="S231" s="54" t="s">
        <v>5977</v>
      </c>
      <c r="T231" s="5"/>
      <c r="U231" s="5" t="s">
        <v>10</v>
      </c>
      <c r="V231" s="7">
        <f t="shared" si="30"/>
        <v>0</v>
      </c>
      <c r="W231" s="7">
        <v>0.5</v>
      </c>
      <c r="X231" s="7" t="s">
        <v>55</v>
      </c>
      <c r="Y231" s="7" t="s">
        <v>56</v>
      </c>
      <c r="Z231" s="48" t="str">
        <f t="shared" si="31"/>
        <v>AGUARDANDO CERTIFICADO</v>
      </c>
      <c r="AA231" s="47">
        <v>11541358</v>
      </c>
      <c r="AB231" s="5" t="s">
        <v>3266</v>
      </c>
      <c r="AC231" s="5" t="s">
        <v>48</v>
      </c>
      <c r="AD231" s="5" t="s">
        <v>5632</v>
      </c>
      <c r="AE231" s="5" t="str">
        <f t="shared" ca="1" si="33"/>
        <v>NO PRAZO</v>
      </c>
      <c r="AF231" s="52" t="s">
        <v>5967</v>
      </c>
    </row>
    <row r="232" spans="1:32" ht="30" customHeight="1" x14ac:dyDescent="0.25">
      <c r="A232" s="6" t="s">
        <v>3211</v>
      </c>
      <c r="B232" s="7" t="s">
        <v>10</v>
      </c>
      <c r="C232" s="5" t="s">
        <v>5862</v>
      </c>
      <c r="D232" s="5" t="s">
        <v>348</v>
      </c>
      <c r="E232" s="7" t="s">
        <v>50</v>
      </c>
      <c r="F232" s="7" t="s">
        <v>221</v>
      </c>
      <c r="G232" s="5" t="s">
        <v>307</v>
      </c>
      <c r="H232" s="7" t="s">
        <v>52</v>
      </c>
      <c r="I232" s="7" t="s">
        <v>238</v>
      </c>
      <c r="J232" s="5" t="s">
        <v>237</v>
      </c>
      <c r="K232" s="5" t="s">
        <v>45</v>
      </c>
      <c r="L232" s="5" t="s">
        <v>10</v>
      </c>
      <c r="M232" s="5" t="s">
        <v>10</v>
      </c>
      <c r="N232" s="5" t="s">
        <v>10</v>
      </c>
      <c r="O232" s="46" t="s">
        <v>46</v>
      </c>
      <c r="P232" s="101">
        <v>46236</v>
      </c>
      <c r="Q232" s="100">
        <f t="shared" si="32"/>
        <v>46420</v>
      </c>
      <c r="R232" s="54" t="s">
        <v>4739</v>
      </c>
      <c r="S232" s="54" t="s">
        <v>5986</v>
      </c>
      <c r="T232" s="5"/>
      <c r="U232" s="5" t="s">
        <v>10</v>
      </c>
      <c r="V232" s="7">
        <f t="shared" si="30"/>
        <v>0</v>
      </c>
      <c r="W232" s="7">
        <v>0.5</v>
      </c>
      <c r="X232" s="7" t="s">
        <v>55</v>
      </c>
      <c r="Y232" s="7" t="s">
        <v>56</v>
      </c>
      <c r="Z232" s="48" t="str">
        <f t="shared" si="31"/>
        <v>AGUARDANDO CERTIFICADO</v>
      </c>
      <c r="AA232" s="47">
        <v>11541364</v>
      </c>
      <c r="AB232" s="5" t="s">
        <v>2465</v>
      </c>
      <c r="AC232" s="5" t="s">
        <v>48</v>
      </c>
      <c r="AD232" s="5" t="s">
        <v>5530</v>
      </c>
      <c r="AE232" s="5" t="str">
        <f t="shared" ca="1" si="33"/>
        <v>NO PRAZO</v>
      </c>
      <c r="AF232" s="52" t="s">
        <v>5967</v>
      </c>
    </row>
    <row r="233" spans="1:32" ht="30" customHeight="1" x14ac:dyDescent="0.25">
      <c r="A233" s="6" t="s">
        <v>3212</v>
      </c>
      <c r="B233" s="7" t="s">
        <v>10</v>
      </c>
      <c r="C233" s="5" t="s">
        <v>5862</v>
      </c>
      <c r="D233" s="5" t="s">
        <v>348</v>
      </c>
      <c r="E233" s="7" t="s">
        <v>50</v>
      </c>
      <c r="F233" s="7" t="s">
        <v>221</v>
      </c>
      <c r="G233" s="5" t="s">
        <v>307</v>
      </c>
      <c r="H233" s="7" t="s">
        <v>52</v>
      </c>
      <c r="I233" s="7" t="s">
        <v>238</v>
      </c>
      <c r="J233" s="5" t="s">
        <v>237</v>
      </c>
      <c r="K233" s="5" t="s">
        <v>45</v>
      </c>
      <c r="L233" s="5" t="s">
        <v>10</v>
      </c>
      <c r="M233" s="5" t="s">
        <v>10</v>
      </c>
      <c r="N233" s="5" t="s">
        <v>10</v>
      </c>
      <c r="O233" s="46" t="s">
        <v>46</v>
      </c>
      <c r="P233" s="101">
        <v>46236</v>
      </c>
      <c r="Q233" s="100">
        <f t="shared" si="32"/>
        <v>46420</v>
      </c>
      <c r="R233" s="10" t="s">
        <v>4740</v>
      </c>
      <c r="S233" s="10" t="s">
        <v>5987</v>
      </c>
      <c r="T233" s="5"/>
      <c r="U233" s="5" t="s">
        <v>10</v>
      </c>
      <c r="V233" s="7">
        <f t="shared" si="30"/>
        <v>0</v>
      </c>
      <c r="W233" s="7">
        <v>0.5</v>
      </c>
      <c r="X233" s="7" t="s">
        <v>55</v>
      </c>
      <c r="Y233" s="7" t="s">
        <v>56</v>
      </c>
      <c r="Z233" s="48" t="str">
        <f t="shared" si="31"/>
        <v>AGUARDANDO CERTIFICADO</v>
      </c>
      <c r="AA233" s="47">
        <v>11541365</v>
      </c>
      <c r="AB233" s="5" t="s">
        <v>2466</v>
      </c>
      <c r="AC233" s="5" t="s">
        <v>48</v>
      </c>
      <c r="AD233" s="5" t="s">
        <v>5530</v>
      </c>
      <c r="AE233" s="5" t="str">
        <f t="shared" ca="1" si="33"/>
        <v>NO PRAZO</v>
      </c>
      <c r="AF233" s="52" t="s">
        <v>5967</v>
      </c>
    </row>
    <row r="234" spans="1:32" ht="30" customHeight="1" x14ac:dyDescent="0.25">
      <c r="A234" s="5" t="s">
        <v>1532</v>
      </c>
      <c r="B234" s="5" t="s">
        <v>10</v>
      </c>
      <c r="C234" s="5" t="s">
        <v>5863</v>
      </c>
      <c r="D234" s="61" t="s">
        <v>348</v>
      </c>
      <c r="E234" s="7" t="s">
        <v>40</v>
      </c>
      <c r="F234" s="7" t="s">
        <v>644</v>
      </c>
      <c r="G234" s="7" t="s">
        <v>1531</v>
      </c>
      <c r="H234" s="7" t="s">
        <v>92</v>
      </c>
      <c r="I234" s="7" t="s">
        <v>121</v>
      </c>
      <c r="J234" s="7" t="s">
        <v>587</v>
      </c>
      <c r="K234" s="5" t="s">
        <v>10</v>
      </c>
      <c r="L234" s="5" t="s">
        <v>10</v>
      </c>
      <c r="M234" s="5" t="s">
        <v>10</v>
      </c>
      <c r="N234" s="5" t="s">
        <v>45</v>
      </c>
      <c r="O234" s="46" t="s">
        <v>46</v>
      </c>
      <c r="P234" s="101">
        <v>46103</v>
      </c>
      <c r="Q234" s="100">
        <f t="shared" si="32"/>
        <v>46287</v>
      </c>
      <c r="R234" s="5" t="s">
        <v>3187</v>
      </c>
      <c r="S234" s="5" t="s">
        <v>5132</v>
      </c>
      <c r="T234" s="7">
        <v>0.25900000000000001</v>
      </c>
      <c r="U234" s="7" t="s">
        <v>10</v>
      </c>
      <c r="V234" s="7">
        <f t="shared" si="30"/>
        <v>0.25900000000000001</v>
      </c>
      <c r="W234" s="7">
        <v>0.5</v>
      </c>
      <c r="X234" s="7" t="s">
        <v>55</v>
      </c>
      <c r="Y234" s="7" t="s">
        <v>56</v>
      </c>
      <c r="Z234" s="48" t="str">
        <f t="shared" si="31"/>
        <v>APROVADO</v>
      </c>
      <c r="AA234" s="47">
        <v>11556591</v>
      </c>
      <c r="AB234" s="5" t="s">
        <v>2656</v>
      </c>
      <c r="AC234" s="5" t="s">
        <v>48</v>
      </c>
      <c r="AD234" s="5" t="s">
        <v>5530</v>
      </c>
      <c r="AE234" s="5" t="str">
        <f t="shared" ca="1" si="33"/>
        <v>NO PRAZO</v>
      </c>
      <c r="AF234" s="49"/>
    </row>
    <row r="235" spans="1:32" ht="30" customHeight="1" x14ac:dyDescent="0.25">
      <c r="A235" s="9" t="s">
        <v>393</v>
      </c>
      <c r="B235" s="5" t="s">
        <v>10</v>
      </c>
      <c r="C235" s="5" t="s">
        <v>5862</v>
      </c>
      <c r="D235" s="61" t="s">
        <v>394</v>
      </c>
      <c r="E235" s="7" t="s">
        <v>40</v>
      </c>
      <c r="F235" s="7" t="s">
        <v>354</v>
      </c>
      <c r="G235" s="61" t="s">
        <v>355</v>
      </c>
      <c r="H235" s="61" t="s">
        <v>359</v>
      </c>
      <c r="I235" s="9" t="s">
        <v>5195</v>
      </c>
      <c r="J235" s="9" t="s">
        <v>5195</v>
      </c>
      <c r="K235" s="5" t="s">
        <v>45</v>
      </c>
      <c r="L235" s="5" t="s">
        <v>10</v>
      </c>
      <c r="M235" s="5" t="s">
        <v>10</v>
      </c>
      <c r="N235" s="5" t="s">
        <v>10</v>
      </c>
      <c r="O235" s="46" t="s">
        <v>46</v>
      </c>
      <c r="P235" s="99">
        <v>46102</v>
      </c>
      <c r="Q235" s="100">
        <f t="shared" si="32"/>
        <v>46286</v>
      </c>
      <c r="R235" s="63" t="s">
        <v>3439</v>
      </c>
      <c r="S235" s="63" t="s">
        <v>5076</v>
      </c>
      <c r="T235" s="7">
        <v>0.158</v>
      </c>
      <c r="U235" s="5">
        <v>70</v>
      </c>
      <c r="V235" s="7">
        <f t="shared" si="30"/>
        <v>0.22571428571428573</v>
      </c>
      <c r="W235" s="5">
        <v>0.5</v>
      </c>
      <c r="X235" s="5" t="s">
        <v>3074</v>
      </c>
      <c r="Y235" s="7" t="s">
        <v>56</v>
      </c>
      <c r="Z235" s="48" t="str">
        <f t="shared" si="31"/>
        <v>APROVADO</v>
      </c>
      <c r="AA235" s="47">
        <v>11603056</v>
      </c>
      <c r="AB235" s="5" t="s">
        <v>2613</v>
      </c>
      <c r="AC235" s="5" t="s">
        <v>48</v>
      </c>
      <c r="AD235" s="5" t="s">
        <v>5530</v>
      </c>
      <c r="AE235" s="5" t="str">
        <f t="shared" ca="1" si="33"/>
        <v>NO PRAZO</v>
      </c>
      <c r="AF235" s="49"/>
    </row>
    <row r="236" spans="1:32" ht="30" customHeight="1" x14ac:dyDescent="0.25">
      <c r="A236" s="9" t="s">
        <v>396</v>
      </c>
      <c r="B236" s="5" t="s">
        <v>10</v>
      </c>
      <c r="C236" s="5" t="s">
        <v>5862</v>
      </c>
      <c r="D236" s="61" t="s">
        <v>394</v>
      </c>
      <c r="E236" s="7" t="s">
        <v>40</v>
      </c>
      <c r="F236" s="7" t="s">
        <v>354</v>
      </c>
      <c r="G236" s="61" t="s">
        <v>355</v>
      </c>
      <c r="H236" s="61" t="s">
        <v>374</v>
      </c>
      <c r="I236" s="9" t="s">
        <v>5195</v>
      </c>
      <c r="J236" s="9" t="s">
        <v>5195</v>
      </c>
      <c r="K236" s="5" t="s">
        <v>45</v>
      </c>
      <c r="L236" s="5" t="s">
        <v>10</v>
      </c>
      <c r="M236" s="5" t="s">
        <v>10</v>
      </c>
      <c r="N236" s="5" t="s">
        <v>10</v>
      </c>
      <c r="O236" s="46" t="s">
        <v>46</v>
      </c>
      <c r="P236" s="99">
        <v>46102</v>
      </c>
      <c r="Q236" s="100">
        <f t="shared" si="32"/>
        <v>46286</v>
      </c>
      <c r="R236" s="63" t="s">
        <v>3440</v>
      </c>
      <c r="S236" s="63" t="s">
        <v>5077</v>
      </c>
      <c r="T236" s="7">
        <v>0.18</v>
      </c>
      <c r="U236" s="5">
        <v>52.5</v>
      </c>
      <c r="V236" s="7">
        <f t="shared" si="30"/>
        <v>0.34285714285714286</v>
      </c>
      <c r="W236" s="5">
        <v>0.5</v>
      </c>
      <c r="X236" s="5" t="s">
        <v>3074</v>
      </c>
      <c r="Y236" s="7" t="s">
        <v>56</v>
      </c>
      <c r="Z236" s="48" t="str">
        <f t="shared" si="31"/>
        <v>APROVADO</v>
      </c>
      <c r="AA236" s="47">
        <v>11603057</v>
      </c>
      <c r="AB236" s="5" t="s">
        <v>2615</v>
      </c>
      <c r="AC236" s="5" t="s">
        <v>48</v>
      </c>
      <c r="AD236" s="5" t="s">
        <v>5530</v>
      </c>
      <c r="AE236" s="5" t="str">
        <f t="shared" ca="1" si="33"/>
        <v>NO PRAZO</v>
      </c>
      <c r="AF236" s="49"/>
    </row>
    <row r="237" spans="1:32" ht="30" customHeight="1" x14ac:dyDescent="0.25">
      <c r="A237" s="9" t="s">
        <v>399</v>
      </c>
      <c r="B237" s="5" t="s">
        <v>10</v>
      </c>
      <c r="C237" s="5" t="s">
        <v>5862</v>
      </c>
      <c r="D237" s="61" t="s">
        <v>394</v>
      </c>
      <c r="E237" s="7" t="s">
        <v>40</v>
      </c>
      <c r="F237" s="7" t="s">
        <v>354</v>
      </c>
      <c r="G237" s="61" t="s">
        <v>355</v>
      </c>
      <c r="H237" s="61" t="s">
        <v>372</v>
      </c>
      <c r="I237" s="9" t="s">
        <v>5196</v>
      </c>
      <c r="J237" s="9" t="s">
        <v>5196</v>
      </c>
      <c r="K237" s="5" t="s">
        <v>45</v>
      </c>
      <c r="L237" s="5" t="s">
        <v>10</v>
      </c>
      <c r="M237" s="5" t="s">
        <v>10</v>
      </c>
      <c r="N237" s="5" t="s">
        <v>10</v>
      </c>
      <c r="O237" s="46" t="s">
        <v>46</v>
      </c>
      <c r="P237" s="99">
        <v>46102</v>
      </c>
      <c r="Q237" s="100">
        <f t="shared" si="32"/>
        <v>46286</v>
      </c>
      <c r="R237" s="63" t="s">
        <v>3441</v>
      </c>
      <c r="S237" s="63" t="s">
        <v>5078</v>
      </c>
      <c r="T237" s="7">
        <v>0.158</v>
      </c>
      <c r="U237" s="5">
        <v>54</v>
      </c>
      <c r="V237" s="7">
        <f t="shared" si="30"/>
        <v>0.29259259259259263</v>
      </c>
      <c r="W237" s="5">
        <v>0.5</v>
      </c>
      <c r="X237" s="5" t="s">
        <v>3074</v>
      </c>
      <c r="Y237" s="7" t="s">
        <v>56</v>
      </c>
      <c r="Z237" s="48" t="str">
        <f t="shared" si="31"/>
        <v>APROVADO</v>
      </c>
      <c r="AA237" s="47">
        <v>11603058</v>
      </c>
      <c r="AB237" s="5" t="s">
        <v>2617</v>
      </c>
      <c r="AC237" s="5" t="s">
        <v>48</v>
      </c>
      <c r="AD237" s="5" t="s">
        <v>5530</v>
      </c>
      <c r="AE237" s="5" t="str">
        <f t="shared" ca="1" si="33"/>
        <v>NO PRAZO</v>
      </c>
      <c r="AF237" s="49"/>
    </row>
    <row r="238" spans="1:32" ht="30" customHeight="1" x14ac:dyDescent="0.25">
      <c r="A238" s="5" t="s">
        <v>5322</v>
      </c>
      <c r="B238" s="5" t="s">
        <v>63</v>
      </c>
      <c r="C238" s="5" t="s">
        <v>5862</v>
      </c>
      <c r="D238" s="5" t="s">
        <v>5817</v>
      </c>
      <c r="E238" s="7" t="s">
        <v>40</v>
      </c>
      <c r="F238" s="7" t="s">
        <v>41</v>
      </c>
      <c r="G238" s="7" t="s">
        <v>42</v>
      </c>
      <c r="H238" s="7" t="s">
        <v>43</v>
      </c>
      <c r="I238" s="7" t="s">
        <v>44</v>
      </c>
      <c r="J238" s="7" t="s">
        <v>3731</v>
      </c>
      <c r="K238" s="5" t="s">
        <v>45</v>
      </c>
      <c r="L238" s="5" t="s">
        <v>10</v>
      </c>
      <c r="M238" s="5" t="s">
        <v>10</v>
      </c>
      <c r="N238" s="5" t="s">
        <v>10</v>
      </c>
      <c r="O238" s="46" t="s">
        <v>46</v>
      </c>
      <c r="P238" s="100">
        <v>46116</v>
      </c>
      <c r="Q238" s="100">
        <f>IF(P238="","",P238+183)</f>
        <v>46299</v>
      </c>
      <c r="R238" s="5" t="s">
        <v>4406</v>
      </c>
      <c r="S238" s="5" t="s">
        <v>5206</v>
      </c>
      <c r="T238" s="7">
        <v>12.5</v>
      </c>
      <c r="U238" s="7">
        <v>18000</v>
      </c>
      <c r="V238" s="7">
        <f t="shared" si="30"/>
        <v>6.9444444444444448E-2</v>
      </c>
      <c r="W238" s="5">
        <v>0.5</v>
      </c>
      <c r="X238" s="5" t="s">
        <v>73</v>
      </c>
      <c r="Y238" s="7" t="s">
        <v>56</v>
      </c>
      <c r="Z238" s="48" t="str">
        <f t="shared" si="31"/>
        <v>APROVADO</v>
      </c>
      <c r="AA238" s="47">
        <v>11597139</v>
      </c>
      <c r="AB238" s="5" t="s">
        <v>2900</v>
      </c>
      <c r="AC238" s="5" t="s">
        <v>48</v>
      </c>
      <c r="AD238" s="5" t="s">
        <v>5530</v>
      </c>
      <c r="AE238" s="5" t="str">
        <f t="shared" ca="1" si="33"/>
        <v>NO PRAZO</v>
      </c>
      <c r="AF238" s="49"/>
    </row>
    <row r="239" spans="1:32" ht="30" customHeight="1" x14ac:dyDescent="0.25">
      <c r="A239" s="5" t="s">
        <v>66</v>
      </c>
      <c r="B239" s="5" t="s">
        <v>10</v>
      </c>
      <c r="C239" s="5" t="s">
        <v>5862</v>
      </c>
      <c r="D239" s="7" t="s">
        <v>64</v>
      </c>
      <c r="E239" s="7" t="s">
        <v>40</v>
      </c>
      <c r="F239" s="7" t="s">
        <v>41</v>
      </c>
      <c r="G239" s="7" t="s">
        <v>60</v>
      </c>
      <c r="H239" s="7" t="s">
        <v>43</v>
      </c>
      <c r="I239" s="7" t="s">
        <v>61</v>
      </c>
      <c r="J239" s="7" t="s">
        <v>67</v>
      </c>
      <c r="K239" s="5" t="s">
        <v>45</v>
      </c>
      <c r="L239" s="5" t="s">
        <v>10</v>
      </c>
      <c r="M239" s="5" t="s">
        <v>10</v>
      </c>
      <c r="N239" s="5" t="s">
        <v>10</v>
      </c>
      <c r="O239" s="46" t="s">
        <v>46</v>
      </c>
      <c r="P239" s="107">
        <v>46180</v>
      </c>
      <c r="Q239" s="100">
        <f>IF(P239="","",P239+183)</f>
        <v>46363</v>
      </c>
      <c r="R239" s="5" t="s">
        <v>4364</v>
      </c>
      <c r="S239" s="5" t="s">
        <v>5633</v>
      </c>
      <c r="T239" s="7">
        <v>1.4</v>
      </c>
      <c r="U239" s="7">
        <v>6000</v>
      </c>
      <c r="V239" s="7">
        <f t="shared" si="30"/>
        <v>2.3333333333333334E-2</v>
      </c>
      <c r="W239" s="5">
        <v>0.5</v>
      </c>
      <c r="X239" s="5" t="s">
        <v>73</v>
      </c>
      <c r="Y239" s="7" t="s">
        <v>56</v>
      </c>
      <c r="Z239" s="48" t="str">
        <f t="shared" si="31"/>
        <v>APROVADO</v>
      </c>
      <c r="AA239" s="47">
        <v>11602448</v>
      </c>
      <c r="AB239" s="5" t="s">
        <v>3255</v>
      </c>
      <c r="AC239" s="5" t="s">
        <v>48</v>
      </c>
      <c r="AD239" s="5" t="s">
        <v>5632</v>
      </c>
      <c r="AE239" s="5" t="str">
        <f t="shared" ca="1" si="33"/>
        <v>NO PRAZO</v>
      </c>
      <c r="AF239" s="51"/>
    </row>
    <row r="240" spans="1:32" ht="30" customHeight="1" x14ac:dyDescent="0.25">
      <c r="A240" s="6" t="s">
        <v>4592</v>
      </c>
      <c r="B240" s="6" t="s">
        <v>457</v>
      </c>
      <c r="C240" s="5" t="s">
        <v>5862</v>
      </c>
      <c r="D240" s="5" t="s">
        <v>5190</v>
      </c>
      <c r="E240" s="7" t="s">
        <v>40</v>
      </c>
      <c r="F240" s="7" t="s">
        <v>41</v>
      </c>
      <c r="G240" s="7" t="s">
        <v>198</v>
      </c>
      <c r="H240" s="7" t="s">
        <v>43</v>
      </c>
      <c r="I240" s="7" t="s">
        <v>456</v>
      </c>
      <c r="J240" s="7" t="s">
        <v>58</v>
      </c>
      <c r="K240" s="5" t="s">
        <v>45</v>
      </c>
      <c r="L240" s="5" t="s">
        <v>10</v>
      </c>
      <c r="M240" s="5" t="s">
        <v>10</v>
      </c>
      <c r="N240" s="5" t="s">
        <v>10</v>
      </c>
      <c r="O240" s="46" t="s">
        <v>46</v>
      </c>
      <c r="P240" s="107">
        <v>46063</v>
      </c>
      <c r="Q240" s="100">
        <f t="shared" ref="Q240:Q250" si="34">IF(P240="","",P240+181)</f>
        <v>46244</v>
      </c>
      <c r="R240" s="5" t="s">
        <v>3078</v>
      </c>
      <c r="S240" s="5" t="s">
        <v>4780</v>
      </c>
      <c r="T240" s="7">
        <v>1.7</v>
      </c>
      <c r="U240" s="7">
        <v>9000</v>
      </c>
      <c r="V240" s="7">
        <f t="shared" si="30"/>
        <v>1.8888888888888889E-2</v>
      </c>
      <c r="W240" s="5">
        <v>0.5</v>
      </c>
      <c r="X240" s="5" t="s">
        <v>73</v>
      </c>
      <c r="Y240" s="7" t="s">
        <v>56</v>
      </c>
      <c r="Z240" s="48" t="str">
        <f t="shared" si="31"/>
        <v>APROVADO</v>
      </c>
      <c r="AA240" s="47">
        <v>11600111</v>
      </c>
      <c r="AB240" s="5" t="s">
        <v>2502</v>
      </c>
      <c r="AC240" s="5" t="s">
        <v>48</v>
      </c>
      <c r="AD240" s="5" t="s">
        <v>5530</v>
      </c>
      <c r="AE240" s="5" t="str">
        <f t="shared" ca="1" si="33"/>
        <v>CALIBRAR</v>
      </c>
      <c r="AF240" s="49"/>
    </row>
    <row r="241" spans="1:32" ht="30" customHeight="1" x14ac:dyDescent="0.25">
      <c r="A241" s="6" t="s">
        <v>254</v>
      </c>
      <c r="B241" s="7" t="s">
        <v>10</v>
      </c>
      <c r="C241" s="5" t="s">
        <v>5862</v>
      </c>
      <c r="D241" s="7" t="s">
        <v>255</v>
      </c>
      <c r="E241" s="7" t="s">
        <v>256</v>
      </c>
      <c r="F241" s="7" t="s">
        <v>444</v>
      </c>
      <c r="G241" s="7" t="s">
        <v>258</v>
      </c>
      <c r="H241" s="7" t="s">
        <v>259</v>
      </c>
      <c r="I241" s="5" t="s">
        <v>260</v>
      </c>
      <c r="J241" s="5" t="s">
        <v>3732</v>
      </c>
      <c r="K241" s="5" t="s">
        <v>45</v>
      </c>
      <c r="L241" s="5" t="s">
        <v>10</v>
      </c>
      <c r="M241" s="5" t="s">
        <v>10</v>
      </c>
      <c r="N241" s="5" t="s">
        <v>10</v>
      </c>
      <c r="O241" s="46" t="s">
        <v>46</v>
      </c>
      <c r="P241" s="101">
        <v>46073</v>
      </c>
      <c r="Q241" s="100">
        <f t="shared" si="34"/>
        <v>46254</v>
      </c>
      <c r="R241" s="5" t="s">
        <v>3152</v>
      </c>
      <c r="S241" s="5" t="s">
        <v>4916</v>
      </c>
      <c r="T241" s="7">
        <v>3.2000000000000001E-2</v>
      </c>
      <c r="U241" s="5" t="s">
        <v>10</v>
      </c>
      <c r="V241" s="7">
        <f t="shared" si="30"/>
        <v>3.2000000000000001E-2</v>
      </c>
      <c r="W241" s="5">
        <v>0.05</v>
      </c>
      <c r="X241" s="5" t="s">
        <v>261</v>
      </c>
      <c r="Y241" s="7" t="s">
        <v>56</v>
      </c>
      <c r="Z241" s="48" t="str">
        <f t="shared" si="31"/>
        <v>APROVADO</v>
      </c>
      <c r="AA241" s="47">
        <v>11596966</v>
      </c>
      <c r="AB241" s="5" t="s">
        <v>3967</v>
      </c>
      <c r="AC241" s="5" t="s">
        <v>48</v>
      </c>
      <c r="AD241" s="5" t="s">
        <v>5530</v>
      </c>
      <c r="AE241" s="5" t="str">
        <f t="shared" ca="1" si="33"/>
        <v>CALIBRAR</v>
      </c>
      <c r="AF241" s="51"/>
    </row>
    <row r="242" spans="1:32" ht="30" customHeight="1" x14ac:dyDescent="0.25">
      <c r="A242" s="8" t="s">
        <v>262</v>
      </c>
      <c r="B242" s="7" t="s">
        <v>10</v>
      </c>
      <c r="C242" s="5" t="s">
        <v>5862</v>
      </c>
      <c r="D242" s="7" t="s">
        <v>255</v>
      </c>
      <c r="E242" s="7" t="s">
        <v>256</v>
      </c>
      <c r="F242" s="7" t="s">
        <v>263</v>
      </c>
      <c r="G242" s="7" t="s">
        <v>264</v>
      </c>
      <c r="H242" s="7" t="s">
        <v>255</v>
      </c>
      <c r="I242" s="5" t="s">
        <v>260</v>
      </c>
      <c r="J242" s="5" t="s">
        <v>3732</v>
      </c>
      <c r="K242" s="5" t="s">
        <v>45</v>
      </c>
      <c r="L242" s="5" t="s">
        <v>10</v>
      </c>
      <c r="M242" s="5" t="s">
        <v>10</v>
      </c>
      <c r="N242" s="5" t="s">
        <v>10</v>
      </c>
      <c r="O242" s="46" t="s">
        <v>46</v>
      </c>
      <c r="P242" s="100">
        <v>46073</v>
      </c>
      <c r="Q242" s="100">
        <f t="shared" si="34"/>
        <v>46254</v>
      </c>
      <c r="R242" s="5" t="s">
        <v>3138</v>
      </c>
      <c r="S242" s="5" t="s">
        <v>4915</v>
      </c>
      <c r="T242" s="7">
        <v>4.1000000000000002E-2</v>
      </c>
      <c r="U242" s="5" t="s">
        <v>10</v>
      </c>
      <c r="V242" s="7">
        <f t="shared" si="30"/>
        <v>4.1000000000000002E-2</v>
      </c>
      <c r="W242" s="5">
        <v>0.05</v>
      </c>
      <c r="X242" s="5" t="s">
        <v>261</v>
      </c>
      <c r="Y242" s="7" t="s">
        <v>56</v>
      </c>
      <c r="Z242" s="48" t="str">
        <f t="shared" si="31"/>
        <v>APROVADO</v>
      </c>
      <c r="AA242" s="47">
        <v>11596964</v>
      </c>
      <c r="AB242" s="5" t="s">
        <v>2498</v>
      </c>
      <c r="AC242" s="5" t="s">
        <v>48</v>
      </c>
      <c r="AD242" s="5" t="s">
        <v>5530</v>
      </c>
      <c r="AE242" s="5" t="str">
        <f t="shared" ca="1" si="33"/>
        <v>CALIBRAR</v>
      </c>
      <c r="AF242" s="51"/>
    </row>
    <row r="243" spans="1:32" ht="30" customHeight="1" x14ac:dyDescent="0.25">
      <c r="A243" s="6" t="s">
        <v>4939</v>
      </c>
      <c r="B243" s="6">
        <v>4935</v>
      </c>
      <c r="C243" s="5" t="s">
        <v>5862</v>
      </c>
      <c r="D243" s="7" t="s">
        <v>255</v>
      </c>
      <c r="E243" s="7" t="s">
        <v>256</v>
      </c>
      <c r="F243" s="7" t="s">
        <v>257</v>
      </c>
      <c r="G243" s="5" t="s">
        <v>258</v>
      </c>
      <c r="H243" s="7" t="s">
        <v>277</v>
      </c>
      <c r="I243" s="5" t="s">
        <v>260</v>
      </c>
      <c r="J243" s="5" t="s">
        <v>3732</v>
      </c>
      <c r="K243" s="5" t="s">
        <v>45</v>
      </c>
      <c r="L243" s="5" t="s">
        <v>10</v>
      </c>
      <c r="M243" s="5" t="s">
        <v>10</v>
      </c>
      <c r="N243" s="5" t="s">
        <v>10</v>
      </c>
      <c r="O243" s="46" t="s">
        <v>46</v>
      </c>
      <c r="P243" s="101">
        <v>46078</v>
      </c>
      <c r="Q243" s="100">
        <f t="shared" si="34"/>
        <v>46259</v>
      </c>
      <c r="R243" s="7" t="s">
        <v>3153</v>
      </c>
      <c r="S243" s="7" t="s">
        <v>4940</v>
      </c>
      <c r="T243" s="5">
        <v>3.5000000000000003E-2</v>
      </c>
      <c r="U243" s="5" t="s">
        <v>10</v>
      </c>
      <c r="V243" s="7">
        <f t="shared" si="30"/>
        <v>3.5000000000000003E-2</v>
      </c>
      <c r="W243" s="5">
        <v>0.05</v>
      </c>
      <c r="X243" s="5" t="s">
        <v>261</v>
      </c>
      <c r="Y243" s="7" t="s">
        <v>56</v>
      </c>
      <c r="Z243" s="48" t="str">
        <f t="shared" si="31"/>
        <v>APROVADO</v>
      </c>
      <c r="AA243" s="47">
        <v>11599894</v>
      </c>
      <c r="AB243" s="5" t="s">
        <v>2499</v>
      </c>
      <c r="AC243" s="5" t="s">
        <v>48</v>
      </c>
      <c r="AD243" s="5" t="s">
        <v>5530</v>
      </c>
      <c r="AE243" s="5" t="str">
        <f t="shared" ca="1" si="33"/>
        <v>CALIBRAR</v>
      </c>
      <c r="AF243" s="49"/>
    </row>
    <row r="244" spans="1:32" ht="30" customHeight="1" x14ac:dyDescent="0.25">
      <c r="A244" s="5" t="s">
        <v>309</v>
      </c>
      <c r="B244" s="7" t="s">
        <v>10</v>
      </c>
      <c r="C244" s="5" t="s">
        <v>5862</v>
      </c>
      <c r="D244" s="12" t="s">
        <v>255</v>
      </c>
      <c r="E244" s="7" t="s">
        <v>256</v>
      </c>
      <c r="F244" s="7" t="s">
        <v>257</v>
      </c>
      <c r="G244" s="5" t="s">
        <v>258</v>
      </c>
      <c r="H244" s="7" t="s">
        <v>277</v>
      </c>
      <c r="I244" s="13" t="s">
        <v>260</v>
      </c>
      <c r="J244" s="13" t="s">
        <v>3732</v>
      </c>
      <c r="K244" s="5" t="s">
        <v>45</v>
      </c>
      <c r="L244" s="5" t="s">
        <v>10</v>
      </c>
      <c r="M244" s="5" t="s">
        <v>10</v>
      </c>
      <c r="N244" s="5" t="s">
        <v>10</v>
      </c>
      <c r="O244" s="46" t="s">
        <v>46</v>
      </c>
      <c r="P244" s="101">
        <v>46213</v>
      </c>
      <c r="Q244" s="100">
        <f>IF(P244="","",P244+184)</f>
        <v>46397</v>
      </c>
      <c r="R244" s="7" t="s">
        <v>4414</v>
      </c>
      <c r="S244" s="7" t="s">
        <v>5824</v>
      </c>
      <c r="T244" s="5">
        <v>3.1E-2</v>
      </c>
      <c r="U244" s="5" t="s">
        <v>10</v>
      </c>
      <c r="V244" s="7">
        <f t="shared" si="30"/>
        <v>3.1E-2</v>
      </c>
      <c r="W244" s="5">
        <v>0.05</v>
      </c>
      <c r="X244" s="5" t="s">
        <v>261</v>
      </c>
      <c r="Y244" s="7" t="s">
        <v>56</v>
      </c>
      <c r="Z244" s="48" t="str">
        <f t="shared" si="31"/>
        <v>APROVADO</v>
      </c>
      <c r="AA244" s="47">
        <v>11599872</v>
      </c>
      <c r="AB244" s="5" t="s">
        <v>2908</v>
      </c>
      <c r="AC244" s="5" t="s">
        <v>48</v>
      </c>
      <c r="AD244" s="5" t="s">
        <v>5632</v>
      </c>
      <c r="AE244" s="5" t="str">
        <f t="shared" ca="1" si="33"/>
        <v>NO PRAZO</v>
      </c>
      <c r="AF244" s="49"/>
    </row>
    <row r="245" spans="1:32" ht="30" customHeight="1" x14ac:dyDescent="0.25">
      <c r="A245" s="5" t="s">
        <v>4951</v>
      </c>
      <c r="B245" s="5" t="s">
        <v>310</v>
      </c>
      <c r="C245" s="5" t="s">
        <v>5862</v>
      </c>
      <c r="D245" s="7" t="s">
        <v>255</v>
      </c>
      <c r="E245" s="7" t="s">
        <v>311</v>
      </c>
      <c r="F245" s="7" t="s">
        <v>312</v>
      </c>
      <c r="G245" s="5" t="s">
        <v>258</v>
      </c>
      <c r="H245" s="7" t="s">
        <v>313</v>
      </c>
      <c r="I245" s="5" t="s">
        <v>260</v>
      </c>
      <c r="J245" s="5" t="s">
        <v>3732</v>
      </c>
      <c r="K245" s="5" t="s">
        <v>45</v>
      </c>
      <c r="L245" s="5" t="s">
        <v>10</v>
      </c>
      <c r="M245" s="5" t="s">
        <v>10</v>
      </c>
      <c r="N245" s="5" t="s">
        <v>10</v>
      </c>
      <c r="O245" s="46" t="s">
        <v>46</v>
      </c>
      <c r="P245" s="101">
        <v>46079</v>
      </c>
      <c r="Q245" s="100">
        <f t="shared" si="34"/>
        <v>46260</v>
      </c>
      <c r="R245" s="5" t="s">
        <v>3154</v>
      </c>
      <c r="S245" s="7" t="s">
        <v>4952</v>
      </c>
      <c r="T245" s="5">
        <v>4.2000000000000003E-2</v>
      </c>
      <c r="U245" s="5" t="s">
        <v>10</v>
      </c>
      <c r="V245" s="7">
        <f t="shared" si="30"/>
        <v>4.2000000000000003E-2</v>
      </c>
      <c r="W245" s="5">
        <v>0.05</v>
      </c>
      <c r="X245" s="5" t="s">
        <v>261</v>
      </c>
      <c r="Y245" s="7" t="s">
        <v>56</v>
      </c>
      <c r="Z245" s="48" t="str">
        <f t="shared" si="31"/>
        <v>APROVADO</v>
      </c>
      <c r="AA245" s="47">
        <v>11542370</v>
      </c>
      <c r="AB245" s="5" t="s">
        <v>3267</v>
      </c>
      <c r="AC245" s="5" t="s">
        <v>48</v>
      </c>
      <c r="AD245" s="5" t="s">
        <v>5530</v>
      </c>
      <c r="AE245" s="5" t="str">
        <f t="shared" ca="1" si="33"/>
        <v>CALIBRAR</v>
      </c>
      <c r="AF245" s="51"/>
    </row>
    <row r="246" spans="1:32" ht="30" customHeight="1" x14ac:dyDescent="0.25">
      <c r="A246" s="5" t="s">
        <v>314</v>
      </c>
      <c r="B246" s="7" t="s">
        <v>10</v>
      </c>
      <c r="C246" s="5" t="s">
        <v>5862</v>
      </c>
      <c r="D246" s="7" t="s">
        <v>255</v>
      </c>
      <c r="E246" s="7" t="s">
        <v>256</v>
      </c>
      <c r="F246" s="7" t="s">
        <v>312</v>
      </c>
      <c r="G246" s="5" t="s">
        <v>258</v>
      </c>
      <c r="H246" s="7" t="s">
        <v>277</v>
      </c>
      <c r="I246" s="7" t="s">
        <v>260</v>
      </c>
      <c r="J246" s="7" t="s">
        <v>3733</v>
      </c>
      <c r="K246" s="5" t="s">
        <v>45</v>
      </c>
      <c r="L246" s="5" t="s">
        <v>10</v>
      </c>
      <c r="M246" s="5" t="s">
        <v>10</v>
      </c>
      <c r="N246" s="5" t="s">
        <v>10</v>
      </c>
      <c r="O246" s="46" t="s">
        <v>46</v>
      </c>
      <c r="P246" s="101">
        <v>46030</v>
      </c>
      <c r="Q246" s="100">
        <f t="shared" si="34"/>
        <v>46211</v>
      </c>
      <c r="R246" s="7" t="s">
        <v>2695</v>
      </c>
      <c r="S246" s="7" t="s">
        <v>4553</v>
      </c>
      <c r="T246" s="5">
        <v>2.1999999999999999E-2</v>
      </c>
      <c r="U246" s="5" t="s">
        <v>10</v>
      </c>
      <c r="V246" s="7">
        <f t="shared" si="30"/>
        <v>2.1999999999999999E-2</v>
      </c>
      <c r="W246" s="5">
        <v>0.05</v>
      </c>
      <c r="X246" s="5" t="s">
        <v>261</v>
      </c>
      <c r="Y246" s="7" t="s">
        <v>56</v>
      </c>
      <c r="Z246" s="48" t="str">
        <f t="shared" si="31"/>
        <v>APROVADO</v>
      </c>
      <c r="AA246" s="47">
        <v>11598666</v>
      </c>
      <c r="AB246" s="5" t="s">
        <v>3003</v>
      </c>
      <c r="AC246" s="5" t="s">
        <v>48</v>
      </c>
      <c r="AD246" s="5" t="s">
        <v>5530</v>
      </c>
      <c r="AE246" s="5" t="s">
        <v>5906</v>
      </c>
      <c r="AF246" s="51"/>
    </row>
    <row r="247" spans="1:32" ht="30" customHeight="1" x14ac:dyDescent="0.25">
      <c r="A247" s="5" t="s">
        <v>5867</v>
      </c>
      <c r="B247" s="7" t="s">
        <v>10</v>
      </c>
      <c r="C247" s="5" t="s">
        <v>5862</v>
      </c>
      <c r="D247" s="7" t="s">
        <v>255</v>
      </c>
      <c r="E247" s="7" t="s">
        <v>256</v>
      </c>
      <c r="F247" s="7" t="s">
        <v>257</v>
      </c>
      <c r="G247" s="5" t="s">
        <v>258</v>
      </c>
      <c r="H247" s="7" t="s">
        <v>277</v>
      </c>
      <c r="I247" s="7" t="s">
        <v>260</v>
      </c>
      <c r="J247" s="7" t="s">
        <v>3733</v>
      </c>
      <c r="K247" s="5" t="s">
        <v>45</v>
      </c>
      <c r="L247" s="5" t="s">
        <v>10</v>
      </c>
      <c r="M247" s="5" t="s">
        <v>10</v>
      </c>
      <c r="N247" s="5" t="s">
        <v>10</v>
      </c>
      <c r="O247" s="46" t="s">
        <v>46</v>
      </c>
      <c r="P247" s="101">
        <v>46218</v>
      </c>
      <c r="Q247" s="100">
        <f t="shared" ref="Q247:Q248" si="35">IF(P247="","",P247+184)</f>
        <v>46402</v>
      </c>
      <c r="R247" s="7" t="s">
        <v>273</v>
      </c>
      <c r="S247" s="7" t="s">
        <v>5869</v>
      </c>
      <c r="T247" s="5">
        <v>2.1999999999999999E-2</v>
      </c>
      <c r="U247" s="5" t="s">
        <v>10</v>
      </c>
      <c r="V247" s="7">
        <f t="shared" ref="V247:V248" si="36">IFERROR(IF(U247&gt;0,T247*100/U247,T247),T247)</f>
        <v>2.1999999999999999E-2</v>
      </c>
      <c r="W247" s="5">
        <v>0.5</v>
      </c>
      <c r="X247" s="5" t="s">
        <v>261</v>
      </c>
      <c r="Y247" s="7" t="s">
        <v>56</v>
      </c>
      <c r="Z247" s="48" t="str">
        <f t="shared" ref="Z247:Z248" si="37">IFERROR(IF(W247="-",$AL$6,CHOOSE(IF(T247="",1,2),$AL$7,IF(V247&gt;W247,$AL$5,$AL$4))),"-")</f>
        <v>APROVADO</v>
      </c>
      <c r="AA247" s="47" t="s">
        <v>4675</v>
      </c>
      <c r="AB247" s="47" t="s">
        <v>4675</v>
      </c>
      <c r="AC247" s="5" t="s">
        <v>48</v>
      </c>
      <c r="AD247" s="5" t="s">
        <v>5632</v>
      </c>
      <c r="AE247" s="5" t="str">
        <f t="shared" ref="AE247:AE248" ca="1" si="38">IFERROR(IF(OR(AND(YEAR(Q247)=YEAR(TODAY()),MONTH(Q247)&gt;MONTH(TODAY())),(YEAR(Q247)&gt;YEAR(TODAY()))),$AK$4,IF(AND(YEAR(Q247)=YEAR(TODAY()),MONTH(Q247)=MONTH(TODAY())),$AK$5,IF(Q247="",$AK$6,$AK$7))),"-")</f>
        <v>NO PRAZO</v>
      </c>
      <c r="AF247" s="49"/>
    </row>
    <row r="248" spans="1:32" ht="30" customHeight="1" x14ac:dyDescent="0.25">
      <c r="A248" s="5" t="s">
        <v>5868</v>
      </c>
      <c r="B248" s="7" t="s">
        <v>10</v>
      </c>
      <c r="C248" s="5" t="s">
        <v>5862</v>
      </c>
      <c r="D248" s="7" t="s">
        <v>255</v>
      </c>
      <c r="E248" s="7" t="s">
        <v>256</v>
      </c>
      <c r="F248" s="7" t="s">
        <v>257</v>
      </c>
      <c r="G248" s="5" t="s">
        <v>258</v>
      </c>
      <c r="H248" s="7" t="s">
        <v>277</v>
      </c>
      <c r="I248" s="7" t="s">
        <v>260</v>
      </c>
      <c r="J248" s="7" t="s">
        <v>3733</v>
      </c>
      <c r="K248" s="5" t="s">
        <v>45</v>
      </c>
      <c r="L248" s="5" t="s">
        <v>10</v>
      </c>
      <c r="M248" s="5" t="s">
        <v>10</v>
      </c>
      <c r="N248" s="5" t="s">
        <v>10</v>
      </c>
      <c r="O248" s="46" t="s">
        <v>46</v>
      </c>
      <c r="P248" s="101">
        <v>46218</v>
      </c>
      <c r="Q248" s="100">
        <f t="shared" si="35"/>
        <v>46402</v>
      </c>
      <c r="R248" s="7" t="s">
        <v>273</v>
      </c>
      <c r="S248" s="7" t="s">
        <v>5870</v>
      </c>
      <c r="T248" s="5">
        <v>3.1E-2</v>
      </c>
      <c r="U248" s="5" t="s">
        <v>10</v>
      </c>
      <c r="V248" s="7">
        <f t="shared" si="36"/>
        <v>3.1E-2</v>
      </c>
      <c r="W248" s="5">
        <v>0.5</v>
      </c>
      <c r="X248" s="5" t="s">
        <v>261</v>
      </c>
      <c r="Y248" s="7" t="s">
        <v>56</v>
      </c>
      <c r="Z248" s="48" t="str">
        <f t="shared" si="37"/>
        <v>APROVADO</v>
      </c>
      <c r="AA248" s="47" t="s">
        <v>4675</v>
      </c>
      <c r="AB248" s="47" t="s">
        <v>4675</v>
      </c>
      <c r="AC248" s="5" t="s">
        <v>48</v>
      </c>
      <c r="AD248" s="5" t="s">
        <v>5632</v>
      </c>
      <c r="AE248" s="5" t="str">
        <f t="shared" ca="1" si="38"/>
        <v>NO PRAZO</v>
      </c>
      <c r="AF248" s="49"/>
    </row>
    <row r="249" spans="1:32" ht="30" customHeight="1" x14ac:dyDescent="0.25">
      <c r="A249" s="5" t="s">
        <v>5823</v>
      </c>
      <c r="B249" s="5" t="s">
        <v>316</v>
      </c>
      <c r="C249" s="5" t="s">
        <v>5862</v>
      </c>
      <c r="D249" s="7" t="s">
        <v>255</v>
      </c>
      <c r="E249" s="7" t="s">
        <v>256</v>
      </c>
      <c r="F249" s="7" t="s">
        <v>317</v>
      </c>
      <c r="G249" s="5" t="s">
        <v>258</v>
      </c>
      <c r="H249" s="7" t="s">
        <v>277</v>
      </c>
      <c r="I249" s="7" t="s">
        <v>260</v>
      </c>
      <c r="J249" s="7" t="s">
        <v>3733</v>
      </c>
      <c r="K249" s="5" t="s">
        <v>45</v>
      </c>
      <c r="L249" s="5" t="s">
        <v>10</v>
      </c>
      <c r="M249" s="5" t="s">
        <v>10</v>
      </c>
      <c r="N249" s="5" t="s">
        <v>10</v>
      </c>
      <c r="O249" s="46" t="s">
        <v>46</v>
      </c>
      <c r="P249" s="101">
        <v>46213</v>
      </c>
      <c r="Q249" s="100">
        <f>IF(P249="","",P249+184)</f>
        <v>46397</v>
      </c>
      <c r="R249" s="7" t="s">
        <v>4411</v>
      </c>
      <c r="S249" s="7" t="s">
        <v>5825</v>
      </c>
      <c r="T249" s="5">
        <v>3.1E-2</v>
      </c>
      <c r="U249" s="5" t="s">
        <v>10</v>
      </c>
      <c r="V249" s="7">
        <f t="shared" si="30"/>
        <v>3.1E-2</v>
      </c>
      <c r="W249" s="5">
        <v>0.05</v>
      </c>
      <c r="X249" s="5" t="s">
        <v>261</v>
      </c>
      <c r="Y249" s="7" t="s">
        <v>56</v>
      </c>
      <c r="Z249" s="48" t="str">
        <f t="shared" si="31"/>
        <v>APROVADO</v>
      </c>
      <c r="AA249" s="47">
        <v>11599892</v>
      </c>
      <c r="AB249" s="5" t="s">
        <v>2838</v>
      </c>
      <c r="AC249" s="5" t="s">
        <v>48</v>
      </c>
      <c r="AD249" s="5" t="s">
        <v>5632</v>
      </c>
      <c r="AE249" s="5" t="str">
        <f t="shared" ca="1" si="33"/>
        <v>NO PRAZO</v>
      </c>
      <c r="AF249" s="49"/>
    </row>
    <row r="250" spans="1:32" ht="30" customHeight="1" x14ac:dyDescent="0.25">
      <c r="A250" s="5" t="s">
        <v>318</v>
      </c>
      <c r="B250" s="7" t="s">
        <v>10</v>
      </c>
      <c r="C250" s="5" t="s">
        <v>5862</v>
      </c>
      <c r="D250" s="7" t="s">
        <v>255</v>
      </c>
      <c r="E250" s="7" t="s">
        <v>256</v>
      </c>
      <c r="F250" s="7" t="s">
        <v>257</v>
      </c>
      <c r="G250" s="5" t="s">
        <v>258</v>
      </c>
      <c r="H250" s="7" t="s">
        <v>277</v>
      </c>
      <c r="I250" s="5" t="s">
        <v>260</v>
      </c>
      <c r="J250" s="5" t="s">
        <v>3732</v>
      </c>
      <c r="K250" s="5" t="s">
        <v>45</v>
      </c>
      <c r="L250" s="5" t="s">
        <v>10</v>
      </c>
      <c r="M250" s="5" t="s">
        <v>10</v>
      </c>
      <c r="N250" s="5" t="s">
        <v>10</v>
      </c>
      <c r="O250" s="46" t="s">
        <v>46</v>
      </c>
      <c r="P250" s="101">
        <v>46078</v>
      </c>
      <c r="Q250" s="100">
        <f t="shared" si="34"/>
        <v>46259</v>
      </c>
      <c r="R250" s="7" t="s">
        <v>4348</v>
      </c>
      <c r="S250" s="7" t="s">
        <v>4941</v>
      </c>
      <c r="T250" s="5">
        <v>4.2000000000000003E-2</v>
      </c>
      <c r="U250" s="5" t="s">
        <v>10</v>
      </c>
      <c r="V250" s="7">
        <f t="shared" si="30"/>
        <v>4.2000000000000003E-2</v>
      </c>
      <c r="W250" s="5">
        <v>0.05</v>
      </c>
      <c r="X250" s="5" t="s">
        <v>261</v>
      </c>
      <c r="Y250" s="7" t="s">
        <v>56</v>
      </c>
      <c r="Z250" s="48" t="str">
        <f t="shared" si="31"/>
        <v>APROVADO</v>
      </c>
      <c r="AA250" s="47">
        <v>11599895</v>
      </c>
      <c r="AB250" s="5" t="s">
        <v>2909</v>
      </c>
      <c r="AC250" s="5" t="s">
        <v>48</v>
      </c>
      <c r="AD250" s="5" t="s">
        <v>5530</v>
      </c>
      <c r="AE250" s="5" t="str">
        <f t="shared" ca="1" si="33"/>
        <v>CALIBRAR</v>
      </c>
      <c r="AF250" s="49"/>
    </row>
    <row r="251" spans="1:32" ht="30" customHeight="1" x14ac:dyDescent="0.25">
      <c r="A251" s="5" t="s">
        <v>319</v>
      </c>
      <c r="B251" s="7" t="s">
        <v>10</v>
      </c>
      <c r="C251" s="5" t="s">
        <v>5862</v>
      </c>
      <c r="D251" s="7" t="s">
        <v>255</v>
      </c>
      <c r="E251" s="7" t="s">
        <v>256</v>
      </c>
      <c r="F251" s="7" t="s">
        <v>257</v>
      </c>
      <c r="G251" s="5" t="s">
        <v>258</v>
      </c>
      <c r="H251" s="7" t="s">
        <v>277</v>
      </c>
      <c r="I251" s="5" t="s">
        <v>260</v>
      </c>
      <c r="J251" s="5" t="s">
        <v>3732</v>
      </c>
      <c r="K251" s="5" t="s">
        <v>45</v>
      </c>
      <c r="L251" s="5" t="s">
        <v>10</v>
      </c>
      <c r="M251" s="5" t="s">
        <v>10</v>
      </c>
      <c r="N251" s="5" t="s">
        <v>10</v>
      </c>
      <c r="O251" s="46" t="s">
        <v>46</v>
      </c>
      <c r="P251" s="101">
        <v>46213</v>
      </c>
      <c r="Q251" s="100">
        <f t="shared" ref="Q251:Q257" si="39">IF(P251="","",P251+184)</f>
        <v>46397</v>
      </c>
      <c r="R251" s="7" t="s">
        <v>4413</v>
      </c>
      <c r="S251" s="7" t="s">
        <v>5826</v>
      </c>
      <c r="T251" s="5">
        <v>3.5000000000000003E-2</v>
      </c>
      <c r="U251" s="5" t="s">
        <v>10</v>
      </c>
      <c r="V251" s="7">
        <f t="shared" si="30"/>
        <v>3.5000000000000003E-2</v>
      </c>
      <c r="W251" s="5">
        <v>0.05</v>
      </c>
      <c r="X251" s="5" t="s">
        <v>261</v>
      </c>
      <c r="Y251" s="7" t="s">
        <v>56</v>
      </c>
      <c r="Z251" s="48" t="str">
        <f t="shared" si="31"/>
        <v>APROVADO</v>
      </c>
      <c r="AA251" s="47">
        <v>11599878</v>
      </c>
      <c r="AB251" s="5" t="s">
        <v>2910</v>
      </c>
      <c r="AC251" s="5" t="s">
        <v>48</v>
      </c>
      <c r="AD251" s="5" t="s">
        <v>5632</v>
      </c>
      <c r="AE251" s="5" t="str">
        <f t="shared" ca="1" si="33"/>
        <v>NO PRAZO</v>
      </c>
      <c r="AF251" s="49"/>
    </row>
    <row r="252" spans="1:32" ht="30" customHeight="1" x14ac:dyDescent="0.25">
      <c r="A252" s="5" t="s">
        <v>5463</v>
      </c>
      <c r="B252" s="5" t="s">
        <v>10</v>
      </c>
      <c r="C252" s="5" t="s">
        <v>5862</v>
      </c>
      <c r="D252" s="12" t="s">
        <v>255</v>
      </c>
      <c r="E252" s="7" t="s">
        <v>256</v>
      </c>
      <c r="F252" s="7" t="s">
        <v>447</v>
      </c>
      <c r="G252" s="5" t="s">
        <v>258</v>
      </c>
      <c r="H252" s="7" t="s">
        <v>277</v>
      </c>
      <c r="I252" s="5" t="s">
        <v>260</v>
      </c>
      <c r="J252" s="5" t="s">
        <v>3732</v>
      </c>
      <c r="K252" s="5" t="s">
        <v>45</v>
      </c>
      <c r="L252" s="5" t="s">
        <v>10</v>
      </c>
      <c r="M252" s="5" t="s">
        <v>10</v>
      </c>
      <c r="N252" s="5" t="s">
        <v>10</v>
      </c>
      <c r="O252" s="46" t="s">
        <v>46</v>
      </c>
      <c r="P252" s="101">
        <v>46155</v>
      </c>
      <c r="Q252" s="100">
        <f t="shared" si="39"/>
        <v>46339</v>
      </c>
      <c r="R252" s="7" t="s">
        <v>3989</v>
      </c>
      <c r="S252" s="7" t="s">
        <v>5464</v>
      </c>
      <c r="T252" s="5">
        <v>4.1000000000000002E-2</v>
      </c>
      <c r="U252" s="5" t="s">
        <v>10</v>
      </c>
      <c r="V252" s="7">
        <f t="shared" si="30"/>
        <v>4.1000000000000002E-2</v>
      </c>
      <c r="W252" s="5">
        <v>0.05</v>
      </c>
      <c r="X252" s="5" t="s">
        <v>261</v>
      </c>
      <c r="Y252" s="7" t="s">
        <v>56</v>
      </c>
      <c r="Z252" s="48" t="str">
        <f t="shared" si="31"/>
        <v>APROVADO</v>
      </c>
      <c r="AA252" s="47">
        <v>11599879</v>
      </c>
      <c r="AB252" s="5" t="s">
        <v>2839</v>
      </c>
      <c r="AC252" s="5" t="s">
        <v>48</v>
      </c>
      <c r="AD252" s="5" t="s">
        <v>5530</v>
      </c>
      <c r="AE252" s="5" t="str">
        <f t="shared" ca="1" si="33"/>
        <v>NO PRAZO</v>
      </c>
      <c r="AF252" s="51"/>
    </row>
    <row r="253" spans="1:32" ht="30" customHeight="1" x14ac:dyDescent="0.25">
      <c r="A253" s="5" t="s">
        <v>320</v>
      </c>
      <c r="B253" s="7" t="s">
        <v>10</v>
      </c>
      <c r="C253" s="5" t="s">
        <v>5862</v>
      </c>
      <c r="D253" s="7" t="s">
        <v>255</v>
      </c>
      <c r="E253" s="7" t="s">
        <v>256</v>
      </c>
      <c r="F253" s="7" t="s">
        <v>276</v>
      </c>
      <c r="G253" s="5" t="s">
        <v>258</v>
      </c>
      <c r="H253" s="7" t="s">
        <v>259</v>
      </c>
      <c r="I253" s="5" t="s">
        <v>260</v>
      </c>
      <c r="J253" s="5" t="s">
        <v>3732</v>
      </c>
      <c r="K253" s="5" t="s">
        <v>45</v>
      </c>
      <c r="L253" s="5" t="s">
        <v>10</v>
      </c>
      <c r="M253" s="5" t="s">
        <v>10</v>
      </c>
      <c r="N253" s="5" t="s">
        <v>10</v>
      </c>
      <c r="O253" s="46" t="s">
        <v>46</v>
      </c>
      <c r="P253" s="101">
        <v>46218</v>
      </c>
      <c r="Q253" s="100">
        <f t="shared" si="39"/>
        <v>46402</v>
      </c>
      <c r="R253" s="5" t="s">
        <v>4349</v>
      </c>
      <c r="S253" s="5" t="s">
        <v>5882</v>
      </c>
      <c r="T253" s="5">
        <v>4.2000000000000003E-2</v>
      </c>
      <c r="U253" s="5" t="s">
        <v>10</v>
      </c>
      <c r="V253" s="7">
        <f t="shared" si="30"/>
        <v>4.2000000000000003E-2</v>
      </c>
      <c r="W253" s="5">
        <v>0.05</v>
      </c>
      <c r="X253" s="5" t="s">
        <v>261</v>
      </c>
      <c r="Y253" s="7" t="s">
        <v>56</v>
      </c>
      <c r="Z253" s="48" t="str">
        <f t="shared" si="31"/>
        <v>APROVADO</v>
      </c>
      <c r="AA253" s="47">
        <v>11599882</v>
      </c>
      <c r="AB253" s="5" t="s">
        <v>2911</v>
      </c>
      <c r="AC253" s="5" t="s">
        <v>48</v>
      </c>
      <c r="AD253" s="5" t="s">
        <v>5632</v>
      </c>
      <c r="AE253" s="5" t="str">
        <f t="shared" ca="1" si="33"/>
        <v>NO PRAZO</v>
      </c>
      <c r="AF253" s="51"/>
    </row>
    <row r="254" spans="1:32" ht="30" customHeight="1" x14ac:dyDescent="0.25">
      <c r="A254" s="5" t="s">
        <v>321</v>
      </c>
      <c r="B254" s="7" t="s">
        <v>10</v>
      </c>
      <c r="C254" s="5" t="s">
        <v>5862</v>
      </c>
      <c r="D254" s="7" t="s">
        <v>255</v>
      </c>
      <c r="E254" s="7" t="s">
        <v>256</v>
      </c>
      <c r="F254" s="7" t="s">
        <v>257</v>
      </c>
      <c r="G254" s="7" t="s">
        <v>258</v>
      </c>
      <c r="H254" s="7"/>
      <c r="I254" s="5" t="s">
        <v>260</v>
      </c>
      <c r="J254" s="5" t="s">
        <v>3732</v>
      </c>
      <c r="K254" s="5" t="s">
        <v>45</v>
      </c>
      <c r="L254" s="5" t="s">
        <v>10</v>
      </c>
      <c r="M254" s="5" t="s">
        <v>10</v>
      </c>
      <c r="N254" s="5" t="s">
        <v>10</v>
      </c>
      <c r="O254" s="46" t="s">
        <v>46</v>
      </c>
      <c r="P254" s="101">
        <v>46213</v>
      </c>
      <c r="Q254" s="100">
        <f t="shared" si="39"/>
        <v>46397</v>
      </c>
      <c r="R254" s="5" t="s">
        <v>4412</v>
      </c>
      <c r="S254" s="5" t="s">
        <v>5827</v>
      </c>
      <c r="T254" s="7">
        <v>3.1E-2</v>
      </c>
      <c r="U254" s="5" t="s">
        <v>10</v>
      </c>
      <c r="V254" s="7">
        <f t="shared" si="30"/>
        <v>3.1E-2</v>
      </c>
      <c r="W254" s="5">
        <v>0.05</v>
      </c>
      <c r="X254" s="5" t="s">
        <v>261</v>
      </c>
      <c r="Y254" s="7" t="s">
        <v>56</v>
      </c>
      <c r="Z254" s="48" t="str">
        <f t="shared" si="31"/>
        <v>APROVADO</v>
      </c>
      <c r="AA254" s="47">
        <v>11599883</v>
      </c>
      <c r="AB254" s="5" t="s">
        <v>2912</v>
      </c>
      <c r="AC254" s="5" t="s">
        <v>48</v>
      </c>
      <c r="AD254" s="5" t="s">
        <v>5632</v>
      </c>
      <c r="AE254" s="5" t="str">
        <f t="shared" ca="1" si="33"/>
        <v>NO PRAZO</v>
      </c>
      <c r="AF254" s="49"/>
    </row>
    <row r="255" spans="1:32" ht="30" customHeight="1" x14ac:dyDescent="0.25">
      <c r="A255" s="5" t="s">
        <v>5926</v>
      </c>
      <c r="B255" s="7" t="s">
        <v>10</v>
      </c>
      <c r="C255" s="5" t="s">
        <v>5862</v>
      </c>
      <c r="D255" s="7" t="s">
        <v>255</v>
      </c>
      <c r="E255" s="7" t="s">
        <v>256</v>
      </c>
      <c r="F255" s="7" t="s">
        <v>447</v>
      </c>
      <c r="G255" s="7" t="s">
        <v>258</v>
      </c>
      <c r="H255" s="7" t="s">
        <v>259</v>
      </c>
      <c r="I255" s="5" t="s">
        <v>260</v>
      </c>
      <c r="J255" s="5" t="s">
        <v>3732</v>
      </c>
      <c r="K255" s="5" t="s">
        <v>45</v>
      </c>
      <c r="L255" s="5" t="s">
        <v>10</v>
      </c>
      <c r="M255" s="5" t="s">
        <v>10</v>
      </c>
      <c r="N255" s="5" t="s">
        <v>10</v>
      </c>
      <c r="O255" s="46" t="s">
        <v>46</v>
      </c>
      <c r="P255" s="101">
        <v>46230</v>
      </c>
      <c r="Q255" s="100">
        <f t="shared" ref="Q255" si="40">IF(P255="","",P255+184)</f>
        <v>46414</v>
      </c>
      <c r="R255" s="7" t="s">
        <v>273</v>
      </c>
      <c r="S255" s="7" t="s">
        <v>5927</v>
      </c>
      <c r="T255" s="7">
        <v>3.1E-2</v>
      </c>
      <c r="U255" s="5"/>
      <c r="V255" s="7"/>
      <c r="W255" s="5">
        <v>0.05</v>
      </c>
      <c r="X255" s="5" t="s">
        <v>261</v>
      </c>
      <c r="Y255" s="7" t="s">
        <v>56</v>
      </c>
      <c r="Z255" s="48" t="str">
        <f t="shared" ref="Z255" si="41">IFERROR(IF(W255="-",$AL$6,CHOOSE(IF(T255="",1,2),$AL$7,IF(V255&gt;W255,$AL$5,$AL$4))),"-")</f>
        <v>APROVADO</v>
      </c>
      <c r="AA255" s="47" t="s">
        <v>4675</v>
      </c>
      <c r="AB255" s="47" t="s">
        <v>4675</v>
      </c>
      <c r="AC255" s="5" t="s">
        <v>48</v>
      </c>
      <c r="AD255" s="5" t="s">
        <v>5632</v>
      </c>
      <c r="AE255" s="5" t="str">
        <f t="shared" ref="AE255" ca="1" si="42">IFERROR(IF(OR(AND(YEAR(Q255)=YEAR(TODAY()),MONTH(Q255)&gt;MONTH(TODAY())),(YEAR(Q255)&gt;YEAR(TODAY()))),$AK$4,IF(AND(YEAR(Q255)=YEAR(TODAY()),MONTH(Q255)=MONTH(TODAY())),$AK$5,IF(Q255="",$AK$6,$AK$7))),"-")</f>
        <v>NO PRAZO</v>
      </c>
      <c r="AF255" s="51"/>
    </row>
    <row r="256" spans="1:32" ht="30" customHeight="1" x14ac:dyDescent="0.25">
      <c r="A256" s="5" t="s">
        <v>322</v>
      </c>
      <c r="B256" s="7" t="s">
        <v>10</v>
      </c>
      <c r="C256" s="5" t="s">
        <v>5862</v>
      </c>
      <c r="D256" s="7" t="s">
        <v>255</v>
      </c>
      <c r="E256" s="7" t="s">
        <v>256</v>
      </c>
      <c r="F256" s="7" t="s">
        <v>257</v>
      </c>
      <c r="G256" s="7" t="s">
        <v>258</v>
      </c>
      <c r="H256" s="7" t="s">
        <v>259</v>
      </c>
      <c r="I256" s="5" t="s">
        <v>260</v>
      </c>
      <c r="J256" s="5" t="s">
        <v>3732</v>
      </c>
      <c r="K256" s="5" t="s">
        <v>45</v>
      </c>
      <c r="L256" s="5" t="s">
        <v>10</v>
      </c>
      <c r="M256" s="5" t="s">
        <v>10</v>
      </c>
      <c r="N256" s="5" t="s">
        <v>10</v>
      </c>
      <c r="O256" s="46" t="s">
        <v>46</v>
      </c>
      <c r="P256" s="101">
        <v>46155</v>
      </c>
      <c r="Q256" s="100">
        <f t="shared" si="39"/>
        <v>46339</v>
      </c>
      <c r="R256" s="7" t="s">
        <v>3991</v>
      </c>
      <c r="S256" s="7" t="s">
        <v>5465</v>
      </c>
      <c r="T256" s="7">
        <v>3.2000000000000001E-2</v>
      </c>
      <c r="U256" s="5" t="s">
        <v>10</v>
      </c>
      <c r="V256" s="7">
        <f t="shared" si="30"/>
        <v>3.2000000000000001E-2</v>
      </c>
      <c r="W256" s="5">
        <v>0.05</v>
      </c>
      <c r="X256" s="5" t="s">
        <v>261</v>
      </c>
      <c r="Y256" s="7" t="s">
        <v>56</v>
      </c>
      <c r="Z256" s="48" t="str">
        <f t="shared" si="31"/>
        <v>APROVADO</v>
      </c>
      <c r="AA256" s="47">
        <v>11599896</v>
      </c>
      <c r="AB256" s="5" t="s">
        <v>2840</v>
      </c>
      <c r="AC256" s="5" t="s">
        <v>48</v>
      </c>
      <c r="AD256" s="5" t="s">
        <v>5530</v>
      </c>
      <c r="AE256" s="5" t="str">
        <f t="shared" ca="1" si="33"/>
        <v>NO PRAZO</v>
      </c>
      <c r="AF256" s="51"/>
    </row>
    <row r="257" spans="1:32" ht="30" customHeight="1" x14ac:dyDescent="0.25">
      <c r="A257" s="9" t="s">
        <v>401</v>
      </c>
      <c r="B257" s="5" t="s">
        <v>10</v>
      </c>
      <c r="C257" s="5" t="s">
        <v>5862</v>
      </c>
      <c r="D257" s="61" t="s">
        <v>394</v>
      </c>
      <c r="E257" s="7" t="s">
        <v>40</v>
      </c>
      <c r="F257" s="7" t="s">
        <v>354</v>
      </c>
      <c r="G257" s="61" t="s">
        <v>355</v>
      </c>
      <c r="H257" s="61" t="s">
        <v>376</v>
      </c>
      <c r="I257" s="9" t="s">
        <v>5195</v>
      </c>
      <c r="J257" s="9" t="s">
        <v>5195</v>
      </c>
      <c r="K257" s="5" t="s">
        <v>45</v>
      </c>
      <c r="L257" s="5" t="s">
        <v>10</v>
      </c>
      <c r="M257" s="5" t="s">
        <v>10</v>
      </c>
      <c r="N257" s="5" t="s">
        <v>10</v>
      </c>
      <c r="O257" s="46" t="s">
        <v>46</v>
      </c>
      <c r="P257" s="99">
        <v>46102</v>
      </c>
      <c r="Q257" s="100">
        <f t="shared" si="39"/>
        <v>46286</v>
      </c>
      <c r="R257" s="63" t="s">
        <v>3442</v>
      </c>
      <c r="S257" s="63" t="s">
        <v>5079</v>
      </c>
      <c r="T257" s="7">
        <v>0.18</v>
      </c>
      <c r="U257" s="5">
        <v>52.5</v>
      </c>
      <c r="V257" s="7">
        <f t="shared" si="30"/>
        <v>0.34285714285714286</v>
      </c>
      <c r="W257" s="5">
        <v>0.5</v>
      </c>
      <c r="X257" s="5" t="s">
        <v>3074</v>
      </c>
      <c r="Y257" s="7" t="s">
        <v>56</v>
      </c>
      <c r="Z257" s="48" t="str">
        <f t="shared" si="31"/>
        <v>APROVADO</v>
      </c>
      <c r="AA257" s="47">
        <v>11603059</v>
      </c>
      <c r="AB257" s="5" t="s">
        <v>2619</v>
      </c>
      <c r="AC257" s="5" t="s">
        <v>48</v>
      </c>
      <c r="AD257" s="5" t="s">
        <v>5530</v>
      </c>
      <c r="AE257" s="5" t="str">
        <f t="shared" ca="1" si="33"/>
        <v>NO PRAZO</v>
      </c>
      <c r="AF257" s="49"/>
    </row>
    <row r="258" spans="1:32" ht="30" customHeight="1" x14ac:dyDescent="0.25">
      <c r="A258" s="7" t="s">
        <v>323</v>
      </c>
      <c r="B258" s="7" t="s">
        <v>10</v>
      </c>
      <c r="C258" s="5" t="s">
        <v>5862</v>
      </c>
      <c r="D258" s="7" t="s">
        <v>255</v>
      </c>
      <c r="E258" s="7" t="s">
        <v>256</v>
      </c>
      <c r="F258" s="7" t="s">
        <v>257</v>
      </c>
      <c r="G258" s="7" t="s">
        <v>264</v>
      </c>
      <c r="H258" s="7" t="s">
        <v>255</v>
      </c>
      <c r="I258" s="5" t="s">
        <v>260</v>
      </c>
      <c r="J258" s="5" t="s">
        <v>3732</v>
      </c>
      <c r="K258" s="5" t="s">
        <v>45</v>
      </c>
      <c r="L258" s="5" t="s">
        <v>10</v>
      </c>
      <c r="M258" s="5" t="s">
        <v>10</v>
      </c>
      <c r="N258" s="5" t="s">
        <v>10</v>
      </c>
      <c r="O258" s="46" t="s">
        <v>46</v>
      </c>
      <c r="P258" s="101">
        <v>46198</v>
      </c>
      <c r="Q258" s="100">
        <f>IF(P258="","",P258+182)</f>
        <v>46380</v>
      </c>
      <c r="R258" s="5" t="s">
        <v>4350</v>
      </c>
      <c r="S258" s="5" t="s">
        <v>5718</v>
      </c>
      <c r="T258" s="7">
        <v>4.1000000000000002E-2</v>
      </c>
      <c r="U258" s="5" t="s">
        <v>10</v>
      </c>
      <c r="V258" s="7">
        <f t="shared" si="30"/>
        <v>4.1000000000000002E-2</v>
      </c>
      <c r="W258" s="5">
        <v>0.05</v>
      </c>
      <c r="X258" s="5" t="s">
        <v>261</v>
      </c>
      <c r="Y258" s="7" t="s">
        <v>56</v>
      </c>
      <c r="Z258" s="48" t="str">
        <f t="shared" si="31"/>
        <v>APROVADO</v>
      </c>
      <c r="AA258" s="47">
        <v>11586884</v>
      </c>
      <c r="AB258" s="5" t="s">
        <v>2913</v>
      </c>
      <c r="AC258" s="5" t="s">
        <v>48</v>
      </c>
      <c r="AD258" s="5" t="s">
        <v>5530</v>
      </c>
      <c r="AE258" s="5" t="str">
        <f t="shared" ca="1" si="33"/>
        <v>NO PRAZO</v>
      </c>
      <c r="AF258" s="51"/>
    </row>
    <row r="259" spans="1:32" ht="30" customHeight="1" x14ac:dyDescent="0.25">
      <c r="A259" s="7" t="s">
        <v>324</v>
      </c>
      <c r="B259" s="7" t="s">
        <v>10</v>
      </c>
      <c r="C259" s="5" t="s">
        <v>5862</v>
      </c>
      <c r="D259" s="7" t="s">
        <v>255</v>
      </c>
      <c r="E259" s="7" t="s">
        <v>256</v>
      </c>
      <c r="F259" s="7" t="s">
        <v>257</v>
      </c>
      <c r="G259" s="7" t="s">
        <v>264</v>
      </c>
      <c r="H259" s="7" t="s">
        <v>255</v>
      </c>
      <c r="I259" s="5" t="s">
        <v>260</v>
      </c>
      <c r="J259" s="5" t="s">
        <v>3732</v>
      </c>
      <c r="K259" s="5" t="s">
        <v>45</v>
      </c>
      <c r="L259" s="5" t="s">
        <v>10</v>
      </c>
      <c r="M259" s="5" t="s">
        <v>10</v>
      </c>
      <c r="N259" s="5" t="s">
        <v>10</v>
      </c>
      <c r="O259" s="46" t="s">
        <v>46</v>
      </c>
      <c r="P259" s="100">
        <v>46213</v>
      </c>
      <c r="Q259" s="100">
        <f>IF(P259="","",P259+184)</f>
        <v>46397</v>
      </c>
      <c r="R259" s="5" t="s">
        <v>4410</v>
      </c>
      <c r="S259" s="5" t="s">
        <v>5828</v>
      </c>
      <c r="T259" s="7">
        <v>3.2000000000000001E-2</v>
      </c>
      <c r="U259" s="5" t="s">
        <v>10</v>
      </c>
      <c r="V259" s="7">
        <f t="shared" si="30"/>
        <v>3.2000000000000001E-2</v>
      </c>
      <c r="W259" s="5">
        <v>0.05</v>
      </c>
      <c r="X259" s="5" t="s">
        <v>261</v>
      </c>
      <c r="Y259" s="7" t="s">
        <v>56</v>
      </c>
      <c r="Z259" s="48" t="str">
        <f t="shared" si="31"/>
        <v>APROVADO</v>
      </c>
      <c r="AA259" s="47">
        <v>11602472</v>
      </c>
      <c r="AB259" s="5" t="s">
        <v>3004</v>
      </c>
      <c r="AC259" s="5" t="s">
        <v>48</v>
      </c>
      <c r="AD259" s="5" t="s">
        <v>5632</v>
      </c>
      <c r="AE259" s="5" t="str">
        <f t="shared" ca="1" si="33"/>
        <v>NO PRAZO</v>
      </c>
      <c r="AF259" s="49"/>
    </row>
    <row r="260" spans="1:32" ht="30" customHeight="1" x14ac:dyDescent="0.25">
      <c r="A260" s="7" t="s">
        <v>325</v>
      </c>
      <c r="B260" s="7" t="s">
        <v>10</v>
      </c>
      <c r="C260" s="5" t="s">
        <v>5862</v>
      </c>
      <c r="D260" s="7" t="s">
        <v>255</v>
      </c>
      <c r="E260" s="7" t="s">
        <v>256</v>
      </c>
      <c r="F260" s="7" t="s">
        <v>257</v>
      </c>
      <c r="G260" s="7" t="s">
        <v>264</v>
      </c>
      <c r="H260" s="7" t="s">
        <v>255</v>
      </c>
      <c r="I260" s="5" t="s">
        <v>260</v>
      </c>
      <c r="J260" s="5" t="s">
        <v>3732</v>
      </c>
      <c r="K260" s="5" t="s">
        <v>45</v>
      </c>
      <c r="L260" s="5" t="s">
        <v>10</v>
      </c>
      <c r="M260" s="5" t="s">
        <v>10</v>
      </c>
      <c r="N260" s="5" t="s">
        <v>10</v>
      </c>
      <c r="O260" s="46" t="s">
        <v>46</v>
      </c>
      <c r="P260" s="100">
        <v>46213</v>
      </c>
      <c r="Q260" s="100">
        <f>IF(P260="","",P260+184)</f>
        <v>46397</v>
      </c>
      <c r="R260" s="5" t="s">
        <v>4415</v>
      </c>
      <c r="S260" s="5" t="s">
        <v>5829</v>
      </c>
      <c r="T260" s="7">
        <v>4.1000000000000002E-2</v>
      </c>
      <c r="U260" s="5" t="s">
        <v>10</v>
      </c>
      <c r="V260" s="7">
        <f t="shared" si="30"/>
        <v>4.1000000000000002E-2</v>
      </c>
      <c r="W260" s="5">
        <v>0.05</v>
      </c>
      <c r="X260" s="5" t="s">
        <v>261</v>
      </c>
      <c r="Y260" s="7" t="s">
        <v>56</v>
      </c>
      <c r="Z260" s="48" t="str">
        <f t="shared" si="31"/>
        <v>APROVADO</v>
      </c>
      <c r="AA260" s="47">
        <v>11602473</v>
      </c>
      <c r="AB260" s="5" t="s">
        <v>3005</v>
      </c>
      <c r="AC260" s="5" t="s">
        <v>48</v>
      </c>
      <c r="AD260" s="5" t="s">
        <v>5632</v>
      </c>
      <c r="AE260" s="5" t="str">
        <f t="shared" ca="1" si="33"/>
        <v>NO PRAZO</v>
      </c>
      <c r="AF260" s="49"/>
    </row>
    <row r="261" spans="1:32" ht="30" customHeight="1" x14ac:dyDescent="0.25">
      <c r="A261" s="7" t="s">
        <v>2699</v>
      </c>
      <c r="B261" s="7" t="s">
        <v>10</v>
      </c>
      <c r="C261" s="5" t="s">
        <v>5862</v>
      </c>
      <c r="D261" s="7" t="s">
        <v>255</v>
      </c>
      <c r="E261" s="7" t="s">
        <v>256</v>
      </c>
      <c r="F261" s="7" t="s">
        <v>317</v>
      </c>
      <c r="G261" s="7" t="s">
        <v>264</v>
      </c>
      <c r="H261" s="7" t="s">
        <v>255</v>
      </c>
      <c r="I261" s="5" t="s">
        <v>260</v>
      </c>
      <c r="J261" s="5" t="s">
        <v>3732</v>
      </c>
      <c r="K261" s="5" t="s">
        <v>45</v>
      </c>
      <c r="L261" s="5" t="s">
        <v>10</v>
      </c>
      <c r="M261" s="5" t="s">
        <v>10</v>
      </c>
      <c r="N261" s="5" t="s">
        <v>10</v>
      </c>
      <c r="O261" s="46" t="s">
        <v>46</v>
      </c>
      <c r="P261" s="101">
        <v>46203</v>
      </c>
      <c r="Q261" s="100">
        <f>IF(P261="","",P261+183)</f>
        <v>46386</v>
      </c>
      <c r="R261" s="5" t="s">
        <v>4351</v>
      </c>
      <c r="S261" s="5" t="s">
        <v>5719</v>
      </c>
      <c r="T261" s="7">
        <v>2.1999999999999999E-2</v>
      </c>
      <c r="U261" s="5" t="s">
        <v>10</v>
      </c>
      <c r="V261" s="7">
        <f t="shared" si="30"/>
        <v>2.1999999999999999E-2</v>
      </c>
      <c r="W261" s="5">
        <v>0.05</v>
      </c>
      <c r="X261" s="5" t="s">
        <v>261</v>
      </c>
      <c r="Y261" s="7" t="s">
        <v>56</v>
      </c>
      <c r="Z261" s="48" t="str">
        <f t="shared" si="31"/>
        <v>APROVADO</v>
      </c>
      <c r="AA261" s="47">
        <v>11606574</v>
      </c>
      <c r="AB261" s="5" t="s">
        <v>4016</v>
      </c>
      <c r="AC261" s="5" t="s">
        <v>48</v>
      </c>
      <c r="AD261" s="5" t="s">
        <v>5632</v>
      </c>
      <c r="AE261" s="5" t="str">
        <f t="shared" ref="AE261:AE295" ca="1" si="43">IFERROR(IF(OR(AND(YEAR(Q261)=YEAR(TODAY()),MONTH(Q261)&gt;MONTH(TODAY())),(YEAR(Q261)&gt;YEAR(TODAY()))),$AK$4,IF(AND(YEAR(Q261)=YEAR(TODAY()),MONTH(Q261)=MONTH(TODAY())),$AK$5,IF(Q261="",$AK$6,$AK$7))),"-")</f>
        <v>NO PRAZO</v>
      </c>
      <c r="AF261" s="51"/>
    </row>
    <row r="262" spans="1:32" ht="30" customHeight="1" x14ac:dyDescent="0.25">
      <c r="A262" s="7" t="s">
        <v>326</v>
      </c>
      <c r="B262" s="7" t="s">
        <v>10</v>
      </c>
      <c r="C262" s="5" t="s">
        <v>5862</v>
      </c>
      <c r="D262" s="7" t="s">
        <v>255</v>
      </c>
      <c r="E262" s="7" t="s">
        <v>256</v>
      </c>
      <c r="F262" s="7" t="s">
        <v>257</v>
      </c>
      <c r="G262" s="7" t="s">
        <v>264</v>
      </c>
      <c r="H262" s="7" t="s">
        <v>255</v>
      </c>
      <c r="I262" s="5" t="s">
        <v>260</v>
      </c>
      <c r="J262" s="5" t="s">
        <v>3732</v>
      </c>
      <c r="K262" s="5" t="s">
        <v>45</v>
      </c>
      <c r="L262" s="5" t="s">
        <v>10</v>
      </c>
      <c r="M262" s="5" t="s">
        <v>10</v>
      </c>
      <c r="N262" s="5" t="s">
        <v>10</v>
      </c>
      <c r="O262" s="46" t="s">
        <v>46</v>
      </c>
      <c r="P262" s="100">
        <v>46213</v>
      </c>
      <c r="Q262" s="100">
        <f>IF(P262="","",P262+184)</f>
        <v>46397</v>
      </c>
      <c r="R262" s="5" t="s">
        <v>4416</v>
      </c>
      <c r="S262" s="5" t="s">
        <v>5830</v>
      </c>
      <c r="T262" s="7">
        <v>3.2000000000000001E-2</v>
      </c>
      <c r="U262" s="5" t="s">
        <v>10</v>
      </c>
      <c r="V262" s="7">
        <f t="shared" si="30"/>
        <v>3.2000000000000001E-2</v>
      </c>
      <c r="W262" s="5">
        <v>0.05</v>
      </c>
      <c r="X262" s="5" t="s">
        <v>261</v>
      </c>
      <c r="Y262" s="7" t="s">
        <v>56</v>
      </c>
      <c r="Z262" s="48" t="str">
        <f t="shared" si="31"/>
        <v>APROVADO</v>
      </c>
      <c r="AA262" s="47">
        <v>11602474</v>
      </c>
      <c r="AB262" s="5" t="s">
        <v>3006</v>
      </c>
      <c r="AC262" s="5" t="s">
        <v>48</v>
      </c>
      <c r="AD262" s="5" t="s">
        <v>5632</v>
      </c>
      <c r="AE262" s="5" t="str">
        <f t="shared" ca="1" si="43"/>
        <v>NO PRAZO</v>
      </c>
      <c r="AF262" s="49"/>
    </row>
    <row r="263" spans="1:32" ht="30" customHeight="1" x14ac:dyDescent="0.25">
      <c r="A263" s="7" t="s">
        <v>335</v>
      </c>
      <c r="B263" s="7" t="s">
        <v>10</v>
      </c>
      <c r="C263" s="5" t="s">
        <v>5862</v>
      </c>
      <c r="D263" s="7" t="s">
        <v>255</v>
      </c>
      <c r="E263" s="7" t="s">
        <v>256</v>
      </c>
      <c r="F263" s="7" t="s">
        <v>312</v>
      </c>
      <c r="G263" s="7" t="s">
        <v>264</v>
      </c>
      <c r="H263" s="7" t="s">
        <v>255</v>
      </c>
      <c r="I263" s="7" t="s">
        <v>260</v>
      </c>
      <c r="J263" s="7" t="s">
        <v>3733</v>
      </c>
      <c r="K263" s="5" t="s">
        <v>45</v>
      </c>
      <c r="L263" s="5" t="s">
        <v>10</v>
      </c>
      <c r="M263" s="5" t="s">
        <v>10</v>
      </c>
      <c r="N263" s="5" t="s">
        <v>10</v>
      </c>
      <c r="O263" s="46" t="s">
        <v>46</v>
      </c>
      <c r="P263" s="100">
        <v>46205</v>
      </c>
      <c r="Q263" s="100">
        <f>IF(P263="","",P263+184)</f>
        <v>46389</v>
      </c>
      <c r="R263" s="5" t="s">
        <v>4554</v>
      </c>
      <c r="S263" s="5" t="s">
        <v>5751</v>
      </c>
      <c r="T263" s="7">
        <v>3.2000000000000001E-2</v>
      </c>
      <c r="U263" s="5" t="s">
        <v>10</v>
      </c>
      <c r="V263" s="7">
        <f t="shared" si="30"/>
        <v>3.2000000000000001E-2</v>
      </c>
      <c r="W263" s="5">
        <v>0.05</v>
      </c>
      <c r="X263" s="5" t="s">
        <v>261</v>
      </c>
      <c r="Y263" s="7" t="s">
        <v>56</v>
      </c>
      <c r="Z263" s="48" t="str">
        <f t="shared" si="31"/>
        <v>APROVADO</v>
      </c>
      <c r="AA263" s="47">
        <v>11602427</v>
      </c>
      <c r="AB263" s="5" t="s">
        <v>2915</v>
      </c>
      <c r="AC263" s="5" t="s">
        <v>48</v>
      </c>
      <c r="AD263" s="5" t="s">
        <v>5632</v>
      </c>
      <c r="AE263" s="5" t="str">
        <f t="shared" ca="1" si="43"/>
        <v>NO PRAZO</v>
      </c>
      <c r="AF263" s="51"/>
    </row>
    <row r="264" spans="1:32" ht="30" customHeight="1" x14ac:dyDescent="0.25">
      <c r="A264" s="9" t="s">
        <v>440</v>
      </c>
      <c r="B264" s="5" t="s">
        <v>10</v>
      </c>
      <c r="C264" s="5" t="s">
        <v>5862</v>
      </c>
      <c r="D264" s="61" t="s">
        <v>255</v>
      </c>
      <c r="E264" s="7" t="s">
        <v>256</v>
      </c>
      <c r="F264" s="7" t="s">
        <v>649</v>
      </c>
      <c r="G264" s="7" t="s">
        <v>264</v>
      </c>
      <c r="H264" s="7" t="s">
        <v>255</v>
      </c>
      <c r="I264" s="5" t="s">
        <v>260</v>
      </c>
      <c r="J264" s="5" t="s">
        <v>3732</v>
      </c>
      <c r="K264" s="5" t="s">
        <v>45</v>
      </c>
      <c r="L264" s="5" t="s">
        <v>10</v>
      </c>
      <c r="M264" s="5" t="s">
        <v>10</v>
      </c>
      <c r="N264" s="5" t="s">
        <v>10</v>
      </c>
      <c r="O264" s="46" t="s">
        <v>46</v>
      </c>
      <c r="P264" s="101">
        <v>46153</v>
      </c>
      <c r="Q264" s="100">
        <f>IF(P264="","",P264+184)</f>
        <v>46337</v>
      </c>
      <c r="R264" s="63" t="s">
        <v>3990</v>
      </c>
      <c r="S264" s="63" t="s">
        <v>5376</v>
      </c>
      <c r="T264" s="7">
        <v>3.1E-2</v>
      </c>
      <c r="U264" s="5" t="s">
        <v>10</v>
      </c>
      <c r="V264" s="7">
        <f t="shared" si="30"/>
        <v>3.1E-2</v>
      </c>
      <c r="W264" s="5">
        <v>0.05</v>
      </c>
      <c r="X264" s="5" t="s">
        <v>261</v>
      </c>
      <c r="Y264" s="7" t="s">
        <v>56</v>
      </c>
      <c r="Z264" s="48" t="str">
        <f t="shared" si="31"/>
        <v>APROVADO</v>
      </c>
      <c r="AA264" s="47">
        <v>11586825</v>
      </c>
      <c r="AB264" s="5" t="s">
        <v>2774</v>
      </c>
      <c r="AC264" s="5" t="s">
        <v>48</v>
      </c>
      <c r="AD264" s="5" t="s">
        <v>5530</v>
      </c>
      <c r="AE264" s="5" t="str">
        <f t="shared" ca="1" si="43"/>
        <v>NO PRAZO</v>
      </c>
      <c r="AF264" s="51"/>
    </row>
    <row r="265" spans="1:32" ht="30" customHeight="1" x14ac:dyDescent="0.25">
      <c r="A265" s="8" t="s">
        <v>248</v>
      </c>
      <c r="B265" s="8" t="s">
        <v>10</v>
      </c>
      <c r="C265" s="5" t="s">
        <v>5862</v>
      </c>
      <c r="D265" s="7" t="s">
        <v>249</v>
      </c>
      <c r="E265" s="7" t="s">
        <v>50</v>
      </c>
      <c r="F265" s="7" t="s">
        <v>230</v>
      </c>
      <c r="G265" s="7" t="s">
        <v>250</v>
      </c>
      <c r="H265" s="7" t="s">
        <v>250</v>
      </c>
      <c r="I265" s="7" t="s">
        <v>251</v>
      </c>
      <c r="J265" s="7" t="s">
        <v>252</v>
      </c>
      <c r="K265" s="5" t="s">
        <v>45</v>
      </c>
      <c r="L265" s="5" t="s">
        <v>10</v>
      </c>
      <c r="M265" s="5" t="s">
        <v>10</v>
      </c>
      <c r="N265" s="5" t="s">
        <v>10</v>
      </c>
      <c r="O265" s="46" t="s">
        <v>46</v>
      </c>
      <c r="P265" s="100">
        <v>46078</v>
      </c>
      <c r="Q265" s="100">
        <f>IF(P265="","",P265+181)</f>
        <v>46259</v>
      </c>
      <c r="R265" s="5" t="s">
        <v>3436</v>
      </c>
      <c r="S265" s="5" t="s">
        <v>4942</v>
      </c>
      <c r="T265" s="7">
        <v>0.75</v>
      </c>
      <c r="U265" s="5" t="s">
        <v>10</v>
      </c>
      <c r="V265" s="7">
        <f t="shared" si="30"/>
        <v>0.75</v>
      </c>
      <c r="W265" s="5">
        <v>30</v>
      </c>
      <c r="X265" s="5" t="s">
        <v>253</v>
      </c>
      <c r="Y265" s="7" t="s">
        <v>56</v>
      </c>
      <c r="Z265" s="48" t="str">
        <f t="shared" si="31"/>
        <v>APROVADO</v>
      </c>
      <c r="AA265" s="47">
        <v>11603007</v>
      </c>
      <c r="AB265" s="5" t="s">
        <v>2497</v>
      </c>
      <c r="AC265" s="5" t="s">
        <v>48</v>
      </c>
      <c r="AD265" s="5" t="s">
        <v>5530</v>
      </c>
      <c r="AE265" s="5" t="str">
        <f t="shared" ca="1" si="43"/>
        <v>CALIBRAR</v>
      </c>
      <c r="AF265" s="49"/>
    </row>
    <row r="266" spans="1:32" ht="30" customHeight="1" x14ac:dyDescent="0.25">
      <c r="A266" s="7" t="s">
        <v>5466</v>
      </c>
      <c r="B266" s="7" t="s">
        <v>10</v>
      </c>
      <c r="C266" s="5" t="s">
        <v>5862</v>
      </c>
      <c r="D266" s="7" t="s">
        <v>249</v>
      </c>
      <c r="E266" s="7" t="s">
        <v>50</v>
      </c>
      <c r="F266" s="7" t="s">
        <v>596</v>
      </c>
      <c r="G266" s="7" t="s">
        <v>250</v>
      </c>
      <c r="H266" s="7" t="s">
        <v>250</v>
      </c>
      <c r="I266" s="7" t="s">
        <v>251</v>
      </c>
      <c r="J266" s="7" t="s">
        <v>252</v>
      </c>
      <c r="K266" s="5" t="s">
        <v>45</v>
      </c>
      <c r="L266" s="5" t="s">
        <v>10</v>
      </c>
      <c r="M266" s="5" t="s">
        <v>10</v>
      </c>
      <c r="N266" s="5" t="s">
        <v>10</v>
      </c>
      <c r="O266" s="46" t="s">
        <v>46</v>
      </c>
      <c r="P266" s="100">
        <v>46154</v>
      </c>
      <c r="Q266" s="100">
        <f>IF(P266="","",P266+184)</f>
        <v>46338</v>
      </c>
      <c r="R266" s="5" t="s">
        <v>273</v>
      </c>
      <c r="S266" s="5" t="s">
        <v>5467</v>
      </c>
      <c r="T266" s="7">
        <v>1.8</v>
      </c>
      <c r="U266" s="5"/>
      <c r="V266" s="7">
        <f t="shared" si="30"/>
        <v>1.8</v>
      </c>
      <c r="W266" s="5">
        <v>30</v>
      </c>
      <c r="X266" s="5" t="s">
        <v>253</v>
      </c>
      <c r="Y266" s="7" t="s">
        <v>56</v>
      </c>
      <c r="Z266" s="48" t="str">
        <f t="shared" si="31"/>
        <v>APROVADO</v>
      </c>
      <c r="AA266" s="47" t="s">
        <v>4675</v>
      </c>
      <c r="AB266" s="5" t="s">
        <v>4675</v>
      </c>
      <c r="AC266" s="5" t="s">
        <v>48</v>
      </c>
      <c r="AD266" s="5" t="s">
        <v>5530</v>
      </c>
      <c r="AE266" s="5" t="str">
        <f t="shared" ca="1" si="43"/>
        <v>NO PRAZO</v>
      </c>
      <c r="AF266" s="51"/>
    </row>
    <row r="267" spans="1:32" ht="30" customHeight="1" x14ac:dyDescent="0.25">
      <c r="A267" s="7" t="s">
        <v>3499</v>
      </c>
      <c r="B267" s="7" t="s">
        <v>10</v>
      </c>
      <c r="C267" s="5" t="s">
        <v>5862</v>
      </c>
      <c r="D267" s="7" t="s">
        <v>249</v>
      </c>
      <c r="E267" s="7" t="s">
        <v>50</v>
      </c>
      <c r="F267" s="7" t="s">
        <v>596</v>
      </c>
      <c r="G267" s="7" t="s">
        <v>250</v>
      </c>
      <c r="H267" s="7" t="s">
        <v>250</v>
      </c>
      <c r="I267" s="7" t="s">
        <v>251</v>
      </c>
      <c r="J267" s="7" t="s">
        <v>252</v>
      </c>
      <c r="K267" s="5" t="s">
        <v>45</v>
      </c>
      <c r="L267" s="5" t="s">
        <v>10</v>
      </c>
      <c r="M267" s="5" t="s">
        <v>10</v>
      </c>
      <c r="N267" s="5" t="s">
        <v>10</v>
      </c>
      <c r="O267" s="46" t="s">
        <v>46</v>
      </c>
      <c r="P267" s="100">
        <v>46135</v>
      </c>
      <c r="Q267" s="100">
        <f>IF(P267="","",P267+183)</f>
        <v>46318</v>
      </c>
      <c r="R267" s="5" t="s">
        <v>3500</v>
      </c>
      <c r="S267" s="5" t="s">
        <v>5332</v>
      </c>
      <c r="T267" s="7">
        <v>0.62</v>
      </c>
      <c r="U267" s="5"/>
      <c r="V267" s="7">
        <f t="shared" si="30"/>
        <v>0.62</v>
      </c>
      <c r="W267" s="5">
        <v>30</v>
      </c>
      <c r="X267" s="5" t="s">
        <v>253</v>
      </c>
      <c r="Y267" s="7" t="s">
        <v>56</v>
      </c>
      <c r="Z267" s="48" t="str">
        <f t="shared" si="31"/>
        <v>APROVADO</v>
      </c>
      <c r="AA267" s="47">
        <v>11606575</v>
      </c>
      <c r="AB267" s="5" t="s">
        <v>4017</v>
      </c>
      <c r="AC267" s="5" t="s">
        <v>48</v>
      </c>
      <c r="AD267" s="5" t="s">
        <v>5530</v>
      </c>
      <c r="AE267" s="5" t="str">
        <f t="shared" ca="1" si="43"/>
        <v>NO PRAZO</v>
      </c>
      <c r="AF267" s="51"/>
    </row>
    <row r="268" spans="1:32" ht="30" customHeight="1" x14ac:dyDescent="0.25">
      <c r="A268" s="7" t="s">
        <v>336</v>
      </c>
      <c r="B268" s="7" t="s">
        <v>10</v>
      </c>
      <c r="C268" s="5" t="s">
        <v>5862</v>
      </c>
      <c r="D268" s="7" t="s">
        <v>249</v>
      </c>
      <c r="E268" s="7" t="s">
        <v>50</v>
      </c>
      <c r="F268" s="7" t="s">
        <v>221</v>
      </c>
      <c r="G268" s="7" t="s">
        <v>250</v>
      </c>
      <c r="H268" s="7" t="s">
        <v>250</v>
      </c>
      <c r="I268" s="7" t="s">
        <v>251</v>
      </c>
      <c r="J268" s="7" t="s">
        <v>252</v>
      </c>
      <c r="K268" s="5" t="s">
        <v>45</v>
      </c>
      <c r="L268" s="5" t="s">
        <v>10</v>
      </c>
      <c r="M268" s="5" t="s">
        <v>10</v>
      </c>
      <c r="N268" s="5" t="s">
        <v>10</v>
      </c>
      <c r="O268" s="46" t="s">
        <v>46</v>
      </c>
      <c r="P268" s="100">
        <v>46131</v>
      </c>
      <c r="Q268" s="100">
        <f>IF(P268="","",P268+183)</f>
        <v>46314</v>
      </c>
      <c r="R268" s="5" t="s">
        <v>3498</v>
      </c>
      <c r="S268" s="5" t="s">
        <v>5319</v>
      </c>
      <c r="T268" s="7">
        <v>0.68</v>
      </c>
      <c r="U268" s="5" t="s">
        <v>10</v>
      </c>
      <c r="V268" s="7">
        <f t="shared" si="30"/>
        <v>0.68</v>
      </c>
      <c r="W268" s="5">
        <v>30</v>
      </c>
      <c r="X268" s="5" t="s">
        <v>253</v>
      </c>
      <c r="Y268" s="7" t="s">
        <v>56</v>
      </c>
      <c r="Z268" s="48" t="str">
        <f t="shared" si="31"/>
        <v>APROVADO</v>
      </c>
      <c r="AA268" s="47">
        <v>11603008</v>
      </c>
      <c r="AB268" s="5" t="s">
        <v>2914</v>
      </c>
      <c r="AC268" s="5" t="s">
        <v>48</v>
      </c>
      <c r="AD268" s="5" t="s">
        <v>5530</v>
      </c>
      <c r="AE268" s="5" t="str">
        <f t="shared" ca="1" si="43"/>
        <v>NO PRAZO</v>
      </c>
      <c r="AF268" s="51"/>
    </row>
    <row r="269" spans="1:32" ht="30" customHeight="1" x14ac:dyDescent="0.25">
      <c r="A269" s="6" t="s">
        <v>5057</v>
      </c>
      <c r="B269" s="6">
        <v>4733</v>
      </c>
      <c r="C269" s="5" t="s">
        <v>5862</v>
      </c>
      <c r="D269" s="7" t="s">
        <v>255</v>
      </c>
      <c r="E269" s="7" t="s">
        <v>256</v>
      </c>
      <c r="F269" s="7" t="s">
        <v>263</v>
      </c>
      <c r="G269" s="7" t="s">
        <v>258</v>
      </c>
      <c r="H269" s="61" t="s">
        <v>277</v>
      </c>
      <c r="I269" s="62" t="s">
        <v>260</v>
      </c>
      <c r="J269" s="7" t="s">
        <v>3733</v>
      </c>
      <c r="K269" s="5" t="s">
        <v>45</v>
      </c>
      <c r="L269" s="5" t="s">
        <v>10</v>
      </c>
      <c r="M269" s="5" t="s">
        <v>10</v>
      </c>
      <c r="N269" s="5" t="s">
        <v>10</v>
      </c>
      <c r="O269" s="46" t="s">
        <v>46</v>
      </c>
      <c r="P269" s="101">
        <v>46099</v>
      </c>
      <c r="Q269" s="100">
        <f>IF(P269="","",P269+184)</f>
        <v>46283</v>
      </c>
      <c r="R269" s="5" t="s">
        <v>3139</v>
      </c>
      <c r="S269" s="5" t="s">
        <v>5059</v>
      </c>
      <c r="T269" s="7">
        <v>4.9000000000000002E-2</v>
      </c>
      <c r="U269" s="5" t="s">
        <v>10</v>
      </c>
      <c r="V269" s="7">
        <f t="shared" si="30"/>
        <v>4.9000000000000002E-2</v>
      </c>
      <c r="W269" s="15">
        <v>0.05</v>
      </c>
      <c r="X269" s="5" t="s">
        <v>261</v>
      </c>
      <c r="Y269" s="7" t="s">
        <v>56</v>
      </c>
      <c r="Z269" s="48" t="str">
        <f t="shared" si="31"/>
        <v>APROVADO</v>
      </c>
      <c r="AA269" s="47">
        <v>11596963</v>
      </c>
      <c r="AB269" s="5" t="s">
        <v>2500</v>
      </c>
      <c r="AC269" s="5" t="s">
        <v>48</v>
      </c>
      <c r="AD269" s="5" t="s">
        <v>5530</v>
      </c>
      <c r="AE269" s="5" t="str">
        <f t="shared" ca="1" si="43"/>
        <v>NO PRAZO</v>
      </c>
      <c r="AF269" s="49"/>
    </row>
    <row r="270" spans="1:32" ht="30" customHeight="1" x14ac:dyDescent="0.25">
      <c r="A270" s="9" t="s">
        <v>3640</v>
      </c>
      <c r="B270" s="5" t="s">
        <v>10</v>
      </c>
      <c r="C270" s="5" t="s">
        <v>5862</v>
      </c>
      <c r="D270" s="7" t="s">
        <v>441</v>
      </c>
      <c r="E270" s="7" t="s">
        <v>256</v>
      </c>
      <c r="F270" s="7" t="s">
        <v>257</v>
      </c>
      <c r="G270" s="7" t="s">
        <v>441</v>
      </c>
      <c r="H270" s="61" t="s">
        <v>442</v>
      </c>
      <c r="I270" s="15" t="s">
        <v>3642</v>
      </c>
      <c r="J270" s="62" t="s">
        <v>3643</v>
      </c>
      <c r="K270" s="5" t="s">
        <v>45</v>
      </c>
      <c r="L270" s="5" t="s">
        <v>10</v>
      </c>
      <c r="M270" s="5" t="s">
        <v>10</v>
      </c>
      <c r="N270" s="5" t="s">
        <v>10</v>
      </c>
      <c r="O270" s="46" t="s">
        <v>46</v>
      </c>
      <c r="P270" s="101">
        <v>46136</v>
      </c>
      <c r="Q270" s="100">
        <f>IF(P270="","",P270+183)</f>
        <v>46319</v>
      </c>
      <c r="R270" s="63" t="s">
        <v>3644</v>
      </c>
      <c r="S270" s="63" t="s">
        <v>5346</v>
      </c>
      <c r="T270" s="7">
        <v>0.28000000000000003</v>
      </c>
      <c r="U270" s="5"/>
      <c r="V270" s="7">
        <f t="shared" si="30"/>
        <v>0.28000000000000003</v>
      </c>
      <c r="W270" s="5">
        <v>0.5</v>
      </c>
      <c r="X270" s="65" t="s">
        <v>443</v>
      </c>
      <c r="Y270" s="7" t="s">
        <v>56</v>
      </c>
      <c r="Z270" s="48" t="str">
        <f t="shared" si="31"/>
        <v>APROVADO</v>
      </c>
      <c r="AA270" s="47">
        <v>11606576</v>
      </c>
      <c r="AB270" s="5" t="s">
        <v>4018</v>
      </c>
      <c r="AC270" s="5" t="s">
        <v>48</v>
      </c>
      <c r="AD270" s="5" t="s">
        <v>5530</v>
      </c>
      <c r="AE270" s="5" t="str">
        <f t="shared" ca="1" si="43"/>
        <v>NO PRAZO</v>
      </c>
      <c r="AF270" s="51"/>
    </row>
    <row r="271" spans="1:32" ht="30" customHeight="1" x14ac:dyDescent="0.25">
      <c r="A271" s="9" t="s">
        <v>3641</v>
      </c>
      <c r="B271" s="5" t="s">
        <v>10</v>
      </c>
      <c r="C271" s="5" t="s">
        <v>5862</v>
      </c>
      <c r="D271" s="7" t="s">
        <v>441</v>
      </c>
      <c r="E271" s="7" t="s">
        <v>256</v>
      </c>
      <c r="F271" s="7" t="s">
        <v>257</v>
      </c>
      <c r="G271" s="7" t="s">
        <v>441</v>
      </c>
      <c r="H271" s="61" t="s">
        <v>442</v>
      </c>
      <c r="I271" s="15" t="s">
        <v>3642</v>
      </c>
      <c r="J271" s="62" t="s">
        <v>3643</v>
      </c>
      <c r="K271" s="5" t="s">
        <v>45</v>
      </c>
      <c r="L271" s="5" t="s">
        <v>10</v>
      </c>
      <c r="M271" s="5" t="s">
        <v>10</v>
      </c>
      <c r="N271" s="5" t="s">
        <v>10</v>
      </c>
      <c r="O271" s="46" t="s">
        <v>46</v>
      </c>
      <c r="P271" s="101">
        <v>46136</v>
      </c>
      <c r="Q271" s="100">
        <f>IF(P271="","",P271+183)</f>
        <v>46319</v>
      </c>
      <c r="R271" s="63" t="s">
        <v>3645</v>
      </c>
      <c r="S271" s="63" t="s">
        <v>5347</v>
      </c>
      <c r="T271" s="7">
        <v>0.28000000000000003</v>
      </c>
      <c r="U271" s="5"/>
      <c r="V271" s="7">
        <f t="shared" si="30"/>
        <v>0.28000000000000003</v>
      </c>
      <c r="W271" s="5">
        <v>0.5</v>
      </c>
      <c r="X271" s="65" t="s">
        <v>443</v>
      </c>
      <c r="Y271" s="7" t="s">
        <v>56</v>
      </c>
      <c r="Z271" s="48" t="str">
        <f t="shared" si="31"/>
        <v>APROVADO</v>
      </c>
      <c r="AA271" s="47">
        <v>11606577</v>
      </c>
      <c r="AB271" s="5" t="s">
        <v>4019</v>
      </c>
      <c r="AC271" s="5" t="s">
        <v>48</v>
      </c>
      <c r="AD271" s="5" t="s">
        <v>5530</v>
      </c>
      <c r="AE271" s="5" t="str">
        <f t="shared" ca="1" si="43"/>
        <v>NO PRAZO</v>
      </c>
      <c r="AF271" s="51"/>
    </row>
    <row r="272" spans="1:32" ht="30" customHeight="1" x14ac:dyDescent="0.25">
      <c r="A272" s="9" t="s">
        <v>4310</v>
      </c>
      <c r="B272" s="9">
        <v>1640983</v>
      </c>
      <c r="C272" s="5" t="s">
        <v>5862</v>
      </c>
      <c r="D272" s="7" t="s">
        <v>441</v>
      </c>
      <c r="E272" s="7" t="s">
        <v>256</v>
      </c>
      <c r="F272" s="7" t="s">
        <v>317</v>
      </c>
      <c r="G272" s="7" t="s">
        <v>441</v>
      </c>
      <c r="H272" s="61" t="s">
        <v>442</v>
      </c>
      <c r="I272" s="15" t="s">
        <v>4404</v>
      </c>
      <c r="J272" s="62" t="s">
        <v>3643</v>
      </c>
      <c r="K272" s="5" t="s">
        <v>45</v>
      </c>
      <c r="L272" s="5" t="s">
        <v>10</v>
      </c>
      <c r="M272" s="5" t="s">
        <v>10</v>
      </c>
      <c r="N272" s="5" t="s">
        <v>10</v>
      </c>
      <c r="O272" s="46" t="s">
        <v>46</v>
      </c>
      <c r="P272" s="101">
        <v>46217</v>
      </c>
      <c r="Q272" s="100">
        <f>IF(P272="","",P272+184)</f>
        <v>46401</v>
      </c>
      <c r="R272" s="63" t="s">
        <v>4308</v>
      </c>
      <c r="S272" s="63" t="s">
        <v>5900</v>
      </c>
      <c r="T272" s="7">
        <v>0.22</v>
      </c>
      <c r="U272" s="5"/>
      <c r="V272" s="7">
        <f t="shared" si="30"/>
        <v>0.22</v>
      </c>
      <c r="W272" s="5">
        <v>0.5</v>
      </c>
      <c r="X272" s="65" t="s">
        <v>443</v>
      </c>
      <c r="Y272" s="7" t="s">
        <v>56</v>
      </c>
      <c r="Z272" s="48" t="str">
        <f t="shared" si="31"/>
        <v>APROVADO</v>
      </c>
      <c r="AA272" s="47">
        <v>11604006</v>
      </c>
      <c r="AB272" s="5" t="s">
        <v>2843</v>
      </c>
      <c r="AC272" s="5" t="s">
        <v>48</v>
      </c>
      <c r="AD272" s="5" t="s">
        <v>5632</v>
      </c>
      <c r="AE272" s="5" t="str">
        <f t="shared" ca="1" si="43"/>
        <v>NO PRAZO</v>
      </c>
      <c r="AF272" s="53"/>
    </row>
    <row r="273" spans="1:32" ht="30" customHeight="1" x14ac:dyDescent="0.25">
      <c r="A273" s="5" t="s">
        <v>3754</v>
      </c>
      <c r="B273" s="5" t="s">
        <v>2028</v>
      </c>
      <c r="C273" s="5" t="s">
        <v>5862</v>
      </c>
      <c r="D273" s="7" t="s">
        <v>441</v>
      </c>
      <c r="E273" s="7" t="s">
        <v>256</v>
      </c>
      <c r="F273" s="7" t="s">
        <v>257</v>
      </c>
      <c r="G273" s="5" t="s">
        <v>441</v>
      </c>
      <c r="H273" s="7" t="s">
        <v>442</v>
      </c>
      <c r="I273" s="7" t="s">
        <v>5051</v>
      </c>
      <c r="J273" s="62" t="s">
        <v>3643</v>
      </c>
      <c r="K273" s="5" t="s">
        <v>45</v>
      </c>
      <c r="L273" s="5" t="s">
        <v>10</v>
      </c>
      <c r="M273" s="5" t="s">
        <v>10</v>
      </c>
      <c r="N273" s="5" t="s">
        <v>10</v>
      </c>
      <c r="O273" s="119" t="s">
        <v>46</v>
      </c>
      <c r="P273" s="101">
        <v>46155</v>
      </c>
      <c r="Q273" s="100">
        <f t="shared" ref="Q273:Q278" si="44">IF(P273="","",P273+184)</f>
        <v>46339</v>
      </c>
      <c r="R273" s="5" t="s">
        <v>3753</v>
      </c>
      <c r="S273" s="5" t="s">
        <v>5536</v>
      </c>
      <c r="T273" s="7">
        <v>0.23</v>
      </c>
      <c r="U273" s="5" t="s">
        <v>10</v>
      </c>
      <c r="V273" s="7">
        <f t="shared" si="30"/>
        <v>0.23</v>
      </c>
      <c r="W273" s="5">
        <v>0.5</v>
      </c>
      <c r="X273" s="65" t="s">
        <v>443</v>
      </c>
      <c r="Y273" s="7" t="s">
        <v>56</v>
      </c>
      <c r="Z273" s="48" t="str">
        <f t="shared" si="31"/>
        <v>APROVADO</v>
      </c>
      <c r="AA273" s="47">
        <v>11606032</v>
      </c>
      <c r="AB273" s="5" t="s">
        <v>3968</v>
      </c>
      <c r="AC273" s="5" t="s">
        <v>48</v>
      </c>
      <c r="AD273" s="5" t="s">
        <v>5530</v>
      </c>
      <c r="AE273" s="5" t="str">
        <f t="shared" ca="1" si="43"/>
        <v>NO PRAZO</v>
      </c>
      <c r="AF273" s="51"/>
    </row>
    <row r="274" spans="1:32" ht="30" customHeight="1" x14ac:dyDescent="0.25">
      <c r="A274" s="7" t="s">
        <v>337</v>
      </c>
      <c r="B274" s="7" t="s">
        <v>10</v>
      </c>
      <c r="C274" s="5" t="s">
        <v>5862</v>
      </c>
      <c r="D274" s="7" t="s">
        <v>249</v>
      </c>
      <c r="E274" s="7" t="s">
        <v>50</v>
      </c>
      <c r="F274" s="7" t="s">
        <v>230</v>
      </c>
      <c r="G274" s="7" t="s">
        <v>250</v>
      </c>
      <c r="H274" s="7" t="s">
        <v>250</v>
      </c>
      <c r="I274" s="7" t="s">
        <v>251</v>
      </c>
      <c r="J274" s="7" t="s">
        <v>252</v>
      </c>
      <c r="K274" s="5" t="s">
        <v>45</v>
      </c>
      <c r="L274" s="5" t="s">
        <v>10</v>
      </c>
      <c r="M274" s="5" t="s">
        <v>10</v>
      </c>
      <c r="N274" s="5" t="s">
        <v>10</v>
      </c>
      <c r="O274" s="46" t="s">
        <v>46</v>
      </c>
      <c r="P274" s="100">
        <v>46105</v>
      </c>
      <c r="Q274" s="100">
        <f t="shared" si="44"/>
        <v>46289</v>
      </c>
      <c r="R274" s="5" t="s">
        <v>3454</v>
      </c>
      <c r="S274" s="5" t="s">
        <v>5169</v>
      </c>
      <c r="T274" s="7">
        <v>0.87</v>
      </c>
      <c r="U274" s="5" t="s">
        <v>10</v>
      </c>
      <c r="V274" s="7">
        <f t="shared" ref="V274:V351" si="45">IFERROR(IF(U274&gt;0,T274*100/U274,T274),T274)</f>
        <v>0.87</v>
      </c>
      <c r="W274" s="5">
        <v>30</v>
      </c>
      <c r="X274" s="5" t="s">
        <v>253</v>
      </c>
      <c r="Y274" s="7" t="s">
        <v>56</v>
      </c>
      <c r="Z274" s="48" t="str">
        <f t="shared" ref="Z274:Z351" si="46">IFERROR(IF(W274="-",$AL$6,CHOOSE(IF(T274="",1,2),$AL$7,IF(V274&gt;W274,$AL$5,$AL$4))),"-")</f>
        <v>APROVADO</v>
      </c>
      <c r="AA274" s="47">
        <v>11542362</v>
      </c>
      <c r="AB274" s="5" t="s">
        <v>2591</v>
      </c>
      <c r="AC274" s="5" t="s">
        <v>48</v>
      </c>
      <c r="AD274" s="5" t="s">
        <v>5530</v>
      </c>
      <c r="AE274" s="5" t="str">
        <f t="shared" ca="1" si="43"/>
        <v>NO PRAZO</v>
      </c>
      <c r="AF274" s="51"/>
    </row>
    <row r="275" spans="1:32" ht="30" customHeight="1" x14ac:dyDescent="0.25">
      <c r="A275" s="5" t="s">
        <v>2046</v>
      </c>
      <c r="B275" s="5" t="s">
        <v>10</v>
      </c>
      <c r="C275" s="5" t="s">
        <v>5863</v>
      </c>
      <c r="D275" s="7" t="s">
        <v>2069</v>
      </c>
      <c r="E275" s="7" t="s">
        <v>50</v>
      </c>
      <c r="F275" s="7" t="s">
        <v>2050</v>
      </c>
      <c r="G275" s="5" t="s">
        <v>2054</v>
      </c>
      <c r="H275" s="7" t="s">
        <v>2059</v>
      </c>
      <c r="I275" s="7" t="s">
        <v>2065</v>
      </c>
      <c r="J275" s="7" t="s">
        <v>2064</v>
      </c>
      <c r="K275" s="5" t="s">
        <v>10</v>
      </c>
      <c r="L275" s="5" t="s">
        <v>10</v>
      </c>
      <c r="M275" s="5" t="s">
        <v>10</v>
      </c>
      <c r="N275" s="5" t="s">
        <v>45</v>
      </c>
      <c r="O275" s="119" t="s">
        <v>46</v>
      </c>
      <c r="P275" s="101">
        <v>46089</v>
      </c>
      <c r="Q275" s="100">
        <f t="shared" si="44"/>
        <v>46273</v>
      </c>
      <c r="R275" s="5" t="s">
        <v>3158</v>
      </c>
      <c r="S275" s="5" t="s">
        <v>5019</v>
      </c>
      <c r="T275" s="7">
        <v>0.45600000000000002</v>
      </c>
      <c r="U275" s="5" t="s">
        <v>10</v>
      </c>
      <c r="V275" s="7">
        <f t="shared" si="45"/>
        <v>0.45600000000000002</v>
      </c>
      <c r="W275" s="5">
        <v>0.5</v>
      </c>
      <c r="X275" s="5" t="s">
        <v>55</v>
      </c>
      <c r="Y275" s="7" t="s">
        <v>56</v>
      </c>
      <c r="Z275" s="48" t="str">
        <f t="shared" si="46"/>
        <v>APROVADO</v>
      </c>
      <c r="AA275" s="47">
        <v>11542181</v>
      </c>
      <c r="AB275" s="5" t="s">
        <v>3269</v>
      </c>
      <c r="AC275" s="5" t="s">
        <v>48</v>
      </c>
      <c r="AD275" s="5" t="s">
        <v>5530</v>
      </c>
      <c r="AE275" s="5" t="str">
        <f t="shared" ca="1" si="43"/>
        <v>NO PRAZO</v>
      </c>
      <c r="AF275" s="51"/>
    </row>
    <row r="276" spans="1:32" ht="30" customHeight="1" x14ac:dyDescent="0.25">
      <c r="A276" s="5" t="s">
        <v>2047</v>
      </c>
      <c r="B276" s="5" t="s">
        <v>10</v>
      </c>
      <c r="C276" s="5" t="s">
        <v>5863</v>
      </c>
      <c r="D276" s="7" t="s">
        <v>2069</v>
      </c>
      <c r="E276" s="7" t="s">
        <v>50</v>
      </c>
      <c r="F276" s="7" t="s">
        <v>2050</v>
      </c>
      <c r="G276" s="5" t="s">
        <v>2055</v>
      </c>
      <c r="H276" s="7" t="s">
        <v>2060</v>
      </c>
      <c r="I276" s="7" t="s">
        <v>2065</v>
      </c>
      <c r="J276" s="7" t="s">
        <v>2064</v>
      </c>
      <c r="K276" s="5" t="s">
        <v>10</v>
      </c>
      <c r="L276" s="5" t="s">
        <v>10</v>
      </c>
      <c r="M276" s="5" t="s">
        <v>10</v>
      </c>
      <c r="N276" s="5" t="s">
        <v>45</v>
      </c>
      <c r="O276" s="119" t="s">
        <v>46</v>
      </c>
      <c r="P276" s="101">
        <v>46089</v>
      </c>
      <c r="Q276" s="100">
        <f t="shared" si="44"/>
        <v>46273</v>
      </c>
      <c r="R276" s="5" t="s">
        <v>3160</v>
      </c>
      <c r="S276" s="5" t="s">
        <v>5020</v>
      </c>
      <c r="T276" s="7">
        <v>0.251</v>
      </c>
      <c r="U276" s="5" t="s">
        <v>10</v>
      </c>
      <c r="V276" s="7">
        <f t="shared" si="45"/>
        <v>0.251</v>
      </c>
      <c r="W276" s="5">
        <v>0.5</v>
      </c>
      <c r="X276" s="5" t="s">
        <v>55</v>
      </c>
      <c r="Y276" s="7" t="s">
        <v>56</v>
      </c>
      <c r="Z276" s="48" t="str">
        <f t="shared" si="46"/>
        <v>APROVADO</v>
      </c>
      <c r="AA276" s="47">
        <v>11542182</v>
      </c>
      <c r="AB276" s="5" t="s">
        <v>3271</v>
      </c>
      <c r="AC276" s="5" t="s">
        <v>48</v>
      </c>
      <c r="AD276" s="5" t="s">
        <v>5530</v>
      </c>
      <c r="AE276" s="5" t="str">
        <f t="shared" ca="1" si="43"/>
        <v>NO PRAZO</v>
      </c>
      <c r="AF276" s="51"/>
    </row>
    <row r="277" spans="1:32" ht="30" customHeight="1" x14ac:dyDescent="0.25">
      <c r="A277" s="5" t="s">
        <v>2048</v>
      </c>
      <c r="B277" s="5" t="s">
        <v>10</v>
      </c>
      <c r="C277" s="5" t="s">
        <v>5863</v>
      </c>
      <c r="D277" s="7" t="s">
        <v>2069</v>
      </c>
      <c r="E277" s="7" t="s">
        <v>50</v>
      </c>
      <c r="F277" s="7" t="s">
        <v>2050</v>
      </c>
      <c r="G277" s="5" t="s">
        <v>2056</v>
      </c>
      <c r="H277" s="7" t="s">
        <v>2061</v>
      </c>
      <c r="I277" s="7" t="s">
        <v>2065</v>
      </c>
      <c r="J277" s="7" t="s">
        <v>2064</v>
      </c>
      <c r="K277" s="5" t="s">
        <v>10</v>
      </c>
      <c r="L277" s="5" t="s">
        <v>10</v>
      </c>
      <c r="M277" s="5" t="s">
        <v>10</v>
      </c>
      <c r="N277" s="5" t="s">
        <v>45</v>
      </c>
      <c r="O277" s="119" t="s">
        <v>46</v>
      </c>
      <c r="P277" s="101">
        <v>46089</v>
      </c>
      <c r="Q277" s="100">
        <f t="shared" si="44"/>
        <v>46273</v>
      </c>
      <c r="R277" s="5" t="s">
        <v>3162</v>
      </c>
      <c r="S277" s="5" t="s">
        <v>5021</v>
      </c>
      <c r="T277" s="7">
        <v>0.17100000000000001</v>
      </c>
      <c r="U277" s="5" t="s">
        <v>10</v>
      </c>
      <c r="V277" s="7">
        <f t="shared" si="45"/>
        <v>0.17100000000000001</v>
      </c>
      <c r="W277" s="5">
        <v>0.5</v>
      </c>
      <c r="X277" s="5" t="s">
        <v>55</v>
      </c>
      <c r="Y277" s="7" t="s">
        <v>56</v>
      </c>
      <c r="Z277" s="48" t="str">
        <f t="shared" si="46"/>
        <v>APROVADO</v>
      </c>
      <c r="AA277" s="47">
        <v>11542183</v>
      </c>
      <c r="AB277" s="5" t="s">
        <v>3273</v>
      </c>
      <c r="AC277" s="5" t="s">
        <v>48</v>
      </c>
      <c r="AD277" s="5" t="s">
        <v>5530</v>
      </c>
      <c r="AE277" s="5" t="str">
        <f t="shared" ca="1" si="43"/>
        <v>NO PRAZO</v>
      </c>
      <c r="AF277" s="51"/>
    </row>
    <row r="278" spans="1:32" ht="30" customHeight="1" x14ac:dyDescent="0.25">
      <c r="A278" s="5" t="s">
        <v>2049</v>
      </c>
      <c r="B278" s="5" t="s">
        <v>10</v>
      </c>
      <c r="C278" s="5" t="s">
        <v>5863</v>
      </c>
      <c r="D278" s="7" t="s">
        <v>2069</v>
      </c>
      <c r="E278" s="7" t="s">
        <v>50</v>
      </c>
      <c r="F278" s="7" t="s">
        <v>2050</v>
      </c>
      <c r="G278" s="5" t="s">
        <v>2058</v>
      </c>
      <c r="H278" s="7" t="s">
        <v>2063</v>
      </c>
      <c r="I278" s="7" t="s">
        <v>2065</v>
      </c>
      <c r="J278" s="7" t="s">
        <v>2064</v>
      </c>
      <c r="K278" s="5" t="s">
        <v>10</v>
      </c>
      <c r="L278" s="5" t="s">
        <v>10</v>
      </c>
      <c r="M278" s="5" t="s">
        <v>10</v>
      </c>
      <c r="N278" s="5" t="s">
        <v>45</v>
      </c>
      <c r="O278" s="119" t="s">
        <v>46</v>
      </c>
      <c r="P278" s="101">
        <v>46089</v>
      </c>
      <c r="Q278" s="100">
        <f t="shared" si="44"/>
        <v>46273</v>
      </c>
      <c r="R278" s="5" t="s">
        <v>3166</v>
      </c>
      <c r="S278" s="5" t="s">
        <v>5022</v>
      </c>
      <c r="T278" s="7">
        <v>0.221</v>
      </c>
      <c r="U278" s="5" t="s">
        <v>10</v>
      </c>
      <c r="V278" s="7">
        <f t="shared" si="45"/>
        <v>0.221</v>
      </c>
      <c r="W278" s="5">
        <v>0.5</v>
      </c>
      <c r="X278" s="5" t="s">
        <v>55</v>
      </c>
      <c r="Y278" s="7" t="s">
        <v>56</v>
      </c>
      <c r="Z278" s="48" t="str">
        <f t="shared" si="46"/>
        <v>APROVADO</v>
      </c>
      <c r="AA278" s="47">
        <v>11542185</v>
      </c>
      <c r="AB278" s="5" t="s">
        <v>3277</v>
      </c>
      <c r="AC278" s="5" t="s">
        <v>48</v>
      </c>
      <c r="AD278" s="5" t="s">
        <v>5530</v>
      </c>
      <c r="AE278" s="5" t="str">
        <f t="shared" ca="1" si="43"/>
        <v>NO PRAZO</v>
      </c>
      <c r="AF278" s="51"/>
    </row>
    <row r="279" spans="1:32" ht="30" customHeight="1" x14ac:dyDescent="0.25">
      <c r="A279" s="5" t="s">
        <v>219</v>
      </c>
      <c r="B279" s="5" t="s">
        <v>10</v>
      </c>
      <c r="C279" s="5" t="s">
        <v>5862</v>
      </c>
      <c r="D279" s="7" t="s">
        <v>5191</v>
      </c>
      <c r="E279" s="7" t="s">
        <v>50</v>
      </c>
      <c r="F279" s="7" t="s">
        <v>221</v>
      </c>
      <c r="G279" s="5" t="s">
        <v>222</v>
      </c>
      <c r="H279" s="7" t="s">
        <v>52</v>
      </c>
      <c r="I279" s="5" t="s">
        <v>223</v>
      </c>
      <c r="J279" s="5" t="s">
        <v>224</v>
      </c>
      <c r="K279" s="5" t="s">
        <v>45</v>
      </c>
      <c r="L279" s="5" t="s">
        <v>10</v>
      </c>
      <c r="M279" s="5" t="s">
        <v>10</v>
      </c>
      <c r="N279" s="5" t="s">
        <v>10</v>
      </c>
      <c r="O279" s="46" t="s">
        <v>46</v>
      </c>
      <c r="P279" s="101">
        <v>46236</v>
      </c>
      <c r="Q279" s="100">
        <f>IF(P279="","",P279+184)</f>
        <v>46420</v>
      </c>
      <c r="R279" s="5" t="s">
        <v>4963</v>
      </c>
      <c r="S279" s="5" t="s">
        <v>6007</v>
      </c>
      <c r="T279" s="5"/>
      <c r="U279" s="5" t="s">
        <v>10</v>
      </c>
      <c r="V279" s="7">
        <f t="shared" si="45"/>
        <v>0</v>
      </c>
      <c r="W279" s="7">
        <v>0.5</v>
      </c>
      <c r="X279" s="7" t="s">
        <v>55</v>
      </c>
      <c r="Y279" s="7" t="s">
        <v>56</v>
      </c>
      <c r="Z279" s="48" t="str">
        <f t="shared" si="46"/>
        <v>AGUARDANDO CERTIFICADO</v>
      </c>
      <c r="AA279" s="47">
        <v>11542195</v>
      </c>
      <c r="AB279" s="5" t="s">
        <v>3260</v>
      </c>
      <c r="AC279" s="5" t="s">
        <v>48</v>
      </c>
      <c r="AD279" s="5" t="s">
        <v>5632</v>
      </c>
      <c r="AE279" s="5" t="str">
        <f t="shared" ca="1" si="43"/>
        <v>NO PRAZO</v>
      </c>
      <c r="AF279" s="52" t="s">
        <v>5967</v>
      </c>
    </row>
    <row r="280" spans="1:32" ht="30" customHeight="1" x14ac:dyDescent="0.25">
      <c r="A280" s="8" t="s">
        <v>3190</v>
      </c>
      <c r="B280" s="7" t="s">
        <v>10</v>
      </c>
      <c r="C280" s="5" t="s">
        <v>5862</v>
      </c>
      <c r="D280" s="7" t="s">
        <v>5191</v>
      </c>
      <c r="E280" s="7" t="s">
        <v>50</v>
      </c>
      <c r="F280" s="7" t="s">
        <v>3583</v>
      </c>
      <c r="G280" s="5" t="s">
        <v>51</v>
      </c>
      <c r="H280" s="7" t="s">
        <v>52</v>
      </c>
      <c r="I280" s="5" t="s">
        <v>172</v>
      </c>
      <c r="J280" s="5" t="s">
        <v>173</v>
      </c>
      <c r="K280" s="5" t="s">
        <v>45</v>
      </c>
      <c r="L280" s="5" t="s">
        <v>10</v>
      </c>
      <c r="M280" s="5" t="s">
        <v>10</v>
      </c>
      <c r="N280" s="5" t="s">
        <v>10</v>
      </c>
      <c r="O280" s="46" t="s">
        <v>46</v>
      </c>
      <c r="P280" s="101">
        <v>46068</v>
      </c>
      <c r="Q280" s="100">
        <f t="shared" ref="Q280:Q284" si="47">IF(P280="","",P280+181)</f>
        <v>46249</v>
      </c>
      <c r="R280" s="5" t="s">
        <v>3093</v>
      </c>
      <c r="S280" s="5" t="s">
        <v>4789</v>
      </c>
      <c r="T280" s="7">
        <v>0.31</v>
      </c>
      <c r="U280" s="7" t="s">
        <v>10</v>
      </c>
      <c r="V280" s="7">
        <f t="shared" si="45"/>
        <v>0.31</v>
      </c>
      <c r="W280" s="7">
        <v>0.5</v>
      </c>
      <c r="X280" s="7" t="s">
        <v>55</v>
      </c>
      <c r="Y280" s="7" t="s">
        <v>56</v>
      </c>
      <c r="Z280" s="48" t="str">
        <f t="shared" si="46"/>
        <v>APROVADO</v>
      </c>
      <c r="AA280" s="47">
        <v>11542047</v>
      </c>
      <c r="AB280" s="5" t="s">
        <v>174</v>
      </c>
      <c r="AC280" s="5" t="s">
        <v>48</v>
      </c>
      <c r="AD280" s="5" t="s">
        <v>5530</v>
      </c>
      <c r="AE280" s="5" t="str">
        <f t="shared" ca="1" si="43"/>
        <v>CALIBRAR</v>
      </c>
      <c r="AF280" s="49"/>
    </row>
    <row r="281" spans="1:32" ht="30" customHeight="1" x14ac:dyDescent="0.25">
      <c r="A281" s="8" t="s">
        <v>3192</v>
      </c>
      <c r="B281" s="7" t="s">
        <v>10</v>
      </c>
      <c r="C281" s="5" t="s">
        <v>5862</v>
      </c>
      <c r="D281" s="7" t="s">
        <v>5191</v>
      </c>
      <c r="E281" s="7" t="s">
        <v>50</v>
      </c>
      <c r="F281" s="7" t="s">
        <v>3583</v>
      </c>
      <c r="G281" s="5" t="s">
        <v>176</v>
      </c>
      <c r="H281" s="7" t="s">
        <v>52</v>
      </c>
      <c r="I281" s="5" t="s">
        <v>172</v>
      </c>
      <c r="J281" s="5" t="s">
        <v>173</v>
      </c>
      <c r="K281" s="5" t="s">
        <v>45</v>
      </c>
      <c r="L281" s="5" t="s">
        <v>10</v>
      </c>
      <c r="M281" s="5" t="s">
        <v>10</v>
      </c>
      <c r="N281" s="5" t="s">
        <v>10</v>
      </c>
      <c r="O281" s="46" t="s">
        <v>46</v>
      </c>
      <c r="P281" s="101">
        <v>46068</v>
      </c>
      <c r="Q281" s="100">
        <f t="shared" si="47"/>
        <v>46249</v>
      </c>
      <c r="R281" s="5" t="s">
        <v>3096</v>
      </c>
      <c r="S281" s="5" t="s">
        <v>4794</v>
      </c>
      <c r="T281" s="10">
        <v>0.36</v>
      </c>
      <c r="U281" s="10" t="s">
        <v>10</v>
      </c>
      <c r="V281" s="7">
        <f t="shared" si="45"/>
        <v>0.36</v>
      </c>
      <c r="W281" s="7">
        <v>0.5</v>
      </c>
      <c r="X281" s="7" t="s">
        <v>55</v>
      </c>
      <c r="Y281" s="7" t="s">
        <v>56</v>
      </c>
      <c r="Z281" s="48" t="str">
        <f t="shared" si="46"/>
        <v>APROVADO</v>
      </c>
      <c r="AA281" s="47">
        <v>11542048</v>
      </c>
      <c r="AB281" s="5" t="s">
        <v>209</v>
      </c>
      <c r="AC281" s="5" t="s">
        <v>48</v>
      </c>
      <c r="AD281" s="5" t="s">
        <v>5530</v>
      </c>
      <c r="AE281" s="5" t="str">
        <f t="shared" ca="1" si="43"/>
        <v>CALIBRAR</v>
      </c>
      <c r="AF281" s="49"/>
    </row>
    <row r="282" spans="1:32" ht="30" customHeight="1" x14ac:dyDescent="0.25">
      <c r="A282" s="8" t="s">
        <v>3194</v>
      </c>
      <c r="B282" s="7" t="s">
        <v>10</v>
      </c>
      <c r="C282" s="5" t="s">
        <v>5862</v>
      </c>
      <c r="D282" s="7" t="s">
        <v>5191</v>
      </c>
      <c r="E282" s="7" t="s">
        <v>50</v>
      </c>
      <c r="F282" s="7" t="s">
        <v>3583</v>
      </c>
      <c r="G282" s="5" t="s">
        <v>211</v>
      </c>
      <c r="H282" s="7" t="s">
        <v>52</v>
      </c>
      <c r="I282" s="5" t="s">
        <v>172</v>
      </c>
      <c r="J282" s="5" t="s">
        <v>173</v>
      </c>
      <c r="K282" s="5" t="s">
        <v>45</v>
      </c>
      <c r="L282" s="5" t="s">
        <v>10</v>
      </c>
      <c r="M282" s="5" t="s">
        <v>10</v>
      </c>
      <c r="N282" s="5" t="s">
        <v>10</v>
      </c>
      <c r="O282" s="46" t="s">
        <v>46</v>
      </c>
      <c r="P282" s="100">
        <v>46068</v>
      </c>
      <c r="Q282" s="100">
        <f t="shared" si="47"/>
        <v>46249</v>
      </c>
      <c r="R282" s="5" t="s">
        <v>3120</v>
      </c>
      <c r="S282" s="5" t="s">
        <v>4799</v>
      </c>
      <c r="T282" s="7">
        <v>0.38</v>
      </c>
      <c r="U282" s="7" t="s">
        <v>10</v>
      </c>
      <c r="V282" s="7">
        <f t="shared" si="45"/>
        <v>0.38</v>
      </c>
      <c r="W282" s="7">
        <v>0.5</v>
      </c>
      <c r="X282" s="7" t="s">
        <v>55</v>
      </c>
      <c r="Y282" s="7" t="s">
        <v>56</v>
      </c>
      <c r="Z282" s="48" t="str">
        <f t="shared" si="46"/>
        <v>APROVADO</v>
      </c>
      <c r="AA282" s="47">
        <v>11542049</v>
      </c>
      <c r="AB282" s="5" t="s">
        <v>214</v>
      </c>
      <c r="AC282" s="5" t="s">
        <v>48</v>
      </c>
      <c r="AD282" s="5" t="s">
        <v>5530</v>
      </c>
      <c r="AE282" s="5" t="str">
        <f t="shared" ca="1" si="43"/>
        <v>CALIBRAR</v>
      </c>
      <c r="AF282" s="49"/>
    </row>
    <row r="283" spans="1:32" ht="30" customHeight="1" x14ac:dyDescent="0.25">
      <c r="A283" s="8" t="s">
        <v>3197</v>
      </c>
      <c r="B283" s="7" t="s">
        <v>10</v>
      </c>
      <c r="C283" s="5" t="s">
        <v>5862</v>
      </c>
      <c r="D283" s="7" t="s">
        <v>5191</v>
      </c>
      <c r="E283" s="7" t="s">
        <v>50</v>
      </c>
      <c r="F283" s="7" t="s">
        <v>3583</v>
      </c>
      <c r="G283" s="5" t="s">
        <v>226</v>
      </c>
      <c r="H283" s="7" t="s">
        <v>52</v>
      </c>
      <c r="I283" s="5" t="s">
        <v>172</v>
      </c>
      <c r="J283" s="5" t="s">
        <v>173</v>
      </c>
      <c r="K283" s="5" t="s">
        <v>45</v>
      </c>
      <c r="L283" s="5" t="s">
        <v>10</v>
      </c>
      <c r="M283" s="5" t="s">
        <v>10</v>
      </c>
      <c r="N283" s="5" t="s">
        <v>10</v>
      </c>
      <c r="O283" s="46" t="s">
        <v>46</v>
      </c>
      <c r="P283" s="100">
        <v>46068</v>
      </c>
      <c r="Q283" s="100">
        <f t="shared" si="47"/>
        <v>46249</v>
      </c>
      <c r="R283" s="5" t="s">
        <v>3107</v>
      </c>
      <c r="S283" s="5" t="s">
        <v>4808</v>
      </c>
      <c r="T283" s="7">
        <v>0.28999999999999998</v>
      </c>
      <c r="U283" s="7" t="s">
        <v>10</v>
      </c>
      <c r="V283" s="7">
        <f t="shared" si="45"/>
        <v>0.28999999999999998</v>
      </c>
      <c r="W283" s="7">
        <v>0.5</v>
      </c>
      <c r="X283" s="7" t="s">
        <v>55</v>
      </c>
      <c r="Y283" s="7" t="s">
        <v>56</v>
      </c>
      <c r="Z283" s="48" t="str">
        <f t="shared" si="46"/>
        <v>APROVADO</v>
      </c>
      <c r="AA283" s="47">
        <v>11542051</v>
      </c>
      <c r="AB283" s="5" t="s">
        <v>2420</v>
      </c>
      <c r="AC283" s="5" t="s">
        <v>48</v>
      </c>
      <c r="AD283" s="5" t="s">
        <v>5530</v>
      </c>
      <c r="AE283" s="5" t="str">
        <f t="shared" ca="1" si="43"/>
        <v>CALIBRAR</v>
      </c>
      <c r="AF283" s="49"/>
    </row>
    <row r="284" spans="1:32" ht="30" customHeight="1" x14ac:dyDescent="0.25">
      <c r="A284" s="8" t="s">
        <v>3202</v>
      </c>
      <c r="B284" s="7" t="s">
        <v>10</v>
      </c>
      <c r="C284" s="5" t="s">
        <v>5862</v>
      </c>
      <c r="D284" s="7" t="s">
        <v>5191</v>
      </c>
      <c r="E284" s="7" t="s">
        <v>50</v>
      </c>
      <c r="F284" s="7" t="s">
        <v>230</v>
      </c>
      <c r="G284" s="5" t="s">
        <v>176</v>
      </c>
      <c r="H284" s="7" t="s">
        <v>52</v>
      </c>
      <c r="I284" s="7" t="s">
        <v>233</v>
      </c>
      <c r="J284" s="7" t="s">
        <v>234</v>
      </c>
      <c r="K284" s="5" t="s">
        <v>45</v>
      </c>
      <c r="L284" s="5" t="s">
        <v>10</v>
      </c>
      <c r="M284" s="5" t="s">
        <v>10</v>
      </c>
      <c r="N284" s="5" t="s">
        <v>10</v>
      </c>
      <c r="O284" s="46" t="s">
        <v>46</v>
      </c>
      <c r="P284" s="100">
        <v>46068</v>
      </c>
      <c r="Q284" s="100">
        <f t="shared" si="47"/>
        <v>46249</v>
      </c>
      <c r="R284" s="7" t="s">
        <v>3129</v>
      </c>
      <c r="S284" s="7" t="s">
        <v>4817</v>
      </c>
      <c r="T284" s="7">
        <v>0.48</v>
      </c>
      <c r="U284" s="7" t="s">
        <v>10</v>
      </c>
      <c r="V284" s="7">
        <f t="shared" si="45"/>
        <v>0.48</v>
      </c>
      <c r="W284" s="7">
        <v>0.5</v>
      </c>
      <c r="X284" s="7" t="s">
        <v>55</v>
      </c>
      <c r="Y284" s="7" t="s">
        <v>56</v>
      </c>
      <c r="Z284" s="48" t="str">
        <f t="shared" si="46"/>
        <v>APROVADO</v>
      </c>
      <c r="AA284" s="47">
        <v>11542069</v>
      </c>
      <c r="AB284" s="5" t="s">
        <v>2436</v>
      </c>
      <c r="AC284" s="5" t="s">
        <v>48</v>
      </c>
      <c r="AD284" s="5" t="s">
        <v>5530</v>
      </c>
      <c r="AE284" s="5" t="str">
        <f t="shared" ca="1" si="43"/>
        <v>CALIBRAR</v>
      </c>
      <c r="AF284" s="49"/>
    </row>
    <row r="285" spans="1:32" ht="30" customHeight="1" x14ac:dyDescent="0.25">
      <c r="A285" s="8" t="s">
        <v>5080</v>
      </c>
      <c r="B285" s="8" t="s">
        <v>10</v>
      </c>
      <c r="C285" s="5" t="s">
        <v>5862</v>
      </c>
      <c r="D285" s="7" t="s">
        <v>3631</v>
      </c>
      <c r="E285" s="7" t="s">
        <v>50</v>
      </c>
      <c r="F285" s="7" t="s">
        <v>230</v>
      </c>
      <c r="G285" s="5" t="s">
        <v>211</v>
      </c>
      <c r="H285" s="7" t="s">
        <v>52</v>
      </c>
      <c r="I285" s="7" t="s">
        <v>104</v>
      </c>
      <c r="J285" s="7" t="s">
        <v>234</v>
      </c>
      <c r="K285" s="5" t="s">
        <v>45</v>
      </c>
      <c r="L285" s="5" t="s">
        <v>10</v>
      </c>
      <c r="M285" s="5" t="s">
        <v>10</v>
      </c>
      <c r="N285" s="5" t="s">
        <v>10</v>
      </c>
      <c r="O285" s="46" t="s">
        <v>46</v>
      </c>
      <c r="P285" s="100">
        <v>46102</v>
      </c>
      <c r="Q285" s="100">
        <f>IF(P285="","",P285+184)</f>
        <v>46286</v>
      </c>
      <c r="R285" s="7" t="s">
        <v>3615</v>
      </c>
      <c r="S285" s="7" t="s">
        <v>5081</v>
      </c>
      <c r="T285" s="7">
        <v>0.38</v>
      </c>
      <c r="U285" s="7" t="s">
        <v>10</v>
      </c>
      <c r="V285" s="7">
        <f t="shared" si="45"/>
        <v>0.38</v>
      </c>
      <c r="W285" s="7">
        <v>0.5</v>
      </c>
      <c r="X285" s="7" t="s">
        <v>55</v>
      </c>
      <c r="Y285" s="7" t="s">
        <v>56</v>
      </c>
      <c r="Z285" s="48" t="str">
        <f t="shared" si="46"/>
        <v>APROVADO</v>
      </c>
      <c r="AA285" s="47" t="s">
        <v>4675</v>
      </c>
      <c r="AB285" s="5" t="s">
        <v>4675</v>
      </c>
      <c r="AC285" s="5" t="s">
        <v>48</v>
      </c>
      <c r="AD285" s="5" t="s">
        <v>5530</v>
      </c>
      <c r="AE285" s="5" t="str">
        <f t="shared" ca="1" si="43"/>
        <v>NO PRAZO</v>
      </c>
      <c r="AF285" s="49"/>
    </row>
    <row r="286" spans="1:32" ht="30" customHeight="1" x14ac:dyDescent="0.25">
      <c r="A286" s="8" t="s">
        <v>3629</v>
      </c>
      <c r="B286" s="8" t="s">
        <v>3204</v>
      </c>
      <c r="C286" s="5" t="s">
        <v>5862</v>
      </c>
      <c r="D286" s="7" t="s">
        <v>5191</v>
      </c>
      <c r="E286" s="7" t="s">
        <v>50</v>
      </c>
      <c r="F286" s="7" t="s">
        <v>230</v>
      </c>
      <c r="G286" s="5" t="s">
        <v>216</v>
      </c>
      <c r="H286" s="7" t="s">
        <v>52</v>
      </c>
      <c r="I286" s="7" t="s">
        <v>233</v>
      </c>
      <c r="J286" s="7" t="s">
        <v>234</v>
      </c>
      <c r="K286" s="5" t="s">
        <v>45</v>
      </c>
      <c r="L286" s="5" t="s">
        <v>10</v>
      </c>
      <c r="M286" s="5" t="s">
        <v>10</v>
      </c>
      <c r="N286" s="5" t="s">
        <v>10</v>
      </c>
      <c r="O286" s="46" t="s">
        <v>46</v>
      </c>
      <c r="P286" s="100">
        <v>46068</v>
      </c>
      <c r="Q286" s="100">
        <f>IF(P286="","",P286+181)</f>
        <v>46249</v>
      </c>
      <c r="R286" s="7" t="s">
        <v>3582</v>
      </c>
      <c r="S286" s="7" t="s">
        <v>5189</v>
      </c>
      <c r="T286" s="7">
        <v>0.39</v>
      </c>
      <c r="U286" s="7" t="s">
        <v>10</v>
      </c>
      <c r="V286" s="7">
        <f t="shared" si="45"/>
        <v>0.39</v>
      </c>
      <c r="W286" s="7">
        <v>0.5</v>
      </c>
      <c r="X286" s="7" t="s">
        <v>55</v>
      </c>
      <c r="Y286" s="7" t="s">
        <v>56</v>
      </c>
      <c r="Z286" s="48" t="str">
        <f t="shared" si="46"/>
        <v>APROVADO</v>
      </c>
      <c r="AA286" s="47">
        <v>11542065</v>
      </c>
      <c r="AB286" s="5" t="s">
        <v>2437</v>
      </c>
      <c r="AC286" s="5" t="s">
        <v>48</v>
      </c>
      <c r="AD286" s="5" t="s">
        <v>5530</v>
      </c>
      <c r="AE286" s="5" t="str">
        <f t="shared" ca="1" si="43"/>
        <v>CALIBRAR</v>
      </c>
      <c r="AF286" s="51"/>
    </row>
    <row r="287" spans="1:32" ht="30" customHeight="1" x14ac:dyDescent="0.25">
      <c r="A287" s="6" t="s">
        <v>5724</v>
      </c>
      <c r="B287" s="5" t="s">
        <v>10</v>
      </c>
      <c r="C287" s="5" t="s">
        <v>5862</v>
      </c>
      <c r="D287" s="7" t="s">
        <v>5858</v>
      </c>
      <c r="E287" s="7" t="s">
        <v>256</v>
      </c>
      <c r="F287" s="7" t="s">
        <v>317</v>
      </c>
      <c r="G287" s="7" t="s">
        <v>631</v>
      </c>
      <c r="H287" s="7" t="s">
        <v>631</v>
      </c>
      <c r="I287" s="62" t="s">
        <v>632</v>
      </c>
      <c r="J287" s="62" t="s">
        <v>635</v>
      </c>
      <c r="K287" s="5" t="s">
        <v>45</v>
      </c>
      <c r="L287" s="5" t="s">
        <v>10</v>
      </c>
      <c r="M287" s="5" t="s">
        <v>10</v>
      </c>
      <c r="N287" s="5" t="s">
        <v>10</v>
      </c>
      <c r="O287" s="46" t="s">
        <v>46</v>
      </c>
      <c r="P287" s="101">
        <v>46203</v>
      </c>
      <c r="Q287" s="100">
        <f>IF(P287="","",P287+183)</f>
        <v>46386</v>
      </c>
      <c r="R287" s="5" t="s">
        <v>5725</v>
      </c>
      <c r="S287" s="5" t="s">
        <v>5726</v>
      </c>
      <c r="T287" s="7">
        <v>0.5</v>
      </c>
      <c r="U287" s="5"/>
      <c r="V287" s="7">
        <f t="shared" ref="V287" si="48">IFERROR(IF(U287&gt;0,T287*100/U287,T287),T287)</f>
        <v>0.5</v>
      </c>
      <c r="W287" s="5">
        <v>0.5</v>
      </c>
      <c r="X287" s="5" t="s">
        <v>55</v>
      </c>
      <c r="Y287" s="7" t="s">
        <v>56</v>
      </c>
      <c r="Z287" s="48" t="str">
        <f t="shared" ref="Z287" si="49">IFERROR(IF(W287="-",$AL$6,CHOOSE(IF(T287="",1,2),$AL$7,IF(V287&gt;W287,$AL$5,$AL$4))),"-")</f>
        <v>APROVADO</v>
      </c>
      <c r="AA287" s="47" t="s">
        <v>4675</v>
      </c>
      <c r="AB287" s="5" t="s">
        <v>4675</v>
      </c>
      <c r="AC287" s="5" t="s">
        <v>48</v>
      </c>
      <c r="AD287" s="5" t="s">
        <v>5632</v>
      </c>
      <c r="AE287" s="5" t="str">
        <f t="shared" ref="AE287" ca="1" si="50">IFERROR(IF(OR(AND(YEAR(Q287)=YEAR(TODAY()),MONTH(Q287)&gt;MONTH(TODAY())),(YEAR(Q287)&gt;YEAR(TODAY()))),$AK$4,IF(AND(YEAR(Q287)=YEAR(TODAY()),MONTH(Q287)=MONTH(TODAY())),$AK$5,IF(Q287="",$AK$6,$AK$7))),"-")</f>
        <v>NO PRAZO</v>
      </c>
      <c r="AF287" s="49"/>
    </row>
    <row r="288" spans="1:32" ht="30" customHeight="1" x14ac:dyDescent="0.25">
      <c r="A288" s="6" t="s">
        <v>1809</v>
      </c>
      <c r="B288" s="5" t="s">
        <v>10</v>
      </c>
      <c r="C288" s="5" t="s">
        <v>5862</v>
      </c>
      <c r="D288" s="7" t="s">
        <v>634</v>
      </c>
      <c r="E288" s="7" t="s">
        <v>256</v>
      </c>
      <c r="F288" s="7" t="s">
        <v>317</v>
      </c>
      <c r="G288" s="7" t="s">
        <v>631</v>
      </c>
      <c r="H288" s="7" t="s">
        <v>631</v>
      </c>
      <c r="I288" s="62" t="s">
        <v>632</v>
      </c>
      <c r="J288" s="62" t="s">
        <v>635</v>
      </c>
      <c r="K288" s="5" t="s">
        <v>45</v>
      </c>
      <c r="L288" s="5" t="s">
        <v>10</v>
      </c>
      <c r="M288" s="5" t="s">
        <v>10</v>
      </c>
      <c r="N288" s="5" t="s">
        <v>10</v>
      </c>
      <c r="O288" s="46" t="s">
        <v>46</v>
      </c>
      <c r="P288" s="101">
        <v>46028</v>
      </c>
      <c r="Q288" s="100">
        <f>IF(P288="","",P288+181)</f>
        <v>46209</v>
      </c>
      <c r="R288" s="5" t="s">
        <v>2478</v>
      </c>
      <c r="S288" s="5" t="s">
        <v>4417</v>
      </c>
      <c r="T288" s="7">
        <v>0.34</v>
      </c>
      <c r="U288" s="5"/>
      <c r="V288" s="7">
        <f t="shared" si="45"/>
        <v>0.34</v>
      </c>
      <c r="W288" s="5">
        <v>0.5</v>
      </c>
      <c r="X288" s="5" t="s">
        <v>55</v>
      </c>
      <c r="Y288" s="7" t="s">
        <v>56</v>
      </c>
      <c r="Z288" s="48" t="str">
        <f t="shared" si="46"/>
        <v>APROVADO</v>
      </c>
      <c r="AA288" s="47">
        <v>11604335</v>
      </c>
      <c r="AB288" s="5" t="s">
        <v>2896</v>
      </c>
      <c r="AC288" s="5" t="s">
        <v>48</v>
      </c>
      <c r="AD288" s="5" t="s">
        <v>5530</v>
      </c>
      <c r="AE288" s="5" t="s">
        <v>5906</v>
      </c>
      <c r="AF288" s="49"/>
    </row>
    <row r="289" spans="1:32" ht="30" customHeight="1" x14ac:dyDescent="0.25">
      <c r="A289" s="7" t="s">
        <v>5879</v>
      </c>
      <c r="B289" s="11" t="s">
        <v>10</v>
      </c>
      <c r="C289" s="5" t="s">
        <v>5862</v>
      </c>
      <c r="D289" s="7" t="s">
        <v>634</v>
      </c>
      <c r="E289" s="7" t="s">
        <v>40</v>
      </c>
      <c r="F289" s="7" t="s">
        <v>354</v>
      </c>
      <c r="G289" s="5" t="s">
        <v>5907</v>
      </c>
      <c r="H289" s="7" t="s">
        <v>10</v>
      </c>
      <c r="I289" s="7" t="s">
        <v>632</v>
      </c>
      <c r="J289" s="5" t="s">
        <v>635</v>
      </c>
      <c r="K289" s="5" t="s">
        <v>45</v>
      </c>
      <c r="L289" s="5" t="s">
        <v>10</v>
      </c>
      <c r="M289" s="5" t="s">
        <v>10</v>
      </c>
      <c r="N289" s="5" t="s">
        <v>10</v>
      </c>
      <c r="O289" s="46" t="s">
        <v>46</v>
      </c>
      <c r="P289" s="100">
        <v>46222</v>
      </c>
      <c r="Q289" s="100">
        <f t="shared" ref="Q289:Q290" si="51">IF(P289="","",P289+184)</f>
        <v>46406</v>
      </c>
      <c r="R289" s="5" t="s">
        <v>10</v>
      </c>
      <c r="S289" s="5" t="s">
        <v>5880</v>
      </c>
      <c r="T289" s="7">
        <v>0.22</v>
      </c>
      <c r="U289" s="7" t="s">
        <v>10</v>
      </c>
      <c r="V289" s="7">
        <f t="shared" ref="V289:V290" si="52">IFERROR(IF(U289&gt;0,T289*100/U289,T289),T289)</f>
        <v>0.22</v>
      </c>
      <c r="W289" s="5">
        <v>0.5</v>
      </c>
      <c r="X289" s="5" t="s">
        <v>55</v>
      </c>
      <c r="Y289" s="7" t="s">
        <v>56</v>
      </c>
      <c r="Z289" s="48" t="str">
        <f t="shared" ref="Z289:Z290" si="53">IFERROR(IF(W289="-",$AL$6,CHOOSE(IF(T289="",1,2),$AL$7,IF(V289&gt;W289,$AL$5,$AL$4))),"-")</f>
        <v>APROVADO</v>
      </c>
      <c r="AA289" s="5" t="s">
        <v>4675</v>
      </c>
      <c r="AB289" s="5" t="s">
        <v>4675</v>
      </c>
      <c r="AC289" s="5" t="s">
        <v>48</v>
      </c>
      <c r="AD289" s="5" t="s">
        <v>5632</v>
      </c>
      <c r="AE289" s="5" t="str">
        <f t="shared" ref="AE289:AE290" ca="1" si="54">IFERROR(IF(OR(AND(YEAR(Q289)=YEAR(TODAY()),MONTH(Q289)&gt;MONTH(TODAY())),(YEAR(Q289)&gt;YEAR(TODAY()))),$AK$4,IF(AND(YEAR(Q289)=YEAR(TODAY()),MONTH(Q289)=MONTH(TODAY())),$AK$5,IF(Q289="",$AK$6,$AK$7))),"-")</f>
        <v>NO PRAZO</v>
      </c>
      <c r="AF289" s="51"/>
    </row>
    <row r="290" spans="1:32" ht="30" customHeight="1" x14ac:dyDescent="0.25">
      <c r="A290" s="7" t="s">
        <v>5878</v>
      </c>
      <c r="B290" s="11" t="s">
        <v>10</v>
      </c>
      <c r="C290" s="5" t="s">
        <v>5862</v>
      </c>
      <c r="D290" s="7" t="s">
        <v>634</v>
      </c>
      <c r="E290" s="7" t="s">
        <v>40</v>
      </c>
      <c r="F290" s="7" t="s">
        <v>156</v>
      </c>
      <c r="G290" s="5" t="s">
        <v>5908</v>
      </c>
      <c r="H290" s="7" t="s">
        <v>10</v>
      </c>
      <c r="I290" s="7" t="s">
        <v>632</v>
      </c>
      <c r="J290" s="5" t="s">
        <v>635</v>
      </c>
      <c r="K290" s="5" t="s">
        <v>45</v>
      </c>
      <c r="L290" s="5" t="s">
        <v>10</v>
      </c>
      <c r="M290" s="5" t="s">
        <v>10</v>
      </c>
      <c r="N290" s="5" t="s">
        <v>10</v>
      </c>
      <c r="O290" s="46" t="s">
        <v>46</v>
      </c>
      <c r="P290" s="100">
        <v>46222</v>
      </c>
      <c r="Q290" s="100">
        <f t="shared" si="51"/>
        <v>46406</v>
      </c>
      <c r="R290" s="5" t="s">
        <v>10</v>
      </c>
      <c r="S290" s="5" t="s">
        <v>5881</v>
      </c>
      <c r="T290" s="7">
        <v>0.27</v>
      </c>
      <c r="U290" s="7" t="s">
        <v>10</v>
      </c>
      <c r="V290" s="7">
        <f t="shared" si="52"/>
        <v>0.27</v>
      </c>
      <c r="W290" s="5">
        <v>0.5</v>
      </c>
      <c r="X290" s="5" t="s">
        <v>55</v>
      </c>
      <c r="Y290" s="7" t="s">
        <v>56</v>
      </c>
      <c r="Z290" s="48" t="str">
        <f t="shared" si="53"/>
        <v>APROVADO</v>
      </c>
      <c r="AA290" s="5" t="s">
        <v>4675</v>
      </c>
      <c r="AB290" s="5" t="s">
        <v>4675</v>
      </c>
      <c r="AC290" s="5" t="s">
        <v>48</v>
      </c>
      <c r="AD290" s="5" t="s">
        <v>5632</v>
      </c>
      <c r="AE290" s="5" t="str">
        <f t="shared" ca="1" si="54"/>
        <v>NO PRAZO</v>
      </c>
      <c r="AF290" s="51"/>
    </row>
    <row r="291" spans="1:32" ht="30" customHeight="1" x14ac:dyDescent="0.25">
      <c r="A291" s="7" t="s">
        <v>3773</v>
      </c>
      <c r="B291" s="11" t="s">
        <v>10</v>
      </c>
      <c r="C291" s="5" t="s">
        <v>5862</v>
      </c>
      <c r="D291" s="7" t="s">
        <v>634</v>
      </c>
      <c r="E291" s="7" t="s">
        <v>40</v>
      </c>
      <c r="F291" s="7" t="s">
        <v>156</v>
      </c>
      <c r="G291" s="5" t="s">
        <v>2224</v>
      </c>
      <c r="H291" s="7" t="s">
        <v>10</v>
      </c>
      <c r="I291" s="7" t="s">
        <v>632</v>
      </c>
      <c r="J291" s="5" t="s">
        <v>635</v>
      </c>
      <c r="K291" s="5" t="s">
        <v>45</v>
      </c>
      <c r="L291" s="5" t="s">
        <v>10</v>
      </c>
      <c r="M291" s="5" t="s">
        <v>10</v>
      </c>
      <c r="N291" s="5" t="s">
        <v>10</v>
      </c>
      <c r="O291" s="46" t="s">
        <v>46</v>
      </c>
      <c r="P291" s="100">
        <v>46222</v>
      </c>
      <c r="Q291" s="100">
        <f>IF(P291="","",P291+184)</f>
        <v>46406</v>
      </c>
      <c r="R291" s="5" t="s">
        <v>3774</v>
      </c>
      <c r="S291" s="5" t="s">
        <v>5876</v>
      </c>
      <c r="T291" s="7">
        <v>0.16</v>
      </c>
      <c r="U291" s="7" t="s">
        <v>10</v>
      </c>
      <c r="V291" s="7">
        <f t="shared" si="45"/>
        <v>0.16</v>
      </c>
      <c r="W291" s="5">
        <v>0.5</v>
      </c>
      <c r="X291" s="5" t="s">
        <v>55</v>
      </c>
      <c r="Y291" s="7" t="s">
        <v>56</v>
      </c>
      <c r="Z291" s="48" t="str">
        <f t="shared" si="46"/>
        <v>APROVADO</v>
      </c>
      <c r="AA291" s="47">
        <v>11606578</v>
      </c>
      <c r="AB291" s="5" t="s">
        <v>4020</v>
      </c>
      <c r="AC291" s="5" t="s">
        <v>48</v>
      </c>
      <c r="AD291" s="5" t="s">
        <v>5632</v>
      </c>
      <c r="AE291" s="5" t="str">
        <f t="shared" ca="1" si="43"/>
        <v>NO PRAZO</v>
      </c>
      <c r="AF291" s="51"/>
    </row>
    <row r="292" spans="1:32" ht="30" customHeight="1" x14ac:dyDescent="0.25">
      <c r="A292" s="7" t="s">
        <v>4949</v>
      </c>
      <c r="B292" s="11" t="s">
        <v>10</v>
      </c>
      <c r="C292" s="5" t="s">
        <v>5862</v>
      </c>
      <c r="D292" s="7" t="s">
        <v>634</v>
      </c>
      <c r="E292" s="7" t="s">
        <v>256</v>
      </c>
      <c r="F292" s="7" t="s">
        <v>317</v>
      </c>
      <c r="G292" s="5" t="s">
        <v>220</v>
      </c>
      <c r="H292" s="7" t="s">
        <v>10</v>
      </c>
      <c r="I292" s="7" t="s">
        <v>632</v>
      </c>
      <c r="J292" s="5" t="s">
        <v>635</v>
      </c>
      <c r="K292" s="5" t="s">
        <v>45</v>
      </c>
      <c r="L292" s="5" t="s">
        <v>10</v>
      </c>
      <c r="M292" s="5" t="s">
        <v>10</v>
      </c>
      <c r="N292" s="5" t="s">
        <v>10</v>
      </c>
      <c r="O292" s="46" t="s">
        <v>46</v>
      </c>
      <c r="P292" s="100">
        <v>46078</v>
      </c>
      <c r="Q292" s="100">
        <f>IF(P292="","",P292+181)</f>
        <v>46259</v>
      </c>
      <c r="R292" s="5" t="s">
        <v>3586</v>
      </c>
      <c r="S292" s="5" t="s">
        <v>4948</v>
      </c>
      <c r="T292" s="7">
        <v>0.28999999999999998</v>
      </c>
      <c r="U292" s="7"/>
      <c r="V292" s="7">
        <f t="shared" si="45"/>
        <v>0.28999999999999998</v>
      </c>
      <c r="W292" s="5">
        <v>0.5</v>
      </c>
      <c r="X292" s="5" t="s">
        <v>55</v>
      </c>
      <c r="Y292" s="7" t="s">
        <v>56</v>
      </c>
      <c r="Z292" s="48" t="str">
        <f t="shared" si="46"/>
        <v>APROVADO</v>
      </c>
      <c r="AA292" s="47" t="s">
        <v>4675</v>
      </c>
      <c r="AB292" s="5" t="s">
        <v>4675</v>
      </c>
      <c r="AC292" s="5" t="s">
        <v>48</v>
      </c>
      <c r="AD292" s="5" t="s">
        <v>5530</v>
      </c>
      <c r="AE292" s="5" t="str">
        <f t="shared" ca="1" si="43"/>
        <v>CALIBRAR</v>
      </c>
      <c r="AF292" s="49"/>
    </row>
    <row r="293" spans="1:32" ht="30" customHeight="1" x14ac:dyDescent="0.25">
      <c r="A293" s="5" t="s">
        <v>4352</v>
      </c>
      <c r="B293" s="5" t="s">
        <v>10</v>
      </c>
      <c r="C293" s="5" t="s">
        <v>5862</v>
      </c>
      <c r="D293" s="7" t="s">
        <v>634</v>
      </c>
      <c r="E293" s="7" t="s">
        <v>40</v>
      </c>
      <c r="F293" s="7" t="s">
        <v>156</v>
      </c>
      <c r="G293" s="5" t="s">
        <v>4405</v>
      </c>
      <c r="H293" s="7" t="s">
        <v>631</v>
      </c>
      <c r="I293" s="7" t="s">
        <v>2026</v>
      </c>
      <c r="J293" s="5" t="s">
        <v>2027</v>
      </c>
      <c r="K293" s="5" t="s">
        <v>45</v>
      </c>
      <c r="L293" s="5" t="s">
        <v>10</v>
      </c>
      <c r="M293" s="5" t="s">
        <v>10</v>
      </c>
      <c r="N293" s="5" t="s">
        <v>10</v>
      </c>
      <c r="O293" s="119" t="s">
        <v>46</v>
      </c>
      <c r="P293" s="101">
        <v>46002</v>
      </c>
      <c r="Q293" s="100">
        <f>IF(P293="","",P293+182)</f>
        <v>46184</v>
      </c>
      <c r="R293" s="5" t="s">
        <v>4353</v>
      </c>
      <c r="S293" s="5" t="s">
        <v>4354</v>
      </c>
      <c r="T293" s="7">
        <v>0.37</v>
      </c>
      <c r="U293" s="5" t="s">
        <v>10</v>
      </c>
      <c r="V293" s="7">
        <f t="shared" si="45"/>
        <v>0.37</v>
      </c>
      <c r="W293" s="5">
        <v>0.5</v>
      </c>
      <c r="X293" s="5" t="s">
        <v>55</v>
      </c>
      <c r="Y293" s="7" t="s">
        <v>56</v>
      </c>
      <c r="Z293" s="48" t="str">
        <f t="shared" si="46"/>
        <v>APROVADO</v>
      </c>
      <c r="AA293" s="47">
        <v>1167224</v>
      </c>
      <c r="AB293" s="5" t="s">
        <v>4478</v>
      </c>
      <c r="AC293" s="5" t="s">
        <v>48</v>
      </c>
      <c r="AD293" s="5" t="s">
        <v>5530</v>
      </c>
      <c r="AE293" s="5" t="s">
        <v>5906</v>
      </c>
      <c r="AF293" s="51"/>
    </row>
    <row r="294" spans="1:32" ht="30" customHeight="1" x14ac:dyDescent="0.25">
      <c r="A294" s="5" t="s">
        <v>5058</v>
      </c>
      <c r="B294" s="5" t="s">
        <v>10</v>
      </c>
      <c r="C294" s="5" t="s">
        <v>5862</v>
      </c>
      <c r="D294" s="7" t="s">
        <v>634</v>
      </c>
      <c r="E294" s="7" t="s">
        <v>256</v>
      </c>
      <c r="F294" s="7" t="s">
        <v>317</v>
      </c>
      <c r="G294" s="5" t="s">
        <v>631</v>
      </c>
      <c r="H294" s="7" t="s">
        <v>631</v>
      </c>
      <c r="I294" s="7" t="s">
        <v>2026</v>
      </c>
      <c r="J294" s="5" t="s">
        <v>2027</v>
      </c>
      <c r="K294" s="5" t="s">
        <v>45</v>
      </c>
      <c r="L294" s="5" t="s">
        <v>10</v>
      </c>
      <c r="M294" s="5" t="s">
        <v>10</v>
      </c>
      <c r="N294" s="5" t="s">
        <v>10</v>
      </c>
      <c r="O294" s="119" t="s">
        <v>46</v>
      </c>
      <c r="P294" s="101">
        <v>46099</v>
      </c>
      <c r="Q294" s="100">
        <f>IF(P294="","",P294+184)</f>
        <v>46283</v>
      </c>
      <c r="R294" s="5" t="s">
        <v>3140</v>
      </c>
      <c r="S294" s="5" t="s">
        <v>5060</v>
      </c>
      <c r="T294" s="7">
        <v>0.4</v>
      </c>
      <c r="U294" s="5" t="s">
        <v>10</v>
      </c>
      <c r="V294" s="7">
        <f t="shared" si="45"/>
        <v>0.4</v>
      </c>
      <c r="W294" s="5">
        <v>0.5</v>
      </c>
      <c r="X294" s="5" t="s">
        <v>55</v>
      </c>
      <c r="Y294" s="7" t="s">
        <v>56</v>
      </c>
      <c r="Z294" s="48" t="str">
        <f t="shared" si="46"/>
        <v>APROVADO</v>
      </c>
      <c r="AA294" s="47" t="s">
        <v>4675</v>
      </c>
      <c r="AB294" s="5" t="s">
        <v>4675</v>
      </c>
      <c r="AC294" s="5" t="s">
        <v>48</v>
      </c>
      <c r="AD294" s="5" t="s">
        <v>5530</v>
      </c>
      <c r="AE294" s="5" t="str">
        <f t="shared" ca="1" si="43"/>
        <v>NO PRAZO</v>
      </c>
      <c r="AF294" s="49"/>
    </row>
    <row r="295" spans="1:32" ht="30" customHeight="1" x14ac:dyDescent="0.25">
      <c r="A295" s="5" t="s">
        <v>2025</v>
      </c>
      <c r="B295" s="5" t="s">
        <v>10</v>
      </c>
      <c r="C295" s="5" t="s">
        <v>5862</v>
      </c>
      <c r="D295" s="7" t="s">
        <v>634</v>
      </c>
      <c r="E295" s="7" t="s">
        <v>256</v>
      </c>
      <c r="F295" s="7" t="s">
        <v>317</v>
      </c>
      <c r="G295" s="5" t="s">
        <v>631</v>
      </c>
      <c r="H295" s="7" t="s">
        <v>631</v>
      </c>
      <c r="I295" s="7" t="s">
        <v>2026</v>
      </c>
      <c r="J295" s="5" t="s">
        <v>2027</v>
      </c>
      <c r="K295" s="5" t="s">
        <v>45</v>
      </c>
      <c r="L295" s="5" t="s">
        <v>10</v>
      </c>
      <c r="M295" s="5" t="s">
        <v>10</v>
      </c>
      <c r="N295" s="5" t="s">
        <v>10</v>
      </c>
      <c r="O295" s="119" t="s">
        <v>46</v>
      </c>
      <c r="P295" s="101">
        <v>46099</v>
      </c>
      <c r="Q295" s="100">
        <f>IF(P295="","",P295+184)</f>
        <v>46283</v>
      </c>
      <c r="R295" s="5" t="s">
        <v>3140</v>
      </c>
      <c r="S295" s="5" t="s">
        <v>5061</v>
      </c>
      <c r="T295" s="7">
        <v>0.43</v>
      </c>
      <c r="U295" s="5" t="s">
        <v>10</v>
      </c>
      <c r="V295" s="7">
        <f t="shared" si="45"/>
        <v>0.43</v>
      </c>
      <c r="W295" s="5">
        <v>0.5</v>
      </c>
      <c r="X295" s="5" t="s">
        <v>55</v>
      </c>
      <c r="Y295" s="7" t="s">
        <v>56</v>
      </c>
      <c r="Z295" s="48" t="str">
        <f t="shared" si="46"/>
        <v>APROVADO</v>
      </c>
      <c r="AA295" s="47">
        <v>11597015</v>
      </c>
      <c r="AB295" s="5" t="s">
        <v>2438</v>
      </c>
      <c r="AC295" s="5" t="s">
        <v>48</v>
      </c>
      <c r="AD295" s="5" t="s">
        <v>5530</v>
      </c>
      <c r="AE295" s="5" t="str">
        <f t="shared" ca="1" si="43"/>
        <v>NO PRAZO</v>
      </c>
      <c r="AF295" s="49"/>
    </row>
    <row r="296" spans="1:32" ht="30" customHeight="1" x14ac:dyDescent="0.25">
      <c r="A296" s="5" t="s">
        <v>2071</v>
      </c>
      <c r="B296" s="5" t="s">
        <v>10</v>
      </c>
      <c r="C296" s="5" t="s">
        <v>5862</v>
      </c>
      <c r="D296" s="7" t="s">
        <v>634</v>
      </c>
      <c r="E296" s="7" t="s">
        <v>256</v>
      </c>
      <c r="F296" s="7" t="s">
        <v>317</v>
      </c>
      <c r="G296" s="5" t="s">
        <v>631</v>
      </c>
      <c r="H296" s="7" t="s">
        <v>631</v>
      </c>
      <c r="I296" s="7" t="s">
        <v>2026</v>
      </c>
      <c r="J296" s="7" t="s">
        <v>2027</v>
      </c>
      <c r="K296" s="5" t="s">
        <v>45</v>
      </c>
      <c r="L296" s="5" t="s">
        <v>10</v>
      </c>
      <c r="M296" s="5" t="s">
        <v>10</v>
      </c>
      <c r="N296" s="5" t="s">
        <v>10</v>
      </c>
      <c r="O296" s="119" t="s">
        <v>46</v>
      </c>
      <c r="P296" s="101">
        <v>46092</v>
      </c>
      <c r="Q296" s="100">
        <f>IF(P296="","",P296+184)</f>
        <v>46276</v>
      </c>
      <c r="R296" s="5" t="s">
        <v>3438</v>
      </c>
      <c r="S296" s="5" t="s">
        <v>5167</v>
      </c>
      <c r="T296" s="7">
        <v>0.25</v>
      </c>
      <c r="U296" s="5" t="s">
        <v>10</v>
      </c>
      <c r="V296" s="7">
        <f t="shared" si="45"/>
        <v>0.25</v>
      </c>
      <c r="W296" s="5">
        <v>0.5</v>
      </c>
      <c r="X296" s="5" t="s">
        <v>55</v>
      </c>
      <c r="Y296" s="7" t="s">
        <v>56</v>
      </c>
      <c r="Z296" s="48" t="str">
        <f t="shared" si="46"/>
        <v>APROVADO</v>
      </c>
      <c r="AA296" s="47">
        <v>11594806</v>
      </c>
      <c r="AB296" s="5" t="s">
        <v>3279</v>
      </c>
      <c r="AC296" s="5" t="s">
        <v>48</v>
      </c>
      <c r="AD296" s="5" t="s">
        <v>5530</v>
      </c>
      <c r="AE296" s="5" t="str">
        <f t="shared" ref="AE296:AE338" ca="1" si="55">IFERROR(IF(OR(AND(YEAR(Q296)=YEAR(TODAY()),MONTH(Q296)&gt;MONTH(TODAY())),(YEAR(Q296)&gt;YEAR(TODAY()))),$AK$4,IF(AND(YEAR(Q296)=YEAR(TODAY()),MONTH(Q296)=MONTH(TODAY())),$AK$5,IF(Q296="",$AK$6,$AK$7))),"-")</f>
        <v>NO PRAZO</v>
      </c>
      <c r="AF296" s="52"/>
    </row>
    <row r="297" spans="1:32" ht="30" customHeight="1" x14ac:dyDescent="0.25">
      <c r="A297" s="5" t="s">
        <v>2072</v>
      </c>
      <c r="B297" s="5" t="s">
        <v>10</v>
      </c>
      <c r="C297" s="5" t="s">
        <v>5862</v>
      </c>
      <c r="D297" s="7" t="s">
        <v>634</v>
      </c>
      <c r="E297" s="7" t="s">
        <v>256</v>
      </c>
      <c r="F297" s="7" t="s">
        <v>317</v>
      </c>
      <c r="G297" s="5" t="s">
        <v>631</v>
      </c>
      <c r="H297" s="7" t="s">
        <v>631</v>
      </c>
      <c r="I297" s="7" t="s">
        <v>2026</v>
      </c>
      <c r="J297" s="7" t="s">
        <v>2027</v>
      </c>
      <c r="K297" s="5" t="s">
        <v>45</v>
      </c>
      <c r="L297" s="5" t="s">
        <v>10</v>
      </c>
      <c r="M297" s="5" t="s">
        <v>10</v>
      </c>
      <c r="N297" s="5" t="s">
        <v>10</v>
      </c>
      <c r="O297" s="119" t="s">
        <v>46</v>
      </c>
      <c r="P297" s="101">
        <v>46092</v>
      </c>
      <c r="Q297" s="100">
        <f>IF(P297="","",P297+184)</f>
        <v>46276</v>
      </c>
      <c r="R297" s="5" t="s">
        <v>3437</v>
      </c>
      <c r="S297" s="5" t="s">
        <v>5038</v>
      </c>
      <c r="T297" s="7">
        <v>0.28999999999999998</v>
      </c>
      <c r="U297" s="5"/>
      <c r="V297" s="7">
        <f t="shared" si="45"/>
        <v>0.28999999999999998</v>
      </c>
      <c r="W297" s="5">
        <v>0.5</v>
      </c>
      <c r="X297" s="5" t="s">
        <v>55</v>
      </c>
      <c r="Y297" s="7" t="s">
        <v>56</v>
      </c>
      <c r="Z297" s="48" t="str">
        <f t="shared" si="46"/>
        <v>APROVADO</v>
      </c>
      <c r="AA297" s="47">
        <v>11605555</v>
      </c>
      <c r="AB297" s="5" t="s">
        <v>3969</v>
      </c>
      <c r="AC297" s="5" t="s">
        <v>48</v>
      </c>
      <c r="AD297" s="5" t="s">
        <v>5530</v>
      </c>
      <c r="AE297" s="5" t="str">
        <f t="shared" ca="1" si="55"/>
        <v>NO PRAZO</v>
      </c>
      <c r="AF297" s="52"/>
    </row>
    <row r="298" spans="1:32" ht="30" customHeight="1" x14ac:dyDescent="0.25">
      <c r="A298" s="5" t="s">
        <v>3679</v>
      </c>
      <c r="B298" s="5" t="s">
        <v>10</v>
      </c>
      <c r="C298" s="5" t="s">
        <v>5862</v>
      </c>
      <c r="D298" s="7" t="s">
        <v>634</v>
      </c>
      <c r="E298" s="7" t="s">
        <v>256</v>
      </c>
      <c r="F298" s="7" t="s">
        <v>317</v>
      </c>
      <c r="G298" s="5" t="s">
        <v>631</v>
      </c>
      <c r="H298" s="7" t="s">
        <v>631</v>
      </c>
      <c r="I298" s="7" t="s">
        <v>2026</v>
      </c>
      <c r="J298" s="7" t="s">
        <v>2027</v>
      </c>
      <c r="K298" s="5" t="s">
        <v>45</v>
      </c>
      <c r="L298" s="5" t="s">
        <v>10</v>
      </c>
      <c r="M298" s="5" t="s">
        <v>10</v>
      </c>
      <c r="N298" s="5" t="s">
        <v>10</v>
      </c>
      <c r="O298" s="119" t="s">
        <v>46</v>
      </c>
      <c r="P298" s="101">
        <v>46155</v>
      </c>
      <c r="Q298" s="100">
        <f>IF(P298="","",P298+184)</f>
        <v>46339</v>
      </c>
      <c r="R298" s="5" t="s">
        <v>3680</v>
      </c>
      <c r="S298" s="5" t="s">
        <v>5608</v>
      </c>
      <c r="T298" s="7">
        <v>0.26</v>
      </c>
      <c r="U298" s="5" t="s">
        <v>10</v>
      </c>
      <c r="V298" s="7">
        <f t="shared" si="45"/>
        <v>0.26</v>
      </c>
      <c r="W298" s="5">
        <v>0.5</v>
      </c>
      <c r="X298" s="5" t="s">
        <v>55</v>
      </c>
      <c r="Y298" s="7" t="s">
        <v>56</v>
      </c>
      <c r="Z298" s="48" t="str">
        <f t="shared" si="46"/>
        <v>APROVADO</v>
      </c>
      <c r="AA298" s="47">
        <v>11606579</v>
      </c>
      <c r="AB298" s="5" t="s">
        <v>4021</v>
      </c>
      <c r="AC298" s="5" t="s">
        <v>48</v>
      </c>
      <c r="AD298" s="5" t="s">
        <v>5530</v>
      </c>
      <c r="AE298" s="5" t="str">
        <f t="shared" ca="1" si="55"/>
        <v>NO PRAZO</v>
      </c>
      <c r="AF298" s="51"/>
    </row>
    <row r="299" spans="1:32" ht="30" customHeight="1" x14ac:dyDescent="0.25">
      <c r="A299" s="5" t="s">
        <v>5637</v>
      </c>
      <c r="B299" s="5" t="s">
        <v>10</v>
      </c>
      <c r="C299" s="5" t="s">
        <v>5862</v>
      </c>
      <c r="D299" s="7" t="s">
        <v>634</v>
      </c>
      <c r="E299" s="7" t="s">
        <v>256</v>
      </c>
      <c r="F299" s="7" t="s">
        <v>257</v>
      </c>
      <c r="G299" s="5" t="s">
        <v>631</v>
      </c>
      <c r="H299" s="7" t="s">
        <v>631</v>
      </c>
      <c r="I299" s="7" t="s">
        <v>2026</v>
      </c>
      <c r="J299" s="7" t="s">
        <v>2027</v>
      </c>
      <c r="K299" s="5" t="s">
        <v>45</v>
      </c>
      <c r="L299" s="5" t="s">
        <v>10</v>
      </c>
      <c r="M299" s="5" t="s">
        <v>10</v>
      </c>
      <c r="N299" s="5" t="s">
        <v>10</v>
      </c>
      <c r="O299" s="119" t="s">
        <v>46</v>
      </c>
      <c r="P299" s="101">
        <v>46186</v>
      </c>
      <c r="Q299" s="100">
        <f>IF(P299="","",P299+183)</f>
        <v>46369</v>
      </c>
      <c r="R299" s="5" t="s">
        <v>5638</v>
      </c>
      <c r="S299" s="5" t="s">
        <v>5639</v>
      </c>
      <c r="T299" s="7">
        <v>0.46</v>
      </c>
      <c r="U299" s="5" t="s">
        <v>10</v>
      </c>
      <c r="V299" s="7">
        <f t="shared" si="45"/>
        <v>0.46</v>
      </c>
      <c r="W299" s="5">
        <v>0.5</v>
      </c>
      <c r="X299" s="5" t="s">
        <v>55</v>
      </c>
      <c r="Y299" s="7" t="s">
        <v>56</v>
      </c>
      <c r="Z299" s="48" t="str">
        <f t="shared" si="46"/>
        <v>APROVADO</v>
      </c>
      <c r="AA299" s="47">
        <v>11606580</v>
      </c>
      <c r="AB299" s="5" t="s">
        <v>5636</v>
      </c>
      <c r="AC299" s="5" t="s">
        <v>48</v>
      </c>
      <c r="AD299" s="5" t="s">
        <v>5632</v>
      </c>
      <c r="AE299" s="5" t="str">
        <f t="shared" ca="1" si="55"/>
        <v>NO PRAZO</v>
      </c>
      <c r="AF299" s="53"/>
    </row>
    <row r="300" spans="1:32" ht="30" customHeight="1" x14ac:dyDescent="0.25">
      <c r="A300" s="5" t="s">
        <v>3661</v>
      </c>
      <c r="B300" s="5" t="s">
        <v>10</v>
      </c>
      <c r="C300" s="5" t="s">
        <v>5862</v>
      </c>
      <c r="D300" s="7" t="s">
        <v>634</v>
      </c>
      <c r="E300" s="7" t="s">
        <v>40</v>
      </c>
      <c r="F300" s="7" t="s">
        <v>156</v>
      </c>
      <c r="G300" s="5" t="s">
        <v>5909</v>
      </c>
      <c r="H300" s="7" t="s">
        <v>631</v>
      </c>
      <c r="I300" s="7" t="s">
        <v>2026</v>
      </c>
      <c r="J300" s="7" t="s">
        <v>2027</v>
      </c>
      <c r="K300" s="5" t="s">
        <v>45</v>
      </c>
      <c r="L300" s="5" t="s">
        <v>10</v>
      </c>
      <c r="M300" s="5" t="s">
        <v>10</v>
      </c>
      <c r="N300" s="5" t="s">
        <v>10</v>
      </c>
      <c r="O300" s="119" t="s">
        <v>46</v>
      </c>
      <c r="P300" s="101">
        <v>46222</v>
      </c>
      <c r="Q300" s="100">
        <f t="shared" ref="Q300:Q306" si="56">IF(P300="","",P300+184)</f>
        <v>46406</v>
      </c>
      <c r="R300" s="5" t="s">
        <v>3670</v>
      </c>
      <c r="S300" s="5" t="s">
        <v>5924</v>
      </c>
      <c r="T300" s="7">
        <v>0.24</v>
      </c>
      <c r="U300" s="5" t="s">
        <v>10</v>
      </c>
      <c r="V300" s="7">
        <f t="shared" si="45"/>
        <v>0.24</v>
      </c>
      <c r="W300" s="5">
        <v>0.5</v>
      </c>
      <c r="X300" s="5" t="s">
        <v>55</v>
      </c>
      <c r="Y300" s="7" t="s">
        <v>56</v>
      </c>
      <c r="Z300" s="48" t="str">
        <f t="shared" si="46"/>
        <v>APROVADO</v>
      </c>
      <c r="AA300" s="47">
        <v>11606581</v>
      </c>
      <c r="AB300" s="5" t="s">
        <v>4022</v>
      </c>
      <c r="AC300" s="5" t="s">
        <v>48</v>
      </c>
      <c r="AD300" s="5" t="s">
        <v>5632</v>
      </c>
      <c r="AE300" s="5" t="str">
        <f t="shared" ca="1" si="55"/>
        <v>NO PRAZO</v>
      </c>
      <c r="AF300" s="51"/>
    </row>
    <row r="301" spans="1:32" ht="30" customHeight="1" x14ac:dyDescent="0.25">
      <c r="A301" s="5" t="s">
        <v>5379</v>
      </c>
      <c r="B301" s="5" t="s">
        <v>10</v>
      </c>
      <c r="C301" s="5" t="s">
        <v>5862</v>
      </c>
      <c r="D301" s="7" t="s">
        <v>634</v>
      </c>
      <c r="E301" s="7" t="s">
        <v>256</v>
      </c>
      <c r="F301" s="7" t="s">
        <v>317</v>
      </c>
      <c r="G301" s="5" t="s">
        <v>631</v>
      </c>
      <c r="H301" s="7" t="s">
        <v>631</v>
      </c>
      <c r="I301" s="7" t="s">
        <v>2026</v>
      </c>
      <c r="J301" s="7" t="s">
        <v>2027</v>
      </c>
      <c r="K301" s="5" t="s">
        <v>45</v>
      </c>
      <c r="L301" s="5" t="s">
        <v>10</v>
      </c>
      <c r="M301" s="5" t="s">
        <v>10</v>
      </c>
      <c r="N301" s="5" t="s">
        <v>10</v>
      </c>
      <c r="O301" s="119" t="s">
        <v>46</v>
      </c>
      <c r="P301" s="101">
        <v>46153</v>
      </c>
      <c r="Q301" s="100">
        <f t="shared" si="56"/>
        <v>46337</v>
      </c>
      <c r="R301" s="5" t="s">
        <v>5381</v>
      </c>
      <c r="S301" s="5" t="s">
        <v>5383</v>
      </c>
      <c r="T301" s="7">
        <v>0.23</v>
      </c>
      <c r="U301" s="5" t="s">
        <v>10</v>
      </c>
      <c r="V301" s="7">
        <f t="shared" si="45"/>
        <v>0.23</v>
      </c>
      <c r="W301" s="5">
        <v>0.5</v>
      </c>
      <c r="X301" s="5" t="s">
        <v>55</v>
      </c>
      <c r="Y301" s="7" t="s">
        <v>56</v>
      </c>
      <c r="Z301" s="48" t="str">
        <f t="shared" si="46"/>
        <v>APROVADO</v>
      </c>
      <c r="AA301" s="47" t="s">
        <v>4675</v>
      </c>
      <c r="AB301" s="47" t="s">
        <v>4675</v>
      </c>
      <c r="AC301" s="5" t="s">
        <v>48</v>
      </c>
      <c r="AD301" s="5" t="s">
        <v>5530</v>
      </c>
      <c r="AE301" s="5" t="str">
        <f t="shared" ca="1" si="55"/>
        <v>NO PRAZO</v>
      </c>
      <c r="AF301" s="51"/>
    </row>
    <row r="302" spans="1:32" ht="30" customHeight="1" x14ac:dyDescent="0.25">
      <c r="A302" s="5" t="s">
        <v>5380</v>
      </c>
      <c r="B302" s="5" t="s">
        <v>10</v>
      </c>
      <c r="C302" s="5" t="s">
        <v>5862</v>
      </c>
      <c r="D302" s="7" t="s">
        <v>634</v>
      </c>
      <c r="E302" s="7" t="s">
        <v>256</v>
      </c>
      <c r="F302" s="7" t="s">
        <v>317</v>
      </c>
      <c r="G302" s="5" t="s">
        <v>631</v>
      </c>
      <c r="H302" s="7" t="s">
        <v>631</v>
      </c>
      <c r="I302" s="7" t="s">
        <v>2026</v>
      </c>
      <c r="J302" s="7" t="s">
        <v>2027</v>
      </c>
      <c r="K302" s="5" t="s">
        <v>45</v>
      </c>
      <c r="L302" s="5" t="s">
        <v>10</v>
      </c>
      <c r="M302" s="5" t="s">
        <v>10</v>
      </c>
      <c r="N302" s="5" t="s">
        <v>10</v>
      </c>
      <c r="O302" s="119" t="s">
        <v>46</v>
      </c>
      <c r="P302" s="101">
        <v>46153</v>
      </c>
      <c r="Q302" s="100">
        <f t="shared" si="56"/>
        <v>46337</v>
      </c>
      <c r="R302" s="5" t="s">
        <v>5382</v>
      </c>
      <c r="S302" s="5" t="s">
        <v>5384</v>
      </c>
      <c r="T302" s="7">
        <v>0.17</v>
      </c>
      <c r="U302" s="5" t="s">
        <v>10</v>
      </c>
      <c r="V302" s="7">
        <f t="shared" si="45"/>
        <v>0.17</v>
      </c>
      <c r="W302" s="5">
        <v>0.5</v>
      </c>
      <c r="X302" s="5" t="s">
        <v>55</v>
      </c>
      <c r="Y302" s="7" t="s">
        <v>56</v>
      </c>
      <c r="Z302" s="48" t="str">
        <f t="shared" si="46"/>
        <v>APROVADO</v>
      </c>
      <c r="AA302" s="47" t="s">
        <v>4675</v>
      </c>
      <c r="AB302" s="47" t="s">
        <v>4675</v>
      </c>
      <c r="AC302" s="5" t="s">
        <v>48</v>
      </c>
      <c r="AD302" s="5" t="s">
        <v>5530</v>
      </c>
      <c r="AE302" s="5" t="str">
        <f t="shared" ca="1" si="55"/>
        <v>NO PRAZO</v>
      </c>
      <c r="AF302" s="51"/>
    </row>
    <row r="303" spans="1:32" ht="30" customHeight="1" x14ac:dyDescent="0.25">
      <c r="A303" s="5" t="s">
        <v>3662</v>
      </c>
      <c r="B303" s="5" t="s">
        <v>10</v>
      </c>
      <c r="C303" s="5" t="s">
        <v>5862</v>
      </c>
      <c r="D303" s="7" t="s">
        <v>634</v>
      </c>
      <c r="E303" s="7" t="s">
        <v>256</v>
      </c>
      <c r="F303" s="7" t="s">
        <v>317</v>
      </c>
      <c r="G303" s="5" t="s">
        <v>631</v>
      </c>
      <c r="H303" s="7" t="s">
        <v>631</v>
      </c>
      <c r="I303" s="7" t="s">
        <v>2026</v>
      </c>
      <c r="J303" s="7" t="s">
        <v>2027</v>
      </c>
      <c r="K303" s="5" t="s">
        <v>45</v>
      </c>
      <c r="L303" s="5" t="s">
        <v>10</v>
      </c>
      <c r="M303" s="5" t="s">
        <v>10</v>
      </c>
      <c r="N303" s="5" t="s">
        <v>10</v>
      </c>
      <c r="O303" s="119" t="s">
        <v>46</v>
      </c>
      <c r="P303" s="101">
        <v>46153</v>
      </c>
      <c r="Q303" s="100">
        <f t="shared" si="56"/>
        <v>46337</v>
      </c>
      <c r="R303" s="5" t="s">
        <v>3671</v>
      </c>
      <c r="S303" s="5" t="s">
        <v>5377</v>
      </c>
      <c r="T303" s="7">
        <v>0.28000000000000003</v>
      </c>
      <c r="U303" s="5" t="s">
        <v>10</v>
      </c>
      <c r="V303" s="7">
        <f t="shared" si="45"/>
        <v>0.28000000000000003</v>
      </c>
      <c r="W303" s="5">
        <v>0.5</v>
      </c>
      <c r="X303" s="5" t="s">
        <v>55</v>
      </c>
      <c r="Y303" s="7" t="s">
        <v>56</v>
      </c>
      <c r="Z303" s="48" t="str">
        <f t="shared" si="46"/>
        <v>APROVADO</v>
      </c>
      <c r="AA303" s="47">
        <v>11606582</v>
      </c>
      <c r="AB303" s="5" t="s">
        <v>4023</v>
      </c>
      <c r="AC303" s="5" t="s">
        <v>48</v>
      </c>
      <c r="AD303" s="5" t="s">
        <v>5530</v>
      </c>
      <c r="AE303" s="5" t="str">
        <f t="shared" ca="1" si="55"/>
        <v>NO PRAZO</v>
      </c>
      <c r="AF303" s="51"/>
    </row>
    <row r="304" spans="1:32" ht="30" customHeight="1" x14ac:dyDescent="0.25">
      <c r="A304" s="5" t="s">
        <v>3663</v>
      </c>
      <c r="B304" s="5" t="s">
        <v>10</v>
      </c>
      <c r="C304" s="5" t="s">
        <v>5862</v>
      </c>
      <c r="D304" s="7" t="s">
        <v>634</v>
      </c>
      <c r="E304" s="7" t="s">
        <v>256</v>
      </c>
      <c r="F304" s="7" t="s">
        <v>317</v>
      </c>
      <c r="G304" s="5" t="s">
        <v>631</v>
      </c>
      <c r="H304" s="7" t="s">
        <v>631</v>
      </c>
      <c r="I304" s="7" t="s">
        <v>2026</v>
      </c>
      <c r="J304" s="7" t="s">
        <v>2027</v>
      </c>
      <c r="K304" s="5" t="s">
        <v>45</v>
      </c>
      <c r="L304" s="5" t="s">
        <v>10</v>
      </c>
      <c r="M304" s="5" t="s">
        <v>10</v>
      </c>
      <c r="N304" s="5" t="s">
        <v>10</v>
      </c>
      <c r="O304" s="119" t="s">
        <v>46</v>
      </c>
      <c r="P304" s="101">
        <v>46153</v>
      </c>
      <c r="Q304" s="100">
        <f t="shared" si="56"/>
        <v>46337</v>
      </c>
      <c r="R304" s="5" t="s">
        <v>3672</v>
      </c>
      <c r="S304" s="5" t="s">
        <v>5378</v>
      </c>
      <c r="T304" s="7">
        <v>0.14000000000000001</v>
      </c>
      <c r="U304" s="5" t="s">
        <v>10</v>
      </c>
      <c r="V304" s="7">
        <f t="shared" si="45"/>
        <v>0.14000000000000001</v>
      </c>
      <c r="W304" s="5">
        <v>0.5</v>
      </c>
      <c r="X304" s="5" t="s">
        <v>55</v>
      </c>
      <c r="Y304" s="7" t="s">
        <v>56</v>
      </c>
      <c r="Z304" s="48" t="str">
        <f t="shared" si="46"/>
        <v>APROVADO</v>
      </c>
      <c r="AA304" s="47">
        <v>11606583</v>
      </c>
      <c r="AB304" s="5" t="s">
        <v>4024</v>
      </c>
      <c r="AC304" s="5" t="s">
        <v>48</v>
      </c>
      <c r="AD304" s="5" t="s">
        <v>5530</v>
      </c>
      <c r="AE304" s="5" t="str">
        <f t="shared" ca="1" si="55"/>
        <v>NO PRAZO</v>
      </c>
      <c r="AF304" s="51"/>
    </row>
    <row r="305" spans="1:32" ht="30" customHeight="1" x14ac:dyDescent="0.25">
      <c r="A305" s="5" t="s">
        <v>3664</v>
      </c>
      <c r="B305" s="5" t="s">
        <v>10</v>
      </c>
      <c r="C305" s="5" t="s">
        <v>5862</v>
      </c>
      <c r="D305" s="7" t="s">
        <v>634</v>
      </c>
      <c r="E305" s="7" t="s">
        <v>256</v>
      </c>
      <c r="F305" s="7" t="s">
        <v>317</v>
      </c>
      <c r="G305" s="5" t="s">
        <v>631</v>
      </c>
      <c r="H305" s="7" t="s">
        <v>631</v>
      </c>
      <c r="I305" s="7" t="s">
        <v>2026</v>
      </c>
      <c r="J305" s="7" t="s">
        <v>2027</v>
      </c>
      <c r="K305" s="5" t="s">
        <v>45</v>
      </c>
      <c r="L305" s="5" t="s">
        <v>10</v>
      </c>
      <c r="M305" s="5" t="s">
        <v>10</v>
      </c>
      <c r="N305" s="5" t="s">
        <v>10</v>
      </c>
      <c r="O305" s="119" t="s">
        <v>46</v>
      </c>
      <c r="P305" s="101">
        <v>46153</v>
      </c>
      <c r="Q305" s="100">
        <f t="shared" si="56"/>
        <v>46337</v>
      </c>
      <c r="R305" s="5" t="s">
        <v>3673</v>
      </c>
      <c r="S305" s="5" t="s">
        <v>5369</v>
      </c>
      <c r="T305" s="7">
        <v>0.18</v>
      </c>
      <c r="U305" s="5" t="s">
        <v>10</v>
      </c>
      <c r="V305" s="7">
        <f t="shared" si="45"/>
        <v>0.18</v>
      </c>
      <c r="W305" s="5">
        <v>0.5</v>
      </c>
      <c r="X305" s="5" t="s">
        <v>55</v>
      </c>
      <c r="Y305" s="7" t="s">
        <v>56</v>
      </c>
      <c r="Z305" s="48" t="str">
        <f t="shared" si="46"/>
        <v>APROVADO</v>
      </c>
      <c r="AA305" s="47">
        <v>11606584</v>
      </c>
      <c r="AB305" s="5" t="s">
        <v>4025</v>
      </c>
      <c r="AC305" s="5" t="s">
        <v>48</v>
      </c>
      <c r="AD305" s="5" t="s">
        <v>5530</v>
      </c>
      <c r="AE305" s="5" t="str">
        <f t="shared" ca="1" si="55"/>
        <v>NO PRAZO</v>
      </c>
      <c r="AF305" s="51"/>
    </row>
    <row r="306" spans="1:32" ht="30" customHeight="1" x14ac:dyDescent="0.25">
      <c r="A306" s="5" t="s">
        <v>3665</v>
      </c>
      <c r="B306" s="5" t="s">
        <v>10</v>
      </c>
      <c r="C306" s="5" t="s">
        <v>5862</v>
      </c>
      <c r="D306" s="7" t="s">
        <v>634</v>
      </c>
      <c r="E306" s="7" t="s">
        <v>50</v>
      </c>
      <c r="F306" s="7" t="s">
        <v>221</v>
      </c>
      <c r="G306" s="5" t="s">
        <v>631</v>
      </c>
      <c r="H306" s="7" t="s">
        <v>631</v>
      </c>
      <c r="I306" s="7" t="s">
        <v>2026</v>
      </c>
      <c r="J306" s="7" t="s">
        <v>2027</v>
      </c>
      <c r="K306" s="5" t="s">
        <v>45</v>
      </c>
      <c r="L306" s="5" t="s">
        <v>10</v>
      </c>
      <c r="M306" s="5" t="s">
        <v>10</v>
      </c>
      <c r="N306" s="5" t="s">
        <v>10</v>
      </c>
      <c r="O306" s="119" t="s">
        <v>46</v>
      </c>
      <c r="P306" s="101">
        <v>46222</v>
      </c>
      <c r="Q306" s="100">
        <f t="shared" si="56"/>
        <v>46406</v>
      </c>
      <c r="R306" s="5" t="s">
        <v>3674</v>
      </c>
      <c r="S306" s="5" t="s">
        <v>5877</v>
      </c>
      <c r="T306" s="7">
        <v>0.31</v>
      </c>
      <c r="U306" s="5" t="s">
        <v>10</v>
      </c>
      <c r="V306" s="7">
        <f t="shared" si="45"/>
        <v>0.31</v>
      </c>
      <c r="W306" s="5">
        <v>0.5</v>
      </c>
      <c r="X306" s="5" t="s">
        <v>55</v>
      </c>
      <c r="Y306" s="7" t="s">
        <v>56</v>
      </c>
      <c r="Z306" s="48" t="str">
        <f t="shared" si="46"/>
        <v>APROVADO</v>
      </c>
      <c r="AA306" s="47">
        <v>11606585</v>
      </c>
      <c r="AB306" s="5" t="s">
        <v>4026</v>
      </c>
      <c r="AC306" s="5" t="s">
        <v>48</v>
      </c>
      <c r="AD306" s="5" t="s">
        <v>5632</v>
      </c>
      <c r="AE306" s="5" t="str">
        <f t="shared" ca="1" si="55"/>
        <v>NO PRAZO</v>
      </c>
      <c r="AF306" s="51"/>
    </row>
    <row r="307" spans="1:32" ht="30" customHeight="1" x14ac:dyDescent="0.25">
      <c r="A307" s="5" t="s">
        <v>3666</v>
      </c>
      <c r="B307" s="5" t="s">
        <v>10</v>
      </c>
      <c r="C307" s="5" t="s">
        <v>5862</v>
      </c>
      <c r="D307" s="7" t="s">
        <v>634</v>
      </c>
      <c r="E307" s="7" t="s">
        <v>256</v>
      </c>
      <c r="F307" s="7" t="s">
        <v>317</v>
      </c>
      <c r="G307" s="5" t="s">
        <v>631</v>
      </c>
      <c r="H307" s="7" t="s">
        <v>631</v>
      </c>
      <c r="I307" s="7" t="s">
        <v>2026</v>
      </c>
      <c r="J307" s="7" t="s">
        <v>2027</v>
      </c>
      <c r="K307" s="5" t="s">
        <v>45</v>
      </c>
      <c r="L307" s="5" t="s">
        <v>10</v>
      </c>
      <c r="M307" s="5" t="s">
        <v>10</v>
      </c>
      <c r="N307" s="5" t="s">
        <v>10</v>
      </c>
      <c r="O307" s="119" t="s">
        <v>46</v>
      </c>
      <c r="P307" s="101">
        <v>45963</v>
      </c>
      <c r="Q307" s="100">
        <f>IF(P307="","",P307+181)</f>
        <v>46144</v>
      </c>
      <c r="R307" s="5" t="s">
        <v>273</v>
      </c>
      <c r="S307" s="5" t="s">
        <v>3675</v>
      </c>
      <c r="T307" s="7">
        <v>0.31</v>
      </c>
      <c r="U307" s="5" t="s">
        <v>10</v>
      </c>
      <c r="V307" s="7">
        <f t="shared" si="45"/>
        <v>0.31</v>
      </c>
      <c r="W307" s="5">
        <v>0.5</v>
      </c>
      <c r="X307" s="5" t="s">
        <v>55</v>
      </c>
      <c r="Y307" s="7" t="s">
        <v>56</v>
      </c>
      <c r="Z307" s="48" t="str">
        <f t="shared" si="46"/>
        <v>APROVADO</v>
      </c>
      <c r="AA307" s="47">
        <v>11606586</v>
      </c>
      <c r="AB307" s="5" t="s">
        <v>4027</v>
      </c>
      <c r="AC307" s="5" t="s">
        <v>48</v>
      </c>
      <c r="AD307" s="5" t="s">
        <v>5530</v>
      </c>
      <c r="AE307" s="5" t="s">
        <v>5906</v>
      </c>
      <c r="AF307" s="53"/>
    </row>
    <row r="308" spans="1:32" ht="30" customHeight="1" x14ac:dyDescent="0.25">
      <c r="A308" s="5" t="s">
        <v>3667</v>
      </c>
      <c r="B308" s="5" t="s">
        <v>10</v>
      </c>
      <c r="C308" s="5" t="s">
        <v>5862</v>
      </c>
      <c r="D308" s="7" t="s">
        <v>634</v>
      </c>
      <c r="E308" s="7" t="s">
        <v>256</v>
      </c>
      <c r="F308" s="7" t="s">
        <v>317</v>
      </c>
      <c r="G308" s="5" t="s">
        <v>631</v>
      </c>
      <c r="H308" s="7" t="s">
        <v>631</v>
      </c>
      <c r="I308" s="7" t="s">
        <v>2026</v>
      </c>
      <c r="J308" s="7" t="s">
        <v>2027</v>
      </c>
      <c r="K308" s="5" t="s">
        <v>45</v>
      </c>
      <c r="L308" s="5" t="s">
        <v>10</v>
      </c>
      <c r="M308" s="5" t="s">
        <v>10</v>
      </c>
      <c r="N308" s="5" t="s">
        <v>10</v>
      </c>
      <c r="O308" s="119" t="s">
        <v>46</v>
      </c>
      <c r="P308" s="101">
        <v>45963</v>
      </c>
      <c r="Q308" s="100">
        <f>IF(P308="","",P308+181)</f>
        <v>46144</v>
      </c>
      <c r="R308" s="5" t="s">
        <v>273</v>
      </c>
      <c r="S308" s="5" t="s">
        <v>3676</v>
      </c>
      <c r="T308" s="7">
        <v>0.28000000000000003</v>
      </c>
      <c r="U308" s="5" t="s">
        <v>10</v>
      </c>
      <c r="V308" s="7">
        <f t="shared" si="45"/>
        <v>0.28000000000000003</v>
      </c>
      <c r="W308" s="5">
        <v>0.5</v>
      </c>
      <c r="X308" s="5" t="s">
        <v>55</v>
      </c>
      <c r="Y308" s="7" t="s">
        <v>56</v>
      </c>
      <c r="Z308" s="48" t="str">
        <f t="shared" si="46"/>
        <v>APROVADO</v>
      </c>
      <c r="AA308" s="47">
        <v>11606587</v>
      </c>
      <c r="AB308" s="5" t="s">
        <v>4028</v>
      </c>
      <c r="AC308" s="5" t="s">
        <v>48</v>
      </c>
      <c r="AD308" s="5" t="s">
        <v>5530</v>
      </c>
      <c r="AE308" s="5" t="s">
        <v>5906</v>
      </c>
      <c r="AF308" s="53"/>
    </row>
    <row r="309" spans="1:32" ht="30" customHeight="1" x14ac:dyDescent="0.25">
      <c r="A309" s="5" t="s">
        <v>3668</v>
      </c>
      <c r="B309" s="5" t="s">
        <v>10</v>
      </c>
      <c r="C309" s="5" t="s">
        <v>5862</v>
      </c>
      <c r="D309" s="7" t="s">
        <v>634</v>
      </c>
      <c r="E309" s="7" t="s">
        <v>256</v>
      </c>
      <c r="F309" s="7" t="s">
        <v>317</v>
      </c>
      <c r="G309" s="5" t="s">
        <v>631</v>
      </c>
      <c r="H309" s="7" t="s">
        <v>631</v>
      </c>
      <c r="I309" s="7" t="s">
        <v>2026</v>
      </c>
      <c r="J309" s="7" t="s">
        <v>2027</v>
      </c>
      <c r="K309" s="5" t="s">
        <v>45</v>
      </c>
      <c r="L309" s="5" t="s">
        <v>10</v>
      </c>
      <c r="M309" s="5" t="s">
        <v>10</v>
      </c>
      <c r="N309" s="5" t="s">
        <v>10</v>
      </c>
      <c r="O309" s="119" t="s">
        <v>46</v>
      </c>
      <c r="P309" s="101">
        <v>45963</v>
      </c>
      <c r="Q309" s="100">
        <f>IF(P309="","",P309+181)</f>
        <v>46144</v>
      </c>
      <c r="R309" s="5" t="s">
        <v>273</v>
      </c>
      <c r="S309" s="5" t="s">
        <v>3677</v>
      </c>
      <c r="T309" s="7">
        <v>0.2</v>
      </c>
      <c r="U309" s="5" t="s">
        <v>10</v>
      </c>
      <c r="V309" s="7">
        <f t="shared" si="45"/>
        <v>0.2</v>
      </c>
      <c r="W309" s="5">
        <v>0.5</v>
      </c>
      <c r="X309" s="5" t="s">
        <v>55</v>
      </c>
      <c r="Y309" s="7" t="s">
        <v>56</v>
      </c>
      <c r="Z309" s="48" t="str">
        <f t="shared" si="46"/>
        <v>APROVADO</v>
      </c>
      <c r="AA309" s="47">
        <v>11606588</v>
      </c>
      <c r="AB309" s="5" t="s">
        <v>4029</v>
      </c>
      <c r="AC309" s="5" t="s">
        <v>48</v>
      </c>
      <c r="AD309" s="5" t="s">
        <v>5530</v>
      </c>
      <c r="AE309" s="5" t="s">
        <v>5906</v>
      </c>
      <c r="AF309" s="53"/>
    </row>
    <row r="310" spans="1:32" ht="30" customHeight="1" x14ac:dyDescent="0.25">
      <c r="A310" s="5" t="s">
        <v>3669</v>
      </c>
      <c r="B310" s="5" t="s">
        <v>10</v>
      </c>
      <c r="C310" s="5" t="s">
        <v>5862</v>
      </c>
      <c r="D310" s="7" t="s">
        <v>634</v>
      </c>
      <c r="E310" s="7" t="s">
        <v>256</v>
      </c>
      <c r="F310" s="7" t="s">
        <v>317</v>
      </c>
      <c r="G310" s="5" t="s">
        <v>631</v>
      </c>
      <c r="H310" s="7" t="s">
        <v>631</v>
      </c>
      <c r="I310" s="7" t="s">
        <v>2026</v>
      </c>
      <c r="J310" s="7" t="s">
        <v>2027</v>
      </c>
      <c r="K310" s="5" t="s">
        <v>45</v>
      </c>
      <c r="L310" s="5" t="s">
        <v>10</v>
      </c>
      <c r="M310" s="5" t="s">
        <v>10</v>
      </c>
      <c r="N310" s="5" t="s">
        <v>10</v>
      </c>
      <c r="O310" s="119" t="s">
        <v>46</v>
      </c>
      <c r="P310" s="101">
        <v>46203</v>
      </c>
      <c r="Q310" s="100">
        <f>IF(P310="","",P310+183)</f>
        <v>46386</v>
      </c>
      <c r="R310" s="5" t="s">
        <v>3678</v>
      </c>
      <c r="S310" s="5" t="s">
        <v>5723</v>
      </c>
      <c r="T310" s="7">
        <v>0.35</v>
      </c>
      <c r="U310" s="5" t="s">
        <v>10</v>
      </c>
      <c r="V310" s="7">
        <f t="shared" si="45"/>
        <v>0.35</v>
      </c>
      <c r="W310" s="5">
        <v>0.5</v>
      </c>
      <c r="X310" s="5" t="s">
        <v>55</v>
      </c>
      <c r="Y310" s="7" t="s">
        <v>56</v>
      </c>
      <c r="Z310" s="48" t="str">
        <f t="shared" si="46"/>
        <v>APROVADO</v>
      </c>
      <c r="AA310" s="47">
        <v>11606589</v>
      </c>
      <c r="AB310" s="5" t="s">
        <v>4030</v>
      </c>
      <c r="AC310" s="5" t="s">
        <v>48</v>
      </c>
      <c r="AD310" s="5" t="s">
        <v>5632</v>
      </c>
      <c r="AE310" s="5" t="str">
        <f t="shared" ca="1" si="55"/>
        <v>NO PRAZO</v>
      </c>
      <c r="AF310" s="51"/>
    </row>
    <row r="311" spans="1:32" ht="30" customHeight="1" x14ac:dyDescent="0.25">
      <c r="A311" s="5" t="s">
        <v>5933</v>
      </c>
      <c r="B311" s="5" t="s">
        <v>10</v>
      </c>
      <c r="C311" s="5" t="s">
        <v>5862</v>
      </c>
      <c r="D311" s="7" t="s">
        <v>634</v>
      </c>
      <c r="E311" s="7" t="s">
        <v>256</v>
      </c>
      <c r="F311" s="7" t="s">
        <v>317</v>
      </c>
      <c r="G311" s="5" t="s">
        <v>5934</v>
      </c>
      <c r="H311" s="7" t="s">
        <v>10</v>
      </c>
      <c r="I311" s="7" t="s">
        <v>2026</v>
      </c>
      <c r="J311" s="7" t="s">
        <v>6015</v>
      </c>
      <c r="K311" s="5" t="s">
        <v>45</v>
      </c>
      <c r="L311" s="5" t="s">
        <v>10</v>
      </c>
      <c r="M311" s="5" t="s">
        <v>10</v>
      </c>
      <c r="N311" s="5" t="s">
        <v>10</v>
      </c>
      <c r="O311" s="119" t="s">
        <v>46</v>
      </c>
      <c r="P311" s="101">
        <v>46231</v>
      </c>
      <c r="Q311" s="100">
        <f t="shared" ref="Q311:Q322" si="57">IF(P311="","",P311+184)</f>
        <v>46415</v>
      </c>
      <c r="R311" s="5" t="s">
        <v>273</v>
      </c>
      <c r="S311" s="5" t="s">
        <v>5944</v>
      </c>
      <c r="T311" s="7">
        <v>0.28000000000000003</v>
      </c>
      <c r="U311" s="5" t="s">
        <v>10</v>
      </c>
      <c r="V311" s="7">
        <f t="shared" ref="V311" si="58">IFERROR(IF(U311&gt;0,T311*100/U311,T311),T311)</f>
        <v>0.28000000000000003</v>
      </c>
      <c r="W311" s="5">
        <v>0.5</v>
      </c>
      <c r="X311" s="5" t="s">
        <v>55</v>
      </c>
      <c r="Y311" s="7" t="s">
        <v>56</v>
      </c>
      <c r="Z311" s="48" t="str">
        <f t="shared" ref="Z311" si="59">IFERROR(IF(W311="-",$AL$6,CHOOSE(IF(T311="",1,2),$AL$7,IF(V311&gt;W311,$AL$5,$AL$4))),"-")</f>
        <v>APROVADO</v>
      </c>
      <c r="AA311" s="47" t="s">
        <v>4675</v>
      </c>
      <c r="AB311" s="5" t="s">
        <v>4675</v>
      </c>
      <c r="AC311" s="5" t="s">
        <v>48</v>
      </c>
      <c r="AD311" s="5" t="s">
        <v>5632</v>
      </c>
      <c r="AE311" s="5" t="str">
        <f t="shared" ref="AE311" ca="1" si="60">IFERROR(IF(OR(AND(YEAR(Q311)=YEAR(TODAY()),MONTH(Q311)&gt;MONTH(TODAY())),(YEAR(Q311)&gt;YEAR(TODAY()))),$AK$4,IF(AND(YEAR(Q311)=YEAR(TODAY()),MONTH(Q311)=MONTH(TODAY())),$AK$5,IF(Q311="",$AK$6,$AK$7))),"-")</f>
        <v>NO PRAZO</v>
      </c>
      <c r="AF311" s="51"/>
    </row>
    <row r="312" spans="1:32" ht="30" customHeight="1" x14ac:dyDescent="0.25">
      <c r="A312" s="5" t="s">
        <v>5935</v>
      </c>
      <c r="B312" s="5" t="s">
        <v>10</v>
      </c>
      <c r="C312" s="5" t="s">
        <v>5862</v>
      </c>
      <c r="D312" s="7" t="s">
        <v>634</v>
      </c>
      <c r="E312" s="7" t="s">
        <v>256</v>
      </c>
      <c r="F312" s="7" t="s">
        <v>317</v>
      </c>
      <c r="G312" s="5" t="s">
        <v>5934</v>
      </c>
      <c r="H312" s="7" t="s">
        <v>10</v>
      </c>
      <c r="I312" s="7" t="s">
        <v>2026</v>
      </c>
      <c r="J312" s="7" t="s">
        <v>6015</v>
      </c>
      <c r="K312" s="5" t="s">
        <v>45</v>
      </c>
      <c r="L312" s="5" t="s">
        <v>10</v>
      </c>
      <c r="M312" s="5" t="s">
        <v>10</v>
      </c>
      <c r="N312" s="5" t="s">
        <v>10</v>
      </c>
      <c r="O312" s="119" t="s">
        <v>46</v>
      </c>
      <c r="P312" s="101">
        <v>46231</v>
      </c>
      <c r="Q312" s="100">
        <f t="shared" si="57"/>
        <v>46415</v>
      </c>
      <c r="R312" s="5" t="s">
        <v>273</v>
      </c>
      <c r="S312" s="5" t="s">
        <v>5945</v>
      </c>
      <c r="T312" s="7">
        <v>0.37</v>
      </c>
      <c r="U312" s="5" t="s">
        <v>10</v>
      </c>
      <c r="V312" s="7">
        <f t="shared" ref="V312:V320" si="61">IFERROR(IF(U312&gt;0,T312*100/U312,T312),T312)</f>
        <v>0.37</v>
      </c>
      <c r="W312" s="5">
        <v>0.5</v>
      </c>
      <c r="X312" s="5" t="s">
        <v>55</v>
      </c>
      <c r="Y312" s="7" t="s">
        <v>56</v>
      </c>
      <c r="Z312" s="48" t="str">
        <f t="shared" ref="Z312:Z320" si="62">IFERROR(IF(W312="-",$AL$6,CHOOSE(IF(T312="",1,2),$AL$7,IF(V312&gt;W312,$AL$5,$AL$4))),"-")</f>
        <v>APROVADO</v>
      </c>
      <c r="AA312" s="47" t="s">
        <v>4675</v>
      </c>
      <c r="AB312" s="5" t="s">
        <v>4675</v>
      </c>
      <c r="AC312" s="5" t="s">
        <v>48</v>
      </c>
      <c r="AD312" s="5" t="s">
        <v>5632</v>
      </c>
      <c r="AE312" s="5" t="str">
        <f t="shared" ref="AE312:AE320" ca="1" si="63">IFERROR(IF(OR(AND(YEAR(Q312)=YEAR(TODAY()),MONTH(Q312)&gt;MONTH(TODAY())),(YEAR(Q312)&gt;YEAR(TODAY()))),$AK$4,IF(AND(YEAR(Q312)=YEAR(TODAY()),MONTH(Q312)=MONTH(TODAY())),$AK$5,IF(Q312="",$AK$6,$AK$7))),"-")</f>
        <v>NO PRAZO</v>
      </c>
      <c r="AF312" s="51"/>
    </row>
    <row r="313" spans="1:32" ht="30" customHeight="1" x14ac:dyDescent="0.25">
      <c r="A313" s="5" t="s">
        <v>5936</v>
      </c>
      <c r="B313" s="5" t="s">
        <v>10</v>
      </c>
      <c r="C313" s="5" t="s">
        <v>5862</v>
      </c>
      <c r="D313" s="7" t="s">
        <v>634</v>
      </c>
      <c r="E313" s="7" t="s">
        <v>256</v>
      </c>
      <c r="F313" s="7" t="s">
        <v>317</v>
      </c>
      <c r="G313" s="5" t="s">
        <v>5934</v>
      </c>
      <c r="H313" s="7" t="s">
        <v>10</v>
      </c>
      <c r="I313" s="7" t="s">
        <v>2026</v>
      </c>
      <c r="J313" s="7" t="s">
        <v>6015</v>
      </c>
      <c r="K313" s="5" t="s">
        <v>45</v>
      </c>
      <c r="L313" s="5" t="s">
        <v>10</v>
      </c>
      <c r="M313" s="5" t="s">
        <v>10</v>
      </c>
      <c r="N313" s="5" t="s">
        <v>10</v>
      </c>
      <c r="O313" s="119" t="s">
        <v>46</v>
      </c>
      <c r="P313" s="101">
        <v>46231</v>
      </c>
      <c r="Q313" s="100">
        <f t="shared" si="57"/>
        <v>46415</v>
      </c>
      <c r="R313" s="5" t="s">
        <v>273</v>
      </c>
      <c r="S313" s="5" t="s">
        <v>5946</v>
      </c>
      <c r="T313" s="7">
        <v>0.3</v>
      </c>
      <c r="U313" s="5" t="s">
        <v>10</v>
      </c>
      <c r="V313" s="7">
        <f t="shared" si="61"/>
        <v>0.3</v>
      </c>
      <c r="W313" s="5">
        <v>0.5</v>
      </c>
      <c r="X313" s="5" t="s">
        <v>55</v>
      </c>
      <c r="Y313" s="7" t="s">
        <v>56</v>
      </c>
      <c r="Z313" s="48" t="str">
        <f t="shared" si="62"/>
        <v>APROVADO</v>
      </c>
      <c r="AA313" s="47" t="s">
        <v>4675</v>
      </c>
      <c r="AB313" s="5" t="s">
        <v>4675</v>
      </c>
      <c r="AC313" s="5" t="s">
        <v>48</v>
      </c>
      <c r="AD313" s="5" t="s">
        <v>5632</v>
      </c>
      <c r="AE313" s="5" t="str">
        <f t="shared" ca="1" si="63"/>
        <v>NO PRAZO</v>
      </c>
      <c r="AF313" s="51"/>
    </row>
    <row r="314" spans="1:32" ht="30" customHeight="1" x14ac:dyDescent="0.25">
      <c r="A314" s="5" t="s">
        <v>5937</v>
      </c>
      <c r="B314" s="5" t="s">
        <v>10</v>
      </c>
      <c r="C314" s="5" t="s">
        <v>5862</v>
      </c>
      <c r="D314" s="7" t="s">
        <v>634</v>
      </c>
      <c r="E314" s="7" t="s">
        <v>256</v>
      </c>
      <c r="F314" s="7" t="s">
        <v>317</v>
      </c>
      <c r="G314" s="5" t="s">
        <v>5934</v>
      </c>
      <c r="H314" s="7" t="s">
        <v>10</v>
      </c>
      <c r="I314" s="7" t="s">
        <v>2026</v>
      </c>
      <c r="J314" s="7" t="s">
        <v>6015</v>
      </c>
      <c r="K314" s="5" t="s">
        <v>45</v>
      </c>
      <c r="L314" s="5" t="s">
        <v>10</v>
      </c>
      <c r="M314" s="5" t="s">
        <v>10</v>
      </c>
      <c r="N314" s="5" t="s">
        <v>10</v>
      </c>
      <c r="O314" s="119" t="s">
        <v>46</v>
      </c>
      <c r="P314" s="101">
        <v>46231</v>
      </c>
      <c r="Q314" s="100">
        <f t="shared" si="57"/>
        <v>46415</v>
      </c>
      <c r="R314" s="5" t="s">
        <v>273</v>
      </c>
      <c r="S314" s="5" t="s">
        <v>5947</v>
      </c>
      <c r="T314" s="7">
        <v>0.23</v>
      </c>
      <c r="U314" s="5" t="s">
        <v>10</v>
      </c>
      <c r="V314" s="7">
        <f t="shared" si="61"/>
        <v>0.23</v>
      </c>
      <c r="W314" s="5">
        <v>0.5</v>
      </c>
      <c r="X314" s="5" t="s">
        <v>55</v>
      </c>
      <c r="Y314" s="7" t="s">
        <v>56</v>
      </c>
      <c r="Z314" s="48" t="str">
        <f t="shared" si="62"/>
        <v>APROVADO</v>
      </c>
      <c r="AA314" s="47" t="s">
        <v>4675</v>
      </c>
      <c r="AB314" s="5" t="s">
        <v>4675</v>
      </c>
      <c r="AC314" s="5" t="s">
        <v>48</v>
      </c>
      <c r="AD314" s="5" t="s">
        <v>5632</v>
      </c>
      <c r="AE314" s="5" t="str">
        <f t="shared" ca="1" si="63"/>
        <v>NO PRAZO</v>
      </c>
      <c r="AF314" s="51"/>
    </row>
    <row r="315" spans="1:32" ht="30" customHeight="1" x14ac:dyDescent="0.25">
      <c r="A315" s="5" t="s">
        <v>5938</v>
      </c>
      <c r="B315" s="5" t="s">
        <v>10</v>
      </c>
      <c r="C315" s="5" t="s">
        <v>5862</v>
      </c>
      <c r="D315" s="7" t="s">
        <v>634</v>
      </c>
      <c r="E315" s="7" t="s">
        <v>256</v>
      </c>
      <c r="F315" s="7" t="s">
        <v>317</v>
      </c>
      <c r="G315" s="5" t="s">
        <v>5934</v>
      </c>
      <c r="H315" s="7" t="s">
        <v>10</v>
      </c>
      <c r="I315" s="7" t="s">
        <v>2026</v>
      </c>
      <c r="J315" s="7" t="s">
        <v>6015</v>
      </c>
      <c r="K315" s="5" t="s">
        <v>45</v>
      </c>
      <c r="L315" s="5" t="s">
        <v>10</v>
      </c>
      <c r="M315" s="5" t="s">
        <v>10</v>
      </c>
      <c r="N315" s="5" t="s">
        <v>10</v>
      </c>
      <c r="O315" s="119" t="s">
        <v>46</v>
      </c>
      <c r="P315" s="101">
        <v>46231</v>
      </c>
      <c r="Q315" s="100">
        <f t="shared" si="57"/>
        <v>46415</v>
      </c>
      <c r="R315" s="5" t="s">
        <v>273</v>
      </c>
      <c r="S315" s="5" t="s">
        <v>5948</v>
      </c>
      <c r="T315" s="7">
        <v>0.4</v>
      </c>
      <c r="U315" s="5" t="s">
        <v>10</v>
      </c>
      <c r="V315" s="7">
        <f t="shared" si="61"/>
        <v>0.4</v>
      </c>
      <c r="W315" s="5">
        <v>0.5</v>
      </c>
      <c r="X315" s="5" t="s">
        <v>55</v>
      </c>
      <c r="Y315" s="7" t="s">
        <v>56</v>
      </c>
      <c r="Z315" s="48" t="str">
        <f t="shared" si="62"/>
        <v>APROVADO</v>
      </c>
      <c r="AA315" s="47" t="s">
        <v>4675</v>
      </c>
      <c r="AB315" s="5" t="s">
        <v>4675</v>
      </c>
      <c r="AC315" s="5" t="s">
        <v>48</v>
      </c>
      <c r="AD315" s="5" t="s">
        <v>5632</v>
      </c>
      <c r="AE315" s="5" t="str">
        <f t="shared" ca="1" si="63"/>
        <v>NO PRAZO</v>
      </c>
      <c r="AF315" s="51"/>
    </row>
    <row r="316" spans="1:32" ht="30" customHeight="1" x14ac:dyDescent="0.25">
      <c r="A316" s="5" t="s">
        <v>5939</v>
      </c>
      <c r="B316" s="5" t="s">
        <v>10</v>
      </c>
      <c r="C316" s="5" t="s">
        <v>5862</v>
      </c>
      <c r="D316" s="7" t="s">
        <v>634</v>
      </c>
      <c r="E316" s="7" t="s">
        <v>256</v>
      </c>
      <c r="F316" s="7" t="s">
        <v>317</v>
      </c>
      <c r="G316" s="5" t="s">
        <v>5934</v>
      </c>
      <c r="H316" s="7" t="s">
        <v>10</v>
      </c>
      <c r="I316" s="7" t="s">
        <v>2026</v>
      </c>
      <c r="J316" s="7" t="s">
        <v>6015</v>
      </c>
      <c r="K316" s="5" t="s">
        <v>45</v>
      </c>
      <c r="L316" s="5" t="s">
        <v>10</v>
      </c>
      <c r="M316" s="5" t="s">
        <v>10</v>
      </c>
      <c r="N316" s="5" t="s">
        <v>10</v>
      </c>
      <c r="O316" s="119" t="s">
        <v>46</v>
      </c>
      <c r="P316" s="101">
        <v>46231</v>
      </c>
      <c r="Q316" s="100">
        <f t="shared" si="57"/>
        <v>46415</v>
      </c>
      <c r="R316" s="5" t="s">
        <v>273</v>
      </c>
      <c r="S316" s="5" t="s">
        <v>5949</v>
      </c>
      <c r="T316" s="7">
        <v>0.34</v>
      </c>
      <c r="U316" s="5" t="s">
        <v>10</v>
      </c>
      <c r="V316" s="7">
        <f t="shared" si="61"/>
        <v>0.34</v>
      </c>
      <c r="W316" s="5">
        <v>0.5</v>
      </c>
      <c r="X316" s="5" t="s">
        <v>55</v>
      </c>
      <c r="Y316" s="7" t="s">
        <v>56</v>
      </c>
      <c r="Z316" s="48" t="str">
        <f t="shared" si="62"/>
        <v>APROVADO</v>
      </c>
      <c r="AA316" s="47" t="s">
        <v>4675</v>
      </c>
      <c r="AB316" s="5" t="s">
        <v>4675</v>
      </c>
      <c r="AC316" s="5" t="s">
        <v>48</v>
      </c>
      <c r="AD316" s="5" t="s">
        <v>5632</v>
      </c>
      <c r="AE316" s="5" t="str">
        <f t="shared" ca="1" si="63"/>
        <v>NO PRAZO</v>
      </c>
      <c r="AF316" s="51"/>
    </row>
    <row r="317" spans="1:32" ht="30" customHeight="1" x14ac:dyDescent="0.25">
      <c r="A317" s="5" t="s">
        <v>5940</v>
      </c>
      <c r="B317" s="5" t="s">
        <v>10</v>
      </c>
      <c r="C317" s="5" t="s">
        <v>5862</v>
      </c>
      <c r="D317" s="7" t="s">
        <v>634</v>
      </c>
      <c r="E317" s="7" t="s">
        <v>256</v>
      </c>
      <c r="F317" s="7" t="s">
        <v>317</v>
      </c>
      <c r="G317" s="5" t="s">
        <v>5934</v>
      </c>
      <c r="H317" s="7" t="s">
        <v>10</v>
      </c>
      <c r="I317" s="7" t="s">
        <v>2026</v>
      </c>
      <c r="J317" s="7" t="s">
        <v>6015</v>
      </c>
      <c r="K317" s="5" t="s">
        <v>45</v>
      </c>
      <c r="L317" s="5" t="s">
        <v>10</v>
      </c>
      <c r="M317" s="5" t="s">
        <v>10</v>
      </c>
      <c r="N317" s="5" t="s">
        <v>10</v>
      </c>
      <c r="O317" s="119" t="s">
        <v>46</v>
      </c>
      <c r="P317" s="101">
        <v>46231</v>
      </c>
      <c r="Q317" s="100">
        <f t="shared" si="57"/>
        <v>46415</v>
      </c>
      <c r="R317" s="5" t="s">
        <v>273</v>
      </c>
      <c r="S317" s="5" t="s">
        <v>5950</v>
      </c>
      <c r="T317" s="7">
        <v>0.19</v>
      </c>
      <c r="U317" s="5" t="s">
        <v>10</v>
      </c>
      <c r="V317" s="7">
        <f t="shared" si="61"/>
        <v>0.19</v>
      </c>
      <c r="W317" s="5">
        <v>0.5</v>
      </c>
      <c r="X317" s="5" t="s">
        <v>55</v>
      </c>
      <c r="Y317" s="7" t="s">
        <v>56</v>
      </c>
      <c r="Z317" s="48" t="str">
        <f t="shared" si="62"/>
        <v>APROVADO</v>
      </c>
      <c r="AA317" s="47" t="s">
        <v>4675</v>
      </c>
      <c r="AB317" s="5" t="s">
        <v>4675</v>
      </c>
      <c r="AC317" s="5" t="s">
        <v>48</v>
      </c>
      <c r="AD317" s="5" t="s">
        <v>5632</v>
      </c>
      <c r="AE317" s="5" t="str">
        <f t="shared" ca="1" si="63"/>
        <v>NO PRAZO</v>
      </c>
      <c r="AF317" s="51"/>
    </row>
    <row r="318" spans="1:32" ht="30" customHeight="1" x14ac:dyDescent="0.25">
      <c r="A318" s="5" t="s">
        <v>5941</v>
      </c>
      <c r="B318" s="5" t="s">
        <v>10</v>
      </c>
      <c r="C318" s="5" t="s">
        <v>5862</v>
      </c>
      <c r="D318" s="7" t="s">
        <v>634</v>
      </c>
      <c r="E318" s="7" t="s">
        <v>256</v>
      </c>
      <c r="F318" s="7" t="s">
        <v>317</v>
      </c>
      <c r="G318" s="5" t="s">
        <v>5934</v>
      </c>
      <c r="H318" s="7" t="s">
        <v>10</v>
      </c>
      <c r="I318" s="7" t="s">
        <v>2026</v>
      </c>
      <c r="J318" s="7" t="s">
        <v>6015</v>
      </c>
      <c r="K318" s="5" t="s">
        <v>45</v>
      </c>
      <c r="L318" s="5" t="s">
        <v>10</v>
      </c>
      <c r="M318" s="5" t="s">
        <v>10</v>
      </c>
      <c r="N318" s="5" t="s">
        <v>10</v>
      </c>
      <c r="O318" s="119" t="s">
        <v>46</v>
      </c>
      <c r="P318" s="101">
        <v>46231</v>
      </c>
      <c r="Q318" s="100">
        <f t="shared" si="57"/>
        <v>46415</v>
      </c>
      <c r="R318" s="5" t="s">
        <v>273</v>
      </c>
      <c r="S318" s="5" t="s">
        <v>5951</v>
      </c>
      <c r="T318" s="7">
        <v>0.2</v>
      </c>
      <c r="U318" s="5" t="s">
        <v>10</v>
      </c>
      <c r="V318" s="7">
        <f t="shared" si="61"/>
        <v>0.2</v>
      </c>
      <c r="W318" s="5">
        <v>0.5</v>
      </c>
      <c r="X318" s="5" t="s">
        <v>55</v>
      </c>
      <c r="Y318" s="7" t="s">
        <v>56</v>
      </c>
      <c r="Z318" s="48" t="str">
        <f t="shared" si="62"/>
        <v>APROVADO</v>
      </c>
      <c r="AA318" s="47" t="s">
        <v>4675</v>
      </c>
      <c r="AB318" s="5" t="s">
        <v>4675</v>
      </c>
      <c r="AC318" s="5" t="s">
        <v>48</v>
      </c>
      <c r="AD318" s="5" t="s">
        <v>5632</v>
      </c>
      <c r="AE318" s="5" t="str">
        <f t="shared" ca="1" si="63"/>
        <v>NO PRAZO</v>
      </c>
      <c r="AF318" s="51"/>
    </row>
    <row r="319" spans="1:32" ht="30" customHeight="1" x14ac:dyDescent="0.25">
      <c r="A319" s="5" t="s">
        <v>5942</v>
      </c>
      <c r="B319" s="5" t="s">
        <v>10</v>
      </c>
      <c r="C319" s="5" t="s">
        <v>5862</v>
      </c>
      <c r="D319" s="7" t="s">
        <v>634</v>
      </c>
      <c r="E319" s="7" t="s">
        <v>256</v>
      </c>
      <c r="F319" s="7" t="s">
        <v>317</v>
      </c>
      <c r="G319" s="5" t="s">
        <v>5934</v>
      </c>
      <c r="H319" s="7" t="s">
        <v>10</v>
      </c>
      <c r="I319" s="7" t="s">
        <v>2026</v>
      </c>
      <c r="J319" s="7" t="s">
        <v>6015</v>
      </c>
      <c r="K319" s="5" t="s">
        <v>45</v>
      </c>
      <c r="L319" s="5" t="s">
        <v>10</v>
      </c>
      <c r="M319" s="5" t="s">
        <v>10</v>
      </c>
      <c r="N319" s="5" t="s">
        <v>10</v>
      </c>
      <c r="O319" s="119" t="s">
        <v>46</v>
      </c>
      <c r="P319" s="101">
        <v>46231</v>
      </c>
      <c r="Q319" s="100">
        <f t="shared" si="57"/>
        <v>46415</v>
      </c>
      <c r="R319" s="5" t="s">
        <v>273</v>
      </c>
      <c r="S319" s="5" t="s">
        <v>5952</v>
      </c>
      <c r="T319" s="7">
        <v>0.39</v>
      </c>
      <c r="U319" s="5" t="s">
        <v>10</v>
      </c>
      <c r="V319" s="7">
        <f t="shared" si="61"/>
        <v>0.39</v>
      </c>
      <c r="W319" s="5">
        <v>0.5</v>
      </c>
      <c r="X319" s="5" t="s">
        <v>55</v>
      </c>
      <c r="Y319" s="7" t="s">
        <v>56</v>
      </c>
      <c r="Z319" s="48" t="str">
        <f t="shared" si="62"/>
        <v>APROVADO</v>
      </c>
      <c r="AA319" s="47" t="s">
        <v>4675</v>
      </c>
      <c r="AB319" s="5" t="s">
        <v>4675</v>
      </c>
      <c r="AC319" s="5" t="s">
        <v>48</v>
      </c>
      <c r="AD319" s="5" t="s">
        <v>5632</v>
      </c>
      <c r="AE319" s="5" t="str">
        <f t="shared" ca="1" si="63"/>
        <v>NO PRAZO</v>
      </c>
      <c r="AF319" s="51"/>
    </row>
    <row r="320" spans="1:32" ht="30" customHeight="1" x14ac:dyDescent="0.25">
      <c r="A320" s="5" t="s">
        <v>5943</v>
      </c>
      <c r="B320" s="5" t="s">
        <v>10</v>
      </c>
      <c r="C320" s="5" t="s">
        <v>5862</v>
      </c>
      <c r="D320" s="7" t="s">
        <v>634</v>
      </c>
      <c r="E320" s="7" t="s">
        <v>256</v>
      </c>
      <c r="F320" s="7" t="s">
        <v>317</v>
      </c>
      <c r="G320" s="5" t="s">
        <v>5934</v>
      </c>
      <c r="H320" s="7" t="s">
        <v>10</v>
      </c>
      <c r="I320" s="7" t="s">
        <v>2026</v>
      </c>
      <c r="J320" s="7" t="s">
        <v>6015</v>
      </c>
      <c r="K320" s="5" t="s">
        <v>45</v>
      </c>
      <c r="L320" s="5" t="s">
        <v>10</v>
      </c>
      <c r="M320" s="5" t="s">
        <v>10</v>
      </c>
      <c r="N320" s="5" t="s">
        <v>10</v>
      </c>
      <c r="O320" s="119" t="s">
        <v>46</v>
      </c>
      <c r="P320" s="101">
        <v>46231</v>
      </c>
      <c r="Q320" s="100">
        <f t="shared" si="57"/>
        <v>46415</v>
      </c>
      <c r="R320" s="5" t="s">
        <v>273</v>
      </c>
      <c r="S320" s="5" t="s">
        <v>5953</v>
      </c>
      <c r="T320" s="7">
        <v>0.33</v>
      </c>
      <c r="U320" s="5" t="s">
        <v>10</v>
      </c>
      <c r="V320" s="7">
        <f t="shared" si="61"/>
        <v>0.33</v>
      </c>
      <c r="W320" s="5">
        <v>0.5</v>
      </c>
      <c r="X320" s="5" t="s">
        <v>55</v>
      </c>
      <c r="Y320" s="7" t="s">
        <v>56</v>
      </c>
      <c r="Z320" s="48" t="str">
        <f t="shared" si="62"/>
        <v>APROVADO</v>
      </c>
      <c r="AA320" s="47" t="s">
        <v>4675</v>
      </c>
      <c r="AB320" s="5" t="s">
        <v>4675</v>
      </c>
      <c r="AC320" s="5" t="s">
        <v>48</v>
      </c>
      <c r="AD320" s="5" t="s">
        <v>5632</v>
      </c>
      <c r="AE320" s="5" t="str">
        <f t="shared" ca="1" si="63"/>
        <v>NO PRAZO</v>
      </c>
      <c r="AF320" s="51"/>
    </row>
    <row r="321" spans="1:32" ht="30" customHeight="1" x14ac:dyDescent="0.25">
      <c r="A321" s="5" t="s">
        <v>5954</v>
      </c>
      <c r="B321" s="5" t="s">
        <v>10</v>
      </c>
      <c r="C321" s="5" t="s">
        <v>5862</v>
      </c>
      <c r="D321" s="7" t="s">
        <v>634</v>
      </c>
      <c r="E321" s="7" t="s">
        <v>256</v>
      </c>
      <c r="F321" s="7" t="s">
        <v>317</v>
      </c>
      <c r="G321" s="5" t="s">
        <v>5934</v>
      </c>
      <c r="H321" s="7" t="s">
        <v>10</v>
      </c>
      <c r="I321" s="7" t="s">
        <v>2026</v>
      </c>
      <c r="J321" s="7" t="s">
        <v>6015</v>
      </c>
      <c r="K321" s="5" t="s">
        <v>45</v>
      </c>
      <c r="L321" s="5" t="s">
        <v>10</v>
      </c>
      <c r="M321" s="5" t="s">
        <v>10</v>
      </c>
      <c r="N321" s="5" t="s">
        <v>10</v>
      </c>
      <c r="O321" s="119" t="s">
        <v>46</v>
      </c>
      <c r="P321" s="101">
        <v>46231</v>
      </c>
      <c r="Q321" s="100">
        <f t="shared" si="57"/>
        <v>46415</v>
      </c>
      <c r="R321" s="5" t="s">
        <v>273</v>
      </c>
      <c r="S321" s="5" t="s">
        <v>5955</v>
      </c>
      <c r="T321" s="7"/>
      <c r="U321" s="5" t="s">
        <v>10</v>
      </c>
      <c r="V321" s="7">
        <f t="shared" ref="V321" si="64">IFERROR(IF(U321&gt;0,T321*100/U321,T321),T321)</f>
        <v>0</v>
      </c>
      <c r="W321" s="5">
        <v>0.5</v>
      </c>
      <c r="X321" s="5" t="s">
        <v>55</v>
      </c>
      <c r="Y321" s="7" t="s">
        <v>56</v>
      </c>
      <c r="Z321" s="48" t="str">
        <f t="shared" ref="Z321" si="65">IFERROR(IF(W321="-",$AL$6,CHOOSE(IF(T321="",1,2),$AL$7,IF(V321&gt;W321,$AL$5,$AL$4))),"-")</f>
        <v>AGUARDANDO CERTIFICADO</v>
      </c>
      <c r="AA321" s="47" t="s">
        <v>4675</v>
      </c>
      <c r="AB321" s="5" t="s">
        <v>4675</v>
      </c>
      <c r="AC321" s="5" t="s">
        <v>48</v>
      </c>
      <c r="AD321" s="5" t="s">
        <v>5632</v>
      </c>
      <c r="AE321" s="5" t="str">
        <f t="shared" ref="AE321" ca="1" si="66">IFERROR(IF(OR(AND(YEAR(Q321)=YEAR(TODAY()),MONTH(Q321)&gt;MONTH(TODAY())),(YEAR(Q321)&gt;YEAR(TODAY()))),$AK$4,IF(AND(YEAR(Q321)=YEAR(TODAY()),MONTH(Q321)=MONTH(TODAY())),$AK$5,IF(Q321="",$AK$6,$AK$7))),"-")</f>
        <v>NO PRAZO</v>
      </c>
      <c r="AF321" s="51" t="s">
        <v>6017</v>
      </c>
    </row>
    <row r="322" spans="1:32" ht="30" customHeight="1" x14ac:dyDescent="0.25">
      <c r="A322" s="5" t="s">
        <v>6016</v>
      </c>
      <c r="B322" s="5" t="s">
        <v>10</v>
      </c>
      <c r="C322" s="5" t="s">
        <v>5862</v>
      </c>
      <c r="D322" s="7" t="s">
        <v>1473</v>
      </c>
      <c r="E322" s="7" t="s">
        <v>256</v>
      </c>
      <c r="F322" s="34" t="s">
        <v>257</v>
      </c>
      <c r="G322" s="7" t="s">
        <v>1473</v>
      </c>
      <c r="H322" s="7" t="s">
        <v>1473</v>
      </c>
      <c r="I322" s="7" t="s">
        <v>1805</v>
      </c>
      <c r="J322" s="7" t="s">
        <v>1806</v>
      </c>
      <c r="K322" s="5" t="s">
        <v>45</v>
      </c>
      <c r="L322" s="5" t="s">
        <v>10</v>
      </c>
      <c r="M322" s="5" t="s">
        <v>10</v>
      </c>
      <c r="N322" s="5" t="s">
        <v>10</v>
      </c>
      <c r="O322" s="46" t="s">
        <v>46</v>
      </c>
      <c r="P322" s="101">
        <v>46231</v>
      </c>
      <c r="Q322" s="100">
        <f t="shared" si="57"/>
        <v>46415</v>
      </c>
      <c r="R322" s="5" t="s">
        <v>4309</v>
      </c>
      <c r="S322" s="5" t="s">
        <v>5956</v>
      </c>
      <c r="T322" s="7"/>
      <c r="U322" s="7"/>
      <c r="V322" s="7">
        <f t="shared" si="45"/>
        <v>0</v>
      </c>
      <c r="W322" s="5">
        <v>0.5</v>
      </c>
      <c r="X322" s="5" t="s">
        <v>55</v>
      </c>
      <c r="Y322" s="7" t="s">
        <v>56</v>
      </c>
      <c r="Z322" s="48" t="str">
        <f t="shared" si="46"/>
        <v>AGUARDANDO CERTIFICADO</v>
      </c>
      <c r="AA322" s="47">
        <v>11597054</v>
      </c>
      <c r="AB322" s="5" t="s">
        <v>3970</v>
      </c>
      <c r="AC322" s="5" t="s">
        <v>48</v>
      </c>
      <c r="AD322" s="5" t="s">
        <v>5632</v>
      </c>
      <c r="AE322" s="5" t="s">
        <v>5906</v>
      </c>
      <c r="AF322" s="51"/>
    </row>
    <row r="323" spans="1:32" ht="30" customHeight="1" x14ac:dyDescent="0.25">
      <c r="A323" s="7" t="s">
        <v>563</v>
      </c>
      <c r="B323" s="5" t="s">
        <v>10</v>
      </c>
      <c r="C323" s="5" t="s">
        <v>5862</v>
      </c>
      <c r="D323" s="7" t="s">
        <v>562</v>
      </c>
      <c r="E323" s="7" t="s">
        <v>40</v>
      </c>
      <c r="F323" s="7" t="s">
        <v>518</v>
      </c>
      <c r="G323" s="7" t="s">
        <v>530</v>
      </c>
      <c r="H323" s="7" t="s">
        <v>521</v>
      </c>
      <c r="I323" s="7" t="s">
        <v>532</v>
      </c>
      <c r="J323" s="7" t="s">
        <v>533</v>
      </c>
      <c r="K323" s="7" t="s">
        <v>45</v>
      </c>
      <c r="L323" s="5" t="s">
        <v>10</v>
      </c>
      <c r="M323" s="5" t="s">
        <v>10</v>
      </c>
      <c r="N323" s="5" t="s">
        <v>10</v>
      </c>
      <c r="O323" s="46" t="s">
        <v>46</v>
      </c>
      <c r="P323" s="100">
        <v>46121</v>
      </c>
      <c r="Q323" s="100">
        <f t="shared" ref="Q323:Q341" si="67">IF(P323="","",P323+183)</f>
        <v>46304</v>
      </c>
      <c r="R323" s="5" t="s">
        <v>3481</v>
      </c>
      <c r="S323" s="5" t="s">
        <v>5225</v>
      </c>
      <c r="T323" s="7">
        <v>0.28999999999999998</v>
      </c>
      <c r="U323" s="5" t="s">
        <v>340</v>
      </c>
      <c r="V323" s="7">
        <f t="shared" si="45"/>
        <v>0.28999999999999998</v>
      </c>
      <c r="W323" s="5">
        <v>0.5</v>
      </c>
      <c r="X323" s="5" t="s">
        <v>55</v>
      </c>
      <c r="Y323" s="7" t="s">
        <v>56</v>
      </c>
      <c r="Z323" s="48" t="str">
        <f t="shared" si="46"/>
        <v>APROVADO</v>
      </c>
      <c r="AA323" s="47">
        <v>11542101</v>
      </c>
      <c r="AB323" s="5" t="s">
        <v>2758</v>
      </c>
      <c r="AC323" s="5" t="s">
        <v>48</v>
      </c>
      <c r="AD323" s="5" t="s">
        <v>5530</v>
      </c>
      <c r="AE323" s="5" t="str">
        <f t="shared" ca="1" si="55"/>
        <v>NO PRAZO</v>
      </c>
      <c r="AF323" s="49"/>
    </row>
    <row r="324" spans="1:32" ht="30" customHeight="1" x14ac:dyDescent="0.25">
      <c r="A324" s="7" t="s">
        <v>564</v>
      </c>
      <c r="B324" s="5" t="s">
        <v>10</v>
      </c>
      <c r="C324" s="5" t="s">
        <v>5862</v>
      </c>
      <c r="D324" s="7" t="s">
        <v>562</v>
      </c>
      <c r="E324" s="7" t="s">
        <v>40</v>
      </c>
      <c r="F324" s="7" t="s">
        <v>518</v>
      </c>
      <c r="G324" s="7" t="s">
        <v>535</v>
      </c>
      <c r="H324" s="7" t="s">
        <v>521</v>
      </c>
      <c r="I324" s="7" t="s">
        <v>532</v>
      </c>
      <c r="J324" s="7" t="s">
        <v>533</v>
      </c>
      <c r="K324" s="7" t="s">
        <v>45</v>
      </c>
      <c r="L324" s="5" t="s">
        <v>10</v>
      </c>
      <c r="M324" s="5" t="s">
        <v>10</v>
      </c>
      <c r="N324" s="5" t="s">
        <v>10</v>
      </c>
      <c r="O324" s="46" t="s">
        <v>46</v>
      </c>
      <c r="P324" s="100">
        <v>46121</v>
      </c>
      <c r="Q324" s="100">
        <f t="shared" si="67"/>
        <v>46304</v>
      </c>
      <c r="R324" s="5" t="s">
        <v>3553</v>
      </c>
      <c r="S324" s="5" t="s">
        <v>5237</v>
      </c>
      <c r="T324" s="7">
        <v>0.28000000000000003</v>
      </c>
      <c r="U324" s="5" t="s">
        <v>340</v>
      </c>
      <c r="V324" s="7">
        <f t="shared" si="45"/>
        <v>0.28000000000000003</v>
      </c>
      <c r="W324" s="5">
        <v>0.5</v>
      </c>
      <c r="X324" s="5" t="s">
        <v>55</v>
      </c>
      <c r="Y324" s="7" t="s">
        <v>56</v>
      </c>
      <c r="Z324" s="48" t="str">
        <f t="shared" si="46"/>
        <v>APROVADO</v>
      </c>
      <c r="AA324" s="47">
        <v>11542111</v>
      </c>
      <c r="AB324" s="5" t="s">
        <v>2759</v>
      </c>
      <c r="AC324" s="5" t="s">
        <v>48</v>
      </c>
      <c r="AD324" s="5" t="s">
        <v>5530</v>
      </c>
      <c r="AE324" s="5" t="str">
        <f t="shared" ca="1" si="55"/>
        <v>NO PRAZO</v>
      </c>
      <c r="AF324" s="49"/>
    </row>
    <row r="325" spans="1:32" ht="30" customHeight="1" x14ac:dyDescent="0.25">
      <c r="A325" s="7" t="s">
        <v>565</v>
      </c>
      <c r="B325" s="5" t="s">
        <v>10</v>
      </c>
      <c r="C325" s="5" t="s">
        <v>5862</v>
      </c>
      <c r="D325" s="7" t="s">
        <v>562</v>
      </c>
      <c r="E325" s="7" t="s">
        <v>40</v>
      </c>
      <c r="F325" s="7" t="s">
        <v>518</v>
      </c>
      <c r="G325" s="7" t="s">
        <v>537</v>
      </c>
      <c r="H325" s="7" t="s">
        <v>521</v>
      </c>
      <c r="I325" s="7" t="s">
        <v>532</v>
      </c>
      <c r="J325" s="7" t="s">
        <v>520</v>
      </c>
      <c r="K325" s="7" t="s">
        <v>45</v>
      </c>
      <c r="L325" s="5" t="s">
        <v>10</v>
      </c>
      <c r="M325" s="5" t="s">
        <v>10</v>
      </c>
      <c r="N325" s="5" t="s">
        <v>10</v>
      </c>
      <c r="O325" s="46" t="s">
        <v>46</v>
      </c>
      <c r="P325" s="100">
        <v>46127</v>
      </c>
      <c r="Q325" s="100">
        <f t="shared" si="67"/>
        <v>46310</v>
      </c>
      <c r="R325" s="5" t="s">
        <v>3568</v>
      </c>
      <c r="S325" s="5" t="s">
        <v>5250</v>
      </c>
      <c r="T325" s="7">
        <v>0.28999999999999998</v>
      </c>
      <c r="U325" s="5" t="s">
        <v>340</v>
      </c>
      <c r="V325" s="7">
        <f t="shared" si="45"/>
        <v>0.28999999999999998</v>
      </c>
      <c r="W325" s="5">
        <v>0.5</v>
      </c>
      <c r="X325" s="5" t="s">
        <v>55</v>
      </c>
      <c r="Y325" s="7" t="s">
        <v>56</v>
      </c>
      <c r="Z325" s="48" t="str">
        <f t="shared" si="46"/>
        <v>APROVADO</v>
      </c>
      <c r="AA325" s="47">
        <v>11542121</v>
      </c>
      <c r="AB325" s="5" t="s">
        <v>2719</v>
      </c>
      <c r="AC325" s="5" t="s">
        <v>48</v>
      </c>
      <c r="AD325" s="5" t="s">
        <v>5530</v>
      </c>
      <c r="AE325" s="5" t="str">
        <f t="shared" ca="1" si="55"/>
        <v>NO PRAZO</v>
      </c>
      <c r="AF325" s="49"/>
    </row>
    <row r="326" spans="1:32" ht="30" customHeight="1" x14ac:dyDescent="0.25">
      <c r="A326" s="7" t="s">
        <v>566</v>
      </c>
      <c r="B326" s="5" t="s">
        <v>10</v>
      </c>
      <c r="C326" s="5" t="s">
        <v>5862</v>
      </c>
      <c r="D326" s="7" t="s">
        <v>562</v>
      </c>
      <c r="E326" s="7" t="s">
        <v>40</v>
      </c>
      <c r="F326" s="7" t="s">
        <v>518</v>
      </c>
      <c r="G326" s="7" t="s">
        <v>539</v>
      </c>
      <c r="H326" s="7" t="s">
        <v>521</v>
      </c>
      <c r="I326" s="7" t="s">
        <v>532</v>
      </c>
      <c r="J326" s="7" t="s">
        <v>520</v>
      </c>
      <c r="K326" s="7" t="s">
        <v>45</v>
      </c>
      <c r="L326" s="5" t="s">
        <v>10</v>
      </c>
      <c r="M326" s="5" t="s">
        <v>10</v>
      </c>
      <c r="N326" s="5" t="s">
        <v>10</v>
      </c>
      <c r="O326" s="46" t="s">
        <v>46</v>
      </c>
      <c r="P326" s="100">
        <v>46121</v>
      </c>
      <c r="Q326" s="100">
        <f t="shared" si="67"/>
        <v>46304</v>
      </c>
      <c r="R326" s="5" t="s">
        <v>3482</v>
      </c>
      <c r="S326" s="5" t="s">
        <v>5241</v>
      </c>
      <c r="T326" s="7">
        <v>0.28999999999999998</v>
      </c>
      <c r="U326" s="5" t="s">
        <v>340</v>
      </c>
      <c r="V326" s="7">
        <f t="shared" si="45"/>
        <v>0.28999999999999998</v>
      </c>
      <c r="W326" s="5">
        <v>0.5</v>
      </c>
      <c r="X326" s="5" t="s">
        <v>55</v>
      </c>
      <c r="Y326" s="7" t="s">
        <v>56</v>
      </c>
      <c r="Z326" s="48" t="str">
        <f t="shared" si="46"/>
        <v>APROVADO</v>
      </c>
      <c r="AA326" s="47">
        <v>11542139</v>
      </c>
      <c r="AB326" s="5" t="s">
        <v>2720</v>
      </c>
      <c r="AC326" s="5" t="s">
        <v>48</v>
      </c>
      <c r="AD326" s="5" t="s">
        <v>5530</v>
      </c>
      <c r="AE326" s="5" t="str">
        <f t="shared" ca="1" si="55"/>
        <v>NO PRAZO</v>
      </c>
      <c r="AF326" s="49"/>
    </row>
    <row r="327" spans="1:32" ht="30" customHeight="1" x14ac:dyDescent="0.25">
      <c r="A327" s="7" t="s">
        <v>567</v>
      </c>
      <c r="B327" s="5" t="s">
        <v>10</v>
      </c>
      <c r="C327" s="5" t="s">
        <v>5862</v>
      </c>
      <c r="D327" s="7" t="s">
        <v>562</v>
      </c>
      <c r="E327" s="7" t="s">
        <v>40</v>
      </c>
      <c r="F327" s="7" t="s">
        <v>518</v>
      </c>
      <c r="G327" s="7" t="s">
        <v>556</v>
      </c>
      <c r="H327" s="7" t="s">
        <v>546</v>
      </c>
      <c r="I327" s="7" t="s">
        <v>532</v>
      </c>
      <c r="J327" s="7" t="s">
        <v>533</v>
      </c>
      <c r="K327" s="7" t="s">
        <v>45</v>
      </c>
      <c r="L327" s="5" t="s">
        <v>10</v>
      </c>
      <c r="M327" s="5" t="s">
        <v>10</v>
      </c>
      <c r="N327" s="5" t="s">
        <v>10</v>
      </c>
      <c r="O327" s="46" t="s">
        <v>46</v>
      </c>
      <c r="P327" s="100">
        <v>46127</v>
      </c>
      <c r="Q327" s="100">
        <f t="shared" si="67"/>
        <v>46310</v>
      </c>
      <c r="R327" s="5" t="s">
        <v>3569</v>
      </c>
      <c r="S327" s="5" t="s">
        <v>5261</v>
      </c>
      <c r="T327" s="7">
        <v>0.26</v>
      </c>
      <c r="U327" s="5" t="s">
        <v>340</v>
      </c>
      <c r="V327" s="7">
        <f t="shared" si="45"/>
        <v>0.26</v>
      </c>
      <c r="W327" s="5">
        <v>0.5</v>
      </c>
      <c r="X327" s="5" t="s">
        <v>55</v>
      </c>
      <c r="Y327" s="7" t="s">
        <v>56</v>
      </c>
      <c r="Z327" s="48" t="str">
        <f t="shared" si="46"/>
        <v>APROVADO</v>
      </c>
      <c r="AA327" s="47">
        <v>11542095</v>
      </c>
      <c r="AB327" s="5" t="s">
        <v>2714</v>
      </c>
      <c r="AC327" s="5" t="s">
        <v>48</v>
      </c>
      <c r="AD327" s="5" t="s">
        <v>5530</v>
      </c>
      <c r="AE327" s="5" t="str">
        <f t="shared" ca="1" si="55"/>
        <v>NO PRAZO</v>
      </c>
      <c r="AF327" s="49"/>
    </row>
    <row r="328" spans="1:32" ht="30" customHeight="1" x14ac:dyDescent="0.25">
      <c r="A328" s="7" t="s">
        <v>568</v>
      </c>
      <c r="B328" s="5" t="s">
        <v>10</v>
      </c>
      <c r="C328" s="5" t="s">
        <v>5862</v>
      </c>
      <c r="D328" s="7" t="s">
        <v>562</v>
      </c>
      <c r="E328" s="7" t="s">
        <v>40</v>
      </c>
      <c r="F328" s="7" t="s">
        <v>518</v>
      </c>
      <c r="G328" s="7" t="s">
        <v>556</v>
      </c>
      <c r="H328" s="7" t="s">
        <v>558</v>
      </c>
      <c r="I328" s="7" t="s">
        <v>532</v>
      </c>
      <c r="J328" s="7" t="s">
        <v>533</v>
      </c>
      <c r="K328" s="7" t="s">
        <v>45</v>
      </c>
      <c r="L328" s="5" t="s">
        <v>10</v>
      </c>
      <c r="M328" s="5" t="s">
        <v>10</v>
      </c>
      <c r="N328" s="5" t="s">
        <v>10</v>
      </c>
      <c r="O328" s="46" t="s">
        <v>46</v>
      </c>
      <c r="P328" s="100">
        <v>46127</v>
      </c>
      <c r="Q328" s="100">
        <f t="shared" si="67"/>
        <v>46310</v>
      </c>
      <c r="R328" s="5" t="s">
        <v>3540</v>
      </c>
      <c r="S328" s="5" t="s">
        <v>5262</v>
      </c>
      <c r="T328" s="7">
        <v>0.26</v>
      </c>
      <c r="U328" s="5" t="s">
        <v>340</v>
      </c>
      <c r="V328" s="7">
        <f t="shared" si="45"/>
        <v>0.26</v>
      </c>
      <c r="W328" s="5">
        <v>0.5</v>
      </c>
      <c r="X328" s="5" t="s">
        <v>55</v>
      </c>
      <c r="Y328" s="7" t="s">
        <v>56</v>
      </c>
      <c r="Z328" s="48" t="str">
        <f t="shared" si="46"/>
        <v>APROVADO</v>
      </c>
      <c r="AA328" s="47">
        <v>11542096</v>
      </c>
      <c r="AB328" s="5" t="s">
        <v>2715</v>
      </c>
      <c r="AC328" s="5" t="s">
        <v>48</v>
      </c>
      <c r="AD328" s="5" t="s">
        <v>5530</v>
      </c>
      <c r="AE328" s="5" t="str">
        <f t="shared" ca="1" si="55"/>
        <v>NO PRAZO</v>
      </c>
      <c r="AF328" s="49"/>
    </row>
    <row r="329" spans="1:32" ht="30" customHeight="1" x14ac:dyDescent="0.25">
      <c r="A329" s="7" t="s">
        <v>569</v>
      </c>
      <c r="B329" s="5" t="s">
        <v>10</v>
      </c>
      <c r="C329" s="5" t="s">
        <v>5862</v>
      </c>
      <c r="D329" s="7" t="s">
        <v>562</v>
      </c>
      <c r="E329" s="7" t="s">
        <v>40</v>
      </c>
      <c r="F329" s="7" t="s">
        <v>518</v>
      </c>
      <c r="G329" s="7" t="s">
        <v>530</v>
      </c>
      <c r="H329" s="7" t="s">
        <v>541</v>
      </c>
      <c r="I329" s="7" t="s">
        <v>532</v>
      </c>
      <c r="J329" s="7" t="s">
        <v>533</v>
      </c>
      <c r="K329" s="7" t="s">
        <v>45</v>
      </c>
      <c r="L329" s="5" t="s">
        <v>10</v>
      </c>
      <c r="M329" s="5" t="s">
        <v>10</v>
      </c>
      <c r="N329" s="5" t="s">
        <v>10</v>
      </c>
      <c r="O329" s="46" t="s">
        <v>46</v>
      </c>
      <c r="P329" s="100">
        <v>46121</v>
      </c>
      <c r="Q329" s="100">
        <f t="shared" si="67"/>
        <v>46304</v>
      </c>
      <c r="R329" s="7" t="s">
        <v>3483</v>
      </c>
      <c r="S329" s="7" t="s">
        <v>5226</v>
      </c>
      <c r="T329" s="7">
        <v>0.3</v>
      </c>
      <c r="U329" s="5" t="s">
        <v>340</v>
      </c>
      <c r="V329" s="7">
        <f t="shared" si="45"/>
        <v>0.3</v>
      </c>
      <c r="W329" s="5">
        <v>0.5</v>
      </c>
      <c r="X329" s="5" t="s">
        <v>55</v>
      </c>
      <c r="Y329" s="7" t="s">
        <v>56</v>
      </c>
      <c r="Z329" s="48" t="str">
        <f t="shared" si="46"/>
        <v>APROVADO</v>
      </c>
      <c r="AA329" s="47">
        <v>11542103</v>
      </c>
      <c r="AB329" s="5" t="s">
        <v>2760</v>
      </c>
      <c r="AC329" s="5" t="s">
        <v>48</v>
      </c>
      <c r="AD329" s="5" t="s">
        <v>5530</v>
      </c>
      <c r="AE329" s="5" t="str">
        <f t="shared" ca="1" si="55"/>
        <v>NO PRAZO</v>
      </c>
      <c r="AF329" s="49"/>
    </row>
    <row r="330" spans="1:32" ht="30" customHeight="1" x14ac:dyDescent="0.25">
      <c r="A330" s="7" t="s">
        <v>570</v>
      </c>
      <c r="B330" s="5" t="s">
        <v>10</v>
      </c>
      <c r="C330" s="5" t="s">
        <v>5862</v>
      </c>
      <c r="D330" s="7" t="s">
        <v>562</v>
      </c>
      <c r="E330" s="7" t="s">
        <v>40</v>
      </c>
      <c r="F330" s="7" t="s">
        <v>518</v>
      </c>
      <c r="G330" s="7" t="s">
        <v>535</v>
      </c>
      <c r="H330" s="7" t="s">
        <v>541</v>
      </c>
      <c r="I330" s="7" t="s">
        <v>532</v>
      </c>
      <c r="J330" s="12" t="s">
        <v>533</v>
      </c>
      <c r="K330" s="7" t="s">
        <v>45</v>
      </c>
      <c r="L330" s="5" t="s">
        <v>10</v>
      </c>
      <c r="M330" s="5" t="s">
        <v>10</v>
      </c>
      <c r="N330" s="5" t="s">
        <v>10</v>
      </c>
      <c r="O330" s="46" t="s">
        <v>46</v>
      </c>
      <c r="P330" s="100">
        <v>46121</v>
      </c>
      <c r="Q330" s="100">
        <f t="shared" si="67"/>
        <v>46304</v>
      </c>
      <c r="R330" s="5" t="s">
        <v>3484</v>
      </c>
      <c r="S330" s="5" t="s">
        <v>5238</v>
      </c>
      <c r="T330" s="7">
        <v>0.28999999999999998</v>
      </c>
      <c r="U330" s="5" t="s">
        <v>340</v>
      </c>
      <c r="V330" s="7">
        <f t="shared" si="45"/>
        <v>0.28999999999999998</v>
      </c>
      <c r="W330" s="5">
        <v>0.5</v>
      </c>
      <c r="X330" s="5" t="s">
        <v>55</v>
      </c>
      <c r="Y330" s="7" t="s">
        <v>56</v>
      </c>
      <c r="Z330" s="48" t="str">
        <f t="shared" si="46"/>
        <v>APROVADO</v>
      </c>
      <c r="AA330" s="47">
        <v>11542112</v>
      </c>
      <c r="AB330" s="5" t="s">
        <v>2761</v>
      </c>
      <c r="AC330" s="5" t="s">
        <v>48</v>
      </c>
      <c r="AD330" s="5" t="s">
        <v>5530</v>
      </c>
      <c r="AE330" s="5" t="str">
        <f t="shared" ca="1" si="55"/>
        <v>NO PRAZO</v>
      </c>
      <c r="AF330" s="49"/>
    </row>
    <row r="331" spans="1:32" ht="30" customHeight="1" x14ac:dyDescent="0.25">
      <c r="A331" s="7" t="s">
        <v>571</v>
      </c>
      <c r="B331" s="5" t="s">
        <v>10</v>
      </c>
      <c r="C331" s="5" t="s">
        <v>5862</v>
      </c>
      <c r="D331" s="7" t="s">
        <v>562</v>
      </c>
      <c r="E331" s="7" t="s">
        <v>40</v>
      </c>
      <c r="F331" s="7" t="s">
        <v>518</v>
      </c>
      <c r="G331" s="7" t="s">
        <v>537</v>
      </c>
      <c r="H331" s="7" t="s">
        <v>541</v>
      </c>
      <c r="I331" s="7" t="s">
        <v>532</v>
      </c>
      <c r="J331" s="7" t="s">
        <v>520</v>
      </c>
      <c r="K331" s="7" t="s">
        <v>45</v>
      </c>
      <c r="L331" s="5" t="s">
        <v>10</v>
      </c>
      <c r="M331" s="5" t="s">
        <v>10</v>
      </c>
      <c r="N331" s="5" t="s">
        <v>10</v>
      </c>
      <c r="O331" s="46" t="s">
        <v>46</v>
      </c>
      <c r="P331" s="100">
        <v>46127</v>
      </c>
      <c r="Q331" s="100">
        <f t="shared" si="67"/>
        <v>46310</v>
      </c>
      <c r="R331" s="5" t="s">
        <v>3570</v>
      </c>
      <c r="S331" s="5" t="s">
        <v>5251</v>
      </c>
      <c r="T331" s="7">
        <v>0.26</v>
      </c>
      <c r="U331" s="5" t="s">
        <v>340</v>
      </c>
      <c r="V331" s="7">
        <f t="shared" si="45"/>
        <v>0.26</v>
      </c>
      <c r="W331" s="5">
        <v>0.5</v>
      </c>
      <c r="X331" s="5" t="s">
        <v>55</v>
      </c>
      <c r="Y331" s="7" t="s">
        <v>56</v>
      </c>
      <c r="Z331" s="48" t="str">
        <f t="shared" si="46"/>
        <v>APROVADO</v>
      </c>
      <c r="AA331" s="47">
        <v>11542122</v>
      </c>
      <c r="AB331" s="5" t="s">
        <v>2721</v>
      </c>
      <c r="AC331" s="5" t="s">
        <v>48</v>
      </c>
      <c r="AD331" s="5" t="s">
        <v>5530</v>
      </c>
      <c r="AE331" s="5" t="str">
        <f t="shared" ca="1" si="55"/>
        <v>NO PRAZO</v>
      </c>
      <c r="AF331" s="49"/>
    </row>
    <row r="332" spans="1:32" ht="30" customHeight="1" x14ac:dyDescent="0.25">
      <c r="A332" s="7" t="s">
        <v>572</v>
      </c>
      <c r="B332" s="5" t="s">
        <v>10</v>
      </c>
      <c r="C332" s="5" t="s">
        <v>5862</v>
      </c>
      <c r="D332" s="7" t="s">
        <v>562</v>
      </c>
      <c r="E332" s="7" t="s">
        <v>40</v>
      </c>
      <c r="F332" s="7" t="s">
        <v>518</v>
      </c>
      <c r="G332" s="7" t="s">
        <v>539</v>
      </c>
      <c r="H332" s="7" t="s">
        <v>541</v>
      </c>
      <c r="I332" s="7" t="s">
        <v>532</v>
      </c>
      <c r="J332" s="7" t="s">
        <v>520</v>
      </c>
      <c r="K332" s="7" t="s">
        <v>45</v>
      </c>
      <c r="L332" s="5" t="s">
        <v>10</v>
      </c>
      <c r="M332" s="5" t="s">
        <v>10</v>
      </c>
      <c r="N332" s="5" t="s">
        <v>10</v>
      </c>
      <c r="O332" s="46" t="s">
        <v>46</v>
      </c>
      <c r="P332" s="100">
        <v>46121</v>
      </c>
      <c r="Q332" s="100">
        <f t="shared" si="67"/>
        <v>46304</v>
      </c>
      <c r="R332" s="5" t="s">
        <v>3485</v>
      </c>
      <c r="S332" s="5" t="s">
        <v>5242</v>
      </c>
      <c r="T332" s="7">
        <v>0.25</v>
      </c>
      <c r="U332" s="5" t="s">
        <v>340</v>
      </c>
      <c r="V332" s="7">
        <f t="shared" si="45"/>
        <v>0.25</v>
      </c>
      <c r="W332" s="5">
        <v>0.5</v>
      </c>
      <c r="X332" s="5" t="s">
        <v>55</v>
      </c>
      <c r="Y332" s="7" t="s">
        <v>56</v>
      </c>
      <c r="Z332" s="48" t="str">
        <f t="shared" si="46"/>
        <v>APROVADO</v>
      </c>
      <c r="AA332" s="47">
        <v>11542140</v>
      </c>
      <c r="AB332" s="5" t="s">
        <v>2722</v>
      </c>
      <c r="AC332" s="5" t="s">
        <v>48</v>
      </c>
      <c r="AD332" s="5" t="s">
        <v>5530</v>
      </c>
      <c r="AE332" s="5" t="str">
        <f t="shared" ca="1" si="55"/>
        <v>NO PRAZO</v>
      </c>
      <c r="AF332" s="49"/>
    </row>
    <row r="333" spans="1:32" ht="30" customHeight="1" x14ac:dyDescent="0.25">
      <c r="A333" s="7" t="s">
        <v>573</v>
      </c>
      <c r="B333" s="5" t="s">
        <v>10</v>
      </c>
      <c r="C333" s="5" t="s">
        <v>5862</v>
      </c>
      <c r="D333" s="7" t="s">
        <v>562</v>
      </c>
      <c r="E333" s="7" t="s">
        <v>40</v>
      </c>
      <c r="F333" s="7" t="s">
        <v>518</v>
      </c>
      <c r="G333" s="7" t="s">
        <v>530</v>
      </c>
      <c r="H333" s="7" t="s">
        <v>531</v>
      </c>
      <c r="I333" s="7" t="s">
        <v>532</v>
      </c>
      <c r="J333" s="7" t="s">
        <v>533</v>
      </c>
      <c r="K333" s="7" t="s">
        <v>45</v>
      </c>
      <c r="L333" s="5" t="s">
        <v>10</v>
      </c>
      <c r="M333" s="5" t="s">
        <v>10</v>
      </c>
      <c r="N333" s="5" t="s">
        <v>10</v>
      </c>
      <c r="O333" s="46" t="s">
        <v>46</v>
      </c>
      <c r="P333" s="100">
        <v>46121</v>
      </c>
      <c r="Q333" s="100">
        <f t="shared" si="67"/>
        <v>46304</v>
      </c>
      <c r="R333" s="5" t="s">
        <v>3486</v>
      </c>
      <c r="S333" s="5" t="s">
        <v>5227</v>
      </c>
      <c r="T333" s="7">
        <v>0.28999999999999998</v>
      </c>
      <c r="U333" s="5" t="s">
        <v>340</v>
      </c>
      <c r="V333" s="7">
        <f t="shared" si="45"/>
        <v>0.28999999999999998</v>
      </c>
      <c r="W333" s="5">
        <v>0.5</v>
      </c>
      <c r="X333" s="5" t="s">
        <v>55</v>
      </c>
      <c r="Y333" s="7" t="s">
        <v>56</v>
      </c>
      <c r="Z333" s="48" t="str">
        <f t="shared" si="46"/>
        <v>APROVADO</v>
      </c>
      <c r="AA333" s="47">
        <v>11542102</v>
      </c>
      <c r="AB333" s="5" t="s">
        <v>2762</v>
      </c>
      <c r="AC333" s="5" t="s">
        <v>48</v>
      </c>
      <c r="AD333" s="5" t="s">
        <v>5530</v>
      </c>
      <c r="AE333" s="5" t="str">
        <f t="shared" ca="1" si="55"/>
        <v>NO PRAZO</v>
      </c>
      <c r="AF333" s="49"/>
    </row>
    <row r="334" spans="1:32" ht="30" customHeight="1" x14ac:dyDescent="0.25">
      <c r="A334" s="7" t="s">
        <v>574</v>
      </c>
      <c r="B334" s="5" t="s">
        <v>10</v>
      </c>
      <c r="C334" s="5" t="s">
        <v>5862</v>
      </c>
      <c r="D334" s="7" t="s">
        <v>562</v>
      </c>
      <c r="E334" s="7" t="s">
        <v>40</v>
      </c>
      <c r="F334" s="7" t="s">
        <v>518</v>
      </c>
      <c r="G334" s="7" t="s">
        <v>535</v>
      </c>
      <c r="H334" s="7" t="s">
        <v>531</v>
      </c>
      <c r="I334" s="7" t="s">
        <v>532</v>
      </c>
      <c r="J334" s="7" t="s">
        <v>533</v>
      </c>
      <c r="K334" s="7" t="s">
        <v>45</v>
      </c>
      <c r="L334" s="5" t="s">
        <v>10</v>
      </c>
      <c r="M334" s="5" t="s">
        <v>10</v>
      </c>
      <c r="N334" s="5" t="s">
        <v>10</v>
      </c>
      <c r="O334" s="46" t="s">
        <v>46</v>
      </c>
      <c r="P334" s="100">
        <v>46121</v>
      </c>
      <c r="Q334" s="100">
        <f t="shared" si="67"/>
        <v>46304</v>
      </c>
      <c r="R334" s="5" t="s">
        <v>3515</v>
      </c>
      <c r="S334" s="5" t="s">
        <v>5239</v>
      </c>
      <c r="T334" s="7">
        <v>0.28999999999999998</v>
      </c>
      <c r="U334" s="5" t="s">
        <v>340</v>
      </c>
      <c r="V334" s="7">
        <f t="shared" si="45"/>
        <v>0.28999999999999998</v>
      </c>
      <c r="W334" s="5">
        <v>0.5</v>
      </c>
      <c r="X334" s="5" t="s">
        <v>55</v>
      </c>
      <c r="Y334" s="7" t="s">
        <v>56</v>
      </c>
      <c r="Z334" s="48" t="str">
        <f t="shared" si="46"/>
        <v>APROVADO</v>
      </c>
      <c r="AA334" s="47">
        <v>11542113</v>
      </c>
      <c r="AB334" s="5" t="s">
        <v>2763</v>
      </c>
      <c r="AC334" s="5" t="s">
        <v>48</v>
      </c>
      <c r="AD334" s="5" t="s">
        <v>5530</v>
      </c>
      <c r="AE334" s="5" t="str">
        <f t="shared" ca="1" si="55"/>
        <v>NO PRAZO</v>
      </c>
      <c r="AF334" s="49"/>
    </row>
    <row r="335" spans="1:32" ht="30" customHeight="1" x14ac:dyDescent="0.25">
      <c r="A335" s="7" t="s">
        <v>575</v>
      </c>
      <c r="B335" s="5" t="s">
        <v>10</v>
      </c>
      <c r="C335" s="5" t="s">
        <v>5862</v>
      </c>
      <c r="D335" s="7" t="s">
        <v>562</v>
      </c>
      <c r="E335" s="7" t="s">
        <v>40</v>
      </c>
      <c r="F335" s="7" t="s">
        <v>518</v>
      </c>
      <c r="G335" s="7" t="s">
        <v>537</v>
      </c>
      <c r="H335" s="7" t="s">
        <v>531</v>
      </c>
      <c r="I335" s="7" t="s">
        <v>532</v>
      </c>
      <c r="J335" s="7" t="s">
        <v>520</v>
      </c>
      <c r="K335" s="7" t="s">
        <v>45</v>
      </c>
      <c r="L335" s="5" t="s">
        <v>10</v>
      </c>
      <c r="M335" s="5" t="s">
        <v>10</v>
      </c>
      <c r="N335" s="5" t="s">
        <v>10</v>
      </c>
      <c r="O335" s="46" t="s">
        <v>46</v>
      </c>
      <c r="P335" s="100">
        <v>46127</v>
      </c>
      <c r="Q335" s="100">
        <f t="shared" si="67"/>
        <v>46310</v>
      </c>
      <c r="R335" s="5" t="s">
        <v>3570</v>
      </c>
      <c r="S335" s="5" t="s">
        <v>5252</v>
      </c>
      <c r="T335" s="7">
        <v>0.3</v>
      </c>
      <c r="U335" s="5" t="s">
        <v>340</v>
      </c>
      <c r="V335" s="7">
        <f t="shared" si="45"/>
        <v>0.3</v>
      </c>
      <c r="W335" s="5">
        <v>0.5</v>
      </c>
      <c r="X335" s="5" t="s">
        <v>55</v>
      </c>
      <c r="Y335" s="7" t="s">
        <v>56</v>
      </c>
      <c r="Z335" s="48" t="str">
        <f t="shared" si="46"/>
        <v>APROVADO</v>
      </c>
      <c r="AA335" s="47">
        <v>11542123</v>
      </c>
      <c r="AB335" s="5" t="s">
        <v>2708</v>
      </c>
      <c r="AC335" s="5" t="s">
        <v>48</v>
      </c>
      <c r="AD335" s="5" t="s">
        <v>5530</v>
      </c>
      <c r="AE335" s="5" t="str">
        <f t="shared" ca="1" si="55"/>
        <v>NO PRAZO</v>
      </c>
      <c r="AF335" s="49"/>
    </row>
    <row r="336" spans="1:32" ht="30" customHeight="1" x14ac:dyDescent="0.25">
      <c r="A336" s="7" t="s">
        <v>576</v>
      </c>
      <c r="B336" s="5" t="s">
        <v>10</v>
      </c>
      <c r="C336" s="5" t="s">
        <v>5862</v>
      </c>
      <c r="D336" s="7" t="s">
        <v>562</v>
      </c>
      <c r="E336" s="7" t="s">
        <v>40</v>
      </c>
      <c r="F336" s="7" t="s">
        <v>518</v>
      </c>
      <c r="G336" s="7" t="s">
        <v>539</v>
      </c>
      <c r="H336" s="7" t="s">
        <v>531</v>
      </c>
      <c r="I336" s="7" t="s">
        <v>532</v>
      </c>
      <c r="J336" s="7" t="s">
        <v>520</v>
      </c>
      <c r="K336" s="7" t="s">
        <v>45</v>
      </c>
      <c r="L336" s="5" t="s">
        <v>10</v>
      </c>
      <c r="M336" s="5" t="s">
        <v>10</v>
      </c>
      <c r="N336" s="5" t="s">
        <v>10</v>
      </c>
      <c r="O336" s="46" t="s">
        <v>46</v>
      </c>
      <c r="P336" s="100">
        <v>46121</v>
      </c>
      <c r="Q336" s="100">
        <f t="shared" si="67"/>
        <v>46304</v>
      </c>
      <c r="R336" s="5" t="s">
        <v>3516</v>
      </c>
      <c r="S336" s="5" t="s">
        <v>5243</v>
      </c>
      <c r="T336" s="7">
        <v>0.26</v>
      </c>
      <c r="U336" s="5" t="s">
        <v>340</v>
      </c>
      <c r="V336" s="7">
        <f t="shared" si="45"/>
        <v>0.26</v>
      </c>
      <c r="W336" s="5">
        <v>0.5</v>
      </c>
      <c r="X336" s="5" t="s">
        <v>55</v>
      </c>
      <c r="Y336" s="7" t="s">
        <v>56</v>
      </c>
      <c r="Z336" s="48" t="str">
        <f t="shared" si="46"/>
        <v>APROVADO</v>
      </c>
      <c r="AA336" s="47">
        <v>11542141</v>
      </c>
      <c r="AB336" s="5" t="s">
        <v>2709</v>
      </c>
      <c r="AC336" s="5" t="s">
        <v>48</v>
      </c>
      <c r="AD336" s="5" t="s">
        <v>5530</v>
      </c>
      <c r="AE336" s="5" t="str">
        <f t="shared" ca="1" si="55"/>
        <v>NO PRAZO</v>
      </c>
      <c r="AF336" s="49"/>
    </row>
    <row r="337" spans="1:32" ht="30" customHeight="1" x14ac:dyDescent="0.25">
      <c r="A337" s="7" t="s">
        <v>577</v>
      </c>
      <c r="B337" s="5" t="s">
        <v>10</v>
      </c>
      <c r="C337" s="5" t="s">
        <v>5862</v>
      </c>
      <c r="D337" s="7" t="s">
        <v>562</v>
      </c>
      <c r="E337" s="7" t="s">
        <v>40</v>
      </c>
      <c r="F337" s="7" t="s">
        <v>518</v>
      </c>
      <c r="G337" s="7" t="s">
        <v>556</v>
      </c>
      <c r="H337" s="7" t="s">
        <v>560</v>
      </c>
      <c r="I337" s="7" t="s">
        <v>532</v>
      </c>
      <c r="J337" s="7" t="s">
        <v>533</v>
      </c>
      <c r="K337" s="7" t="s">
        <v>45</v>
      </c>
      <c r="L337" s="5" t="s">
        <v>10</v>
      </c>
      <c r="M337" s="5" t="s">
        <v>10</v>
      </c>
      <c r="N337" s="5" t="s">
        <v>10</v>
      </c>
      <c r="O337" s="46" t="s">
        <v>46</v>
      </c>
      <c r="P337" s="100">
        <v>46127</v>
      </c>
      <c r="Q337" s="100">
        <f t="shared" si="67"/>
        <v>46310</v>
      </c>
      <c r="R337" s="5" t="s">
        <v>3541</v>
      </c>
      <c r="S337" s="5" t="s">
        <v>5263</v>
      </c>
      <c r="T337" s="7">
        <v>0.24</v>
      </c>
      <c r="U337" s="5" t="s">
        <v>340</v>
      </c>
      <c r="V337" s="7">
        <f t="shared" si="45"/>
        <v>0.24</v>
      </c>
      <c r="W337" s="5">
        <v>0.5</v>
      </c>
      <c r="X337" s="5" t="s">
        <v>55</v>
      </c>
      <c r="Y337" s="7" t="s">
        <v>56</v>
      </c>
      <c r="Z337" s="48" t="str">
        <f t="shared" si="46"/>
        <v>APROVADO</v>
      </c>
      <c r="AA337" s="47">
        <v>11542097</v>
      </c>
      <c r="AB337" s="5" t="s">
        <v>2716</v>
      </c>
      <c r="AC337" s="5" t="s">
        <v>48</v>
      </c>
      <c r="AD337" s="5" t="s">
        <v>5530</v>
      </c>
      <c r="AE337" s="5" t="str">
        <f t="shared" ca="1" si="55"/>
        <v>NO PRAZO</v>
      </c>
      <c r="AF337" s="49"/>
    </row>
    <row r="338" spans="1:32" ht="30" customHeight="1" x14ac:dyDescent="0.25">
      <c r="A338" s="7" t="s">
        <v>578</v>
      </c>
      <c r="B338" s="5" t="s">
        <v>10</v>
      </c>
      <c r="C338" s="5" t="s">
        <v>5862</v>
      </c>
      <c r="D338" s="7" t="s">
        <v>562</v>
      </c>
      <c r="E338" s="7" t="s">
        <v>40</v>
      </c>
      <c r="F338" s="7" t="s">
        <v>518</v>
      </c>
      <c r="G338" s="7" t="s">
        <v>530</v>
      </c>
      <c r="H338" s="7" t="s">
        <v>546</v>
      </c>
      <c r="I338" s="7" t="s">
        <v>532</v>
      </c>
      <c r="J338" s="7" t="s">
        <v>533</v>
      </c>
      <c r="K338" s="7" t="s">
        <v>45</v>
      </c>
      <c r="L338" s="5" t="s">
        <v>10</v>
      </c>
      <c r="M338" s="5" t="s">
        <v>10</v>
      </c>
      <c r="N338" s="5" t="s">
        <v>10</v>
      </c>
      <c r="O338" s="46" t="s">
        <v>46</v>
      </c>
      <c r="P338" s="100">
        <v>46121</v>
      </c>
      <c r="Q338" s="100">
        <f t="shared" si="67"/>
        <v>46304</v>
      </c>
      <c r="R338" s="5" t="s">
        <v>3517</v>
      </c>
      <c r="S338" s="5" t="s">
        <v>5228</v>
      </c>
      <c r="T338" s="7">
        <v>0.25</v>
      </c>
      <c r="U338" s="5" t="s">
        <v>340</v>
      </c>
      <c r="V338" s="7">
        <f t="shared" si="45"/>
        <v>0.25</v>
      </c>
      <c r="W338" s="5">
        <v>0.5</v>
      </c>
      <c r="X338" s="5" t="s">
        <v>55</v>
      </c>
      <c r="Y338" s="7" t="s">
        <v>56</v>
      </c>
      <c r="Z338" s="48" t="str">
        <f t="shared" si="46"/>
        <v>APROVADO</v>
      </c>
      <c r="AA338" s="47">
        <v>11542104</v>
      </c>
      <c r="AB338" s="5" t="s">
        <v>2764</v>
      </c>
      <c r="AC338" s="5" t="s">
        <v>48</v>
      </c>
      <c r="AD338" s="5" t="s">
        <v>5530</v>
      </c>
      <c r="AE338" s="5" t="str">
        <f t="shared" ca="1" si="55"/>
        <v>NO PRAZO</v>
      </c>
      <c r="AF338" s="49"/>
    </row>
    <row r="339" spans="1:32" ht="30" customHeight="1" x14ac:dyDescent="0.25">
      <c r="A339" s="7" t="s">
        <v>579</v>
      </c>
      <c r="B339" s="5" t="s">
        <v>10</v>
      </c>
      <c r="C339" s="5" t="s">
        <v>5862</v>
      </c>
      <c r="D339" s="7" t="s">
        <v>562</v>
      </c>
      <c r="E339" s="7" t="s">
        <v>40</v>
      </c>
      <c r="F339" s="7" t="s">
        <v>518</v>
      </c>
      <c r="G339" s="7" t="s">
        <v>535</v>
      </c>
      <c r="H339" s="7" t="s">
        <v>546</v>
      </c>
      <c r="I339" s="7" t="s">
        <v>532</v>
      </c>
      <c r="J339" s="7" t="s">
        <v>533</v>
      </c>
      <c r="K339" s="7" t="s">
        <v>45</v>
      </c>
      <c r="L339" s="5" t="s">
        <v>10</v>
      </c>
      <c r="M339" s="5" t="s">
        <v>10</v>
      </c>
      <c r="N339" s="5" t="s">
        <v>10</v>
      </c>
      <c r="O339" s="46" t="s">
        <v>46</v>
      </c>
      <c r="P339" s="100">
        <v>46121</v>
      </c>
      <c r="Q339" s="100">
        <f t="shared" si="67"/>
        <v>46304</v>
      </c>
      <c r="R339" s="5" t="s">
        <v>3487</v>
      </c>
      <c r="S339" s="5" t="s">
        <v>5240</v>
      </c>
      <c r="T339" s="7">
        <v>0.4</v>
      </c>
      <c r="U339" s="5" t="s">
        <v>340</v>
      </c>
      <c r="V339" s="7">
        <f t="shared" si="45"/>
        <v>0.4</v>
      </c>
      <c r="W339" s="5">
        <v>0.5</v>
      </c>
      <c r="X339" s="5" t="s">
        <v>55</v>
      </c>
      <c r="Y339" s="7" t="s">
        <v>56</v>
      </c>
      <c r="Z339" s="48" t="str">
        <f t="shared" si="46"/>
        <v>APROVADO</v>
      </c>
      <c r="AA339" s="47">
        <v>11542114</v>
      </c>
      <c r="AB339" s="5" t="s">
        <v>2765</v>
      </c>
      <c r="AC339" s="5" t="s">
        <v>48</v>
      </c>
      <c r="AD339" s="5" t="s">
        <v>5530</v>
      </c>
      <c r="AE339" s="5" t="str">
        <f t="shared" ref="AE339:AE356" ca="1" si="68">IFERROR(IF(OR(AND(YEAR(Q339)=YEAR(TODAY()),MONTH(Q339)&gt;MONTH(TODAY())),(YEAR(Q339)&gt;YEAR(TODAY()))),$AK$4,IF(AND(YEAR(Q339)=YEAR(TODAY()),MONTH(Q339)=MONTH(TODAY())),$AK$5,IF(Q339="",$AK$6,$AK$7))),"-")</f>
        <v>NO PRAZO</v>
      </c>
      <c r="AF339" s="49"/>
    </row>
    <row r="340" spans="1:32" ht="30" customHeight="1" x14ac:dyDescent="0.25">
      <c r="A340" s="7" t="s">
        <v>580</v>
      </c>
      <c r="B340" s="5" t="s">
        <v>10</v>
      </c>
      <c r="C340" s="5" t="s">
        <v>5862</v>
      </c>
      <c r="D340" s="7" t="s">
        <v>562</v>
      </c>
      <c r="E340" s="7" t="s">
        <v>40</v>
      </c>
      <c r="F340" s="7" t="s">
        <v>518</v>
      </c>
      <c r="G340" s="7" t="s">
        <v>537</v>
      </c>
      <c r="H340" s="7" t="s">
        <v>546</v>
      </c>
      <c r="I340" s="7" t="s">
        <v>532</v>
      </c>
      <c r="J340" s="7" t="s">
        <v>581</v>
      </c>
      <c r="K340" s="7" t="s">
        <v>45</v>
      </c>
      <c r="L340" s="5" t="s">
        <v>10</v>
      </c>
      <c r="M340" s="5" t="s">
        <v>10</v>
      </c>
      <c r="N340" s="5" t="s">
        <v>10</v>
      </c>
      <c r="O340" s="46" t="s">
        <v>46</v>
      </c>
      <c r="P340" s="100">
        <v>46127</v>
      </c>
      <c r="Q340" s="100">
        <f t="shared" si="67"/>
        <v>46310</v>
      </c>
      <c r="R340" s="5" t="s">
        <v>3571</v>
      </c>
      <c r="S340" s="5" t="s">
        <v>5253</v>
      </c>
      <c r="T340" s="7">
        <v>0.27</v>
      </c>
      <c r="U340" s="5" t="s">
        <v>340</v>
      </c>
      <c r="V340" s="7">
        <f t="shared" si="45"/>
        <v>0.27</v>
      </c>
      <c r="W340" s="5">
        <v>0.5</v>
      </c>
      <c r="X340" s="5" t="s">
        <v>55</v>
      </c>
      <c r="Y340" s="7" t="s">
        <v>56</v>
      </c>
      <c r="Z340" s="48" t="str">
        <f t="shared" si="46"/>
        <v>APROVADO</v>
      </c>
      <c r="AA340" s="47">
        <v>11542124</v>
      </c>
      <c r="AB340" s="5" t="s">
        <v>2710</v>
      </c>
      <c r="AC340" s="5" t="s">
        <v>48</v>
      </c>
      <c r="AD340" s="5" t="s">
        <v>5530</v>
      </c>
      <c r="AE340" s="5" t="str">
        <f t="shared" ca="1" si="68"/>
        <v>NO PRAZO</v>
      </c>
      <c r="AF340" s="49"/>
    </row>
    <row r="341" spans="1:32" ht="30" customHeight="1" x14ac:dyDescent="0.25">
      <c r="A341" s="7" t="s">
        <v>582</v>
      </c>
      <c r="B341" s="5" t="s">
        <v>10</v>
      </c>
      <c r="C341" s="5" t="s">
        <v>5862</v>
      </c>
      <c r="D341" s="7" t="s">
        <v>562</v>
      </c>
      <c r="E341" s="7" t="s">
        <v>40</v>
      </c>
      <c r="F341" s="7" t="s">
        <v>518</v>
      </c>
      <c r="G341" s="7" t="s">
        <v>539</v>
      </c>
      <c r="H341" s="7" t="s">
        <v>546</v>
      </c>
      <c r="I341" s="7" t="s">
        <v>532</v>
      </c>
      <c r="J341" s="7" t="s">
        <v>520</v>
      </c>
      <c r="K341" s="7" t="s">
        <v>45</v>
      </c>
      <c r="L341" s="5" t="s">
        <v>10</v>
      </c>
      <c r="M341" s="5" t="s">
        <v>10</v>
      </c>
      <c r="N341" s="5" t="s">
        <v>10</v>
      </c>
      <c r="O341" s="46" t="s">
        <v>46</v>
      </c>
      <c r="P341" s="100">
        <v>46121</v>
      </c>
      <c r="Q341" s="100">
        <f t="shared" si="67"/>
        <v>46304</v>
      </c>
      <c r="R341" s="5" t="s">
        <v>3488</v>
      </c>
      <c r="S341" s="5" t="s">
        <v>5244</v>
      </c>
      <c r="T341" s="7">
        <v>0.25</v>
      </c>
      <c r="U341" s="5" t="s">
        <v>340</v>
      </c>
      <c r="V341" s="7">
        <f t="shared" si="45"/>
        <v>0.25</v>
      </c>
      <c r="W341" s="5">
        <v>0.5</v>
      </c>
      <c r="X341" s="5" t="s">
        <v>55</v>
      </c>
      <c r="Y341" s="7" t="s">
        <v>56</v>
      </c>
      <c r="Z341" s="48" t="str">
        <f t="shared" si="46"/>
        <v>APROVADO</v>
      </c>
      <c r="AA341" s="47">
        <v>11542142</v>
      </c>
      <c r="AB341" s="5" t="s">
        <v>2723</v>
      </c>
      <c r="AC341" s="5" t="s">
        <v>48</v>
      </c>
      <c r="AD341" s="5" t="s">
        <v>5530</v>
      </c>
      <c r="AE341" s="5" t="str">
        <f t="shared" ca="1" si="68"/>
        <v>NO PRAZO</v>
      </c>
      <c r="AF341" s="49"/>
    </row>
    <row r="342" spans="1:32" ht="30" customHeight="1" x14ac:dyDescent="0.25">
      <c r="A342" s="7" t="s">
        <v>5552</v>
      </c>
      <c r="B342" s="7" t="s">
        <v>10</v>
      </c>
      <c r="C342" s="5" t="s">
        <v>5862</v>
      </c>
      <c r="D342" s="7" t="s">
        <v>5818</v>
      </c>
      <c r="E342" s="7" t="s">
        <v>40</v>
      </c>
      <c r="F342" s="7" t="s">
        <v>156</v>
      </c>
      <c r="G342" s="7" t="s">
        <v>180</v>
      </c>
      <c r="H342" s="7" t="s">
        <v>5603</v>
      </c>
      <c r="I342" s="7" t="s">
        <v>115</v>
      </c>
      <c r="J342" s="5" t="s">
        <v>5577</v>
      </c>
      <c r="K342" s="5" t="s">
        <v>45</v>
      </c>
      <c r="L342" s="5" t="s">
        <v>10</v>
      </c>
      <c r="M342" s="5" t="s">
        <v>10</v>
      </c>
      <c r="N342" s="5" t="s">
        <v>10</v>
      </c>
      <c r="O342" s="46" t="s">
        <v>46</v>
      </c>
      <c r="P342" s="100">
        <v>46158</v>
      </c>
      <c r="Q342" s="100">
        <f>IF(P342="","",P342+184)</f>
        <v>46342</v>
      </c>
      <c r="R342" s="5" t="s">
        <v>3655</v>
      </c>
      <c r="S342" s="5" t="s">
        <v>5494</v>
      </c>
      <c r="T342" s="7">
        <v>0.22</v>
      </c>
      <c r="U342" s="7" t="s">
        <v>10</v>
      </c>
      <c r="V342" s="7">
        <f t="shared" si="45"/>
        <v>0.22</v>
      </c>
      <c r="W342" s="7">
        <v>0.5</v>
      </c>
      <c r="X342" s="7" t="s">
        <v>55</v>
      </c>
      <c r="Y342" s="7" t="s">
        <v>56</v>
      </c>
      <c r="Z342" s="48" t="str">
        <f t="shared" si="46"/>
        <v>APROVADO</v>
      </c>
      <c r="AA342" s="47">
        <v>11603999</v>
      </c>
      <c r="AB342" s="5" t="s">
        <v>2835</v>
      </c>
      <c r="AC342" s="5" t="s">
        <v>48</v>
      </c>
      <c r="AD342" s="5" t="s">
        <v>5530</v>
      </c>
      <c r="AE342" s="5" t="str">
        <f t="shared" ca="1" si="68"/>
        <v>NO PRAZO</v>
      </c>
      <c r="AF342" s="53"/>
    </row>
    <row r="343" spans="1:32" ht="30" customHeight="1" x14ac:dyDescent="0.25">
      <c r="A343" s="7" t="s">
        <v>150</v>
      </c>
      <c r="B343" s="7" t="s">
        <v>10</v>
      </c>
      <c r="C343" s="5" t="s">
        <v>5862</v>
      </c>
      <c r="D343" s="7" t="s">
        <v>151</v>
      </c>
      <c r="E343" s="7" t="s">
        <v>40</v>
      </c>
      <c r="F343" s="7" t="s">
        <v>90</v>
      </c>
      <c r="G343" s="7" t="s">
        <v>152</v>
      </c>
      <c r="H343" s="7" t="s">
        <v>100</v>
      </c>
      <c r="I343" s="7" t="s">
        <v>153</v>
      </c>
      <c r="J343" s="5" t="s">
        <v>102</v>
      </c>
      <c r="K343" s="5" t="s">
        <v>45</v>
      </c>
      <c r="L343" s="5" t="s">
        <v>10</v>
      </c>
      <c r="M343" s="5" t="s">
        <v>10</v>
      </c>
      <c r="N343" s="5" t="s">
        <v>10</v>
      </c>
      <c r="O343" s="46" t="s">
        <v>46</v>
      </c>
      <c r="P343" s="100">
        <v>46208</v>
      </c>
      <c r="Q343" s="100">
        <f>IF(P343="","",P343+184)</f>
        <v>46392</v>
      </c>
      <c r="R343" s="5" t="s">
        <v>4571</v>
      </c>
      <c r="S343" s="5" t="s">
        <v>5773</v>
      </c>
      <c r="T343" s="7">
        <v>0.27700000000000002</v>
      </c>
      <c r="U343" s="7" t="s">
        <v>10</v>
      </c>
      <c r="V343" s="7">
        <f t="shared" si="45"/>
        <v>0.27700000000000002</v>
      </c>
      <c r="W343" s="7">
        <v>0.5</v>
      </c>
      <c r="X343" s="7" t="s">
        <v>55</v>
      </c>
      <c r="Y343" s="7" t="s">
        <v>56</v>
      </c>
      <c r="Z343" s="48" t="str">
        <f t="shared" si="46"/>
        <v>APROVADO</v>
      </c>
      <c r="AA343" s="47">
        <v>11556372</v>
      </c>
      <c r="AB343" s="5" t="s">
        <v>2996</v>
      </c>
      <c r="AC343" s="5" t="s">
        <v>48</v>
      </c>
      <c r="AD343" s="5" t="s">
        <v>5632</v>
      </c>
      <c r="AE343" s="5" t="str">
        <f t="shared" ca="1" si="68"/>
        <v>NO PRAZO</v>
      </c>
      <c r="AF343" s="51"/>
    </row>
    <row r="344" spans="1:32" ht="30" customHeight="1" x14ac:dyDescent="0.25">
      <c r="A344" s="6" t="s">
        <v>296</v>
      </c>
      <c r="B344" s="166" t="s">
        <v>5832</v>
      </c>
      <c r="C344" s="5" t="s">
        <v>5862</v>
      </c>
      <c r="D344" s="7" t="s">
        <v>151</v>
      </c>
      <c r="E344" s="7" t="s">
        <v>50</v>
      </c>
      <c r="F344" s="7" t="s">
        <v>221</v>
      </c>
      <c r="G344" s="5" t="s">
        <v>265</v>
      </c>
      <c r="H344" s="7" t="s">
        <v>52</v>
      </c>
      <c r="I344" s="7" t="s">
        <v>53</v>
      </c>
      <c r="J344" s="5" t="s">
        <v>237</v>
      </c>
      <c r="K344" s="5" t="s">
        <v>45</v>
      </c>
      <c r="L344" s="5" t="s">
        <v>10</v>
      </c>
      <c r="M344" s="5" t="s">
        <v>10</v>
      </c>
      <c r="N344" s="5" t="s">
        <v>10</v>
      </c>
      <c r="O344" s="46" t="s">
        <v>46</v>
      </c>
      <c r="P344" s="101">
        <v>46236</v>
      </c>
      <c r="Q344" s="100">
        <f>IF(P344="","",P344+184)</f>
        <v>46420</v>
      </c>
      <c r="R344" s="5" t="s">
        <v>4762</v>
      </c>
      <c r="S344" s="5" t="s">
        <v>5996</v>
      </c>
      <c r="T344" s="7"/>
      <c r="U344" s="7" t="s">
        <v>10</v>
      </c>
      <c r="V344" s="7">
        <f t="shared" si="45"/>
        <v>0</v>
      </c>
      <c r="W344" s="7">
        <v>0.5</v>
      </c>
      <c r="X344" s="7" t="s">
        <v>55</v>
      </c>
      <c r="Y344" s="7" t="s">
        <v>56</v>
      </c>
      <c r="Z344" s="48" t="str">
        <f t="shared" si="46"/>
        <v>AGUARDANDO CERTIFICADO</v>
      </c>
      <c r="AA344" s="47">
        <v>11542204</v>
      </c>
      <c r="AB344" s="5" t="s">
        <v>3971</v>
      </c>
      <c r="AC344" s="5" t="s">
        <v>48</v>
      </c>
      <c r="AD344" s="5" t="s">
        <v>5530</v>
      </c>
      <c r="AE344" s="5" t="str">
        <f t="shared" ca="1" si="68"/>
        <v>NO PRAZO</v>
      </c>
      <c r="AF344" s="52" t="s">
        <v>5967</v>
      </c>
    </row>
    <row r="345" spans="1:32" ht="30" customHeight="1" x14ac:dyDescent="0.25">
      <c r="A345" s="6" t="s">
        <v>6000</v>
      </c>
      <c r="B345" s="6" t="s">
        <v>10</v>
      </c>
      <c r="C345" s="5" t="s">
        <v>5862</v>
      </c>
      <c r="D345" s="7" t="s">
        <v>151</v>
      </c>
      <c r="E345" s="7" t="s">
        <v>50</v>
      </c>
      <c r="F345" s="7" t="s">
        <v>221</v>
      </c>
      <c r="G345" s="5" t="s">
        <v>265</v>
      </c>
      <c r="H345" s="7" t="s">
        <v>52</v>
      </c>
      <c r="I345" s="7" t="s">
        <v>53</v>
      </c>
      <c r="J345" s="5" t="s">
        <v>237</v>
      </c>
      <c r="K345" s="5" t="s">
        <v>45</v>
      </c>
      <c r="L345" s="5" t="s">
        <v>10</v>
      </c>
      <c r="M345" s="5" t="s">
        <v>10</v>
      </c>
      <c r="N345" s="5" t="s">
        <v>10</v>
      </c>
      <c r="O345" s="46" t="s">
        <v>46</v>
      </c>
      <c r="P345" s="101">
        <v>46236</v>
      </c>
      <c r="Q345" s="100">
        <f>IF(P345="","",P345+184)</f>
        <v>46420</v>
      </c>
      <c r="R345" s="7" t="s">
        <v>4763</v>
      </c>
      <c r="S345" s="7" t="s">
        <v>5997</v>
      </c>
      <c r="T345" s="7"/>
      <c r="U345" s="7" t="s">
        <v>10</v>
      </c>
      <c r="V345" s="7">
        <f t="shared" si="45"/>
        <v>0</v>
      </c>
      <c r="W345" s="7">
        <v>0.5</v>
      </c>
      <c r="X345" s="7" t="s">
        <v>55</v>
      </c>
      <c r="Y345" s="7" t="s">
        <v>56</v>
      </c>
      <c r="Z345" s="48" t="str">
        <f t="shared" si="46"/>
        <v>AGUARDANDO CERTIFICADO</v>
      </c>
      <c r="AA345" s="47">
        <v>11595739</v>
      </c>
      <c r="AB345" s="5" t="s">
        <v>3972</v>
      </c>
      <c r="AC345" s="5" t="s">
        <v>48</v>
      </c>
      <c r="AD345" s="5" t="s">
        <v>5530</v>
      </c>
      <c r="AE345" s="5" t="str">
        <f t="shared" ca="1" si="68"/>
        <v>NO PRAZO</v>
      </c>
      <c r="AF345" s="52" t="s">
        <v>5967</v>
      </c>
    </row>
    <row r="346" spans="1:32" ht="30" customHeight="1" x14ac:dyDescent="0.25">
      <c r="A346" s="5" t="s">
        <v>451</v>
      </c>
      <c r="B346" s="5" t="s">
        <v>10</v>
      </c>
      <c r="C346" s="5" t="s">
        <v>5862</v>
      </c>
      <c r="D346" s="7" t="s">
        <v>151</v>
      </c>
      <c r="E346" s="7" t="s">
        <v>40</v>
      </c>
      <c r="F346" s="7" t="s">
        <v>156</v>
      </c>
      <c r="G346" s="7" t="s">
        <v>452</v>
      </c>
      <c r="H346" s="61" t="s">
        <v>338</v>
      </c>
      <c r="I346" s="62" t="s">
        <v>453</v>
      </c>
      <c r="J346" s="7" t="s">
        <v>454</v>
      </c>
      <c r="K346" s="5" t="s">
        <v>45</v>
      </c>
      <c r="L346" s="5" t="s">
        <v>10</v>
      </c>
      <c r="M346" s="5" t="s">
        <v>10</v>
      </c>
      <c r="N346" s="5" t="s">
        <v>10</v>
      </c>
      <c r="O346" s="46" t="s">
        <v>46</v>
      </c>
      <c r="P346" s="101">
        <v>46131</v>
      </c>
      <c r="Q346" s="100">
        <f t="shared" ref="Q346:Q364" si="69">IF(P346="","",P346+183)</f>
        <v>46314</v>
      </c>
      <c r="R346" s="5" t="s">
        <v>3601</v>
      </c>
      <c r="S346" s="5" t="s">
        <v>5307</v>
      </c>
      <c r="T346" s="7">
        <v>0.246</v>
      </c>
      <c r="U346" s="5" t="s">
        <v>340</v>
      </c>
      <c r="V346" s="7">
        <f t="shared" si="45"/>
        <v>0.246</v>
      </c>
      <c r="W346" s="15">
        <v>0.5</v>
      </c>
      <c r="X346" s="5" t="s">
        <v>55</v>
      </c>
      <c r="Y346" s="7" t="s">
        <v>56</v>
      </c>
      <c r="Z346" s="48" t="str">
        <f t="shared" si="46"/>
        <v>APROVADO</v>
      </c>
      <c r="AA346" s="47">
        <v>11542030</v>
      </c>
      <c r="AB346" s="5" t="s">
        <v>2775</v>
      </c>
      <c r="AC346" s="5" t="s">
        <v>48</v>
      </c>
      <c r="AD346" s="5" t="s">
        <v>5530</v>
      </c>
      <c r="AE346" s="5" t="str">
        <f t="shared" ca="1" si="68"/>
        <v>NO PRAZO</v>
      </c>
      <c r="AF346" s="51"/>
    </row>
    <row r="347" spans="1:32" ht="30" customHeight="1" x14ac:dyDescent="0.25">
      <c r="A347" s="6" t="s">
        <v>458</v>
      </c>
      <c r="B347" s="5" t="s">
        <v>10</v>
      </c>
      <c r="C347" s="5" t="s">
        <v>5862</v>
      </c>
      <c r="D347" s="7" t="s">
        <v>151</v>
      </c>
      <c r="E347" s="7" t="s">
        <v>40</v>
      </c>
      <c r="F347" s="7" t="s">
        <v>156</v>
      </c>
      <c r="G347" s="7" t="s">
        <v>459</v>
      </c>
      <c r="H347" s="64" t="s">
        <v>338</v>
      </c>
      <c r="I347" s="62" t="s">
        <v>453</v>
      </c>
      <c r="J347" s="7" t="s">
        <v>454</v>
      </c>
      <c r="K347" s="5" t="s">
        <v>45</v>
      </c>
      <c r="L347" s="5" t="s">
        <v>10</v>
      </c>
      <c r="M347" s="5" t="s">
        <v>10</v>
      </c>
      <c r="N347" s="5" t="s">
        <v>10</v>
      </c>
      <c r="O347" s="46" t="s">
        <v>46</v>
      </c>
      <c r="P347" s="101">
        <v>46131</v>
      </c>
      <c r="Q347" s="100">
        <f t="shared" si="69"/>
        <v>46314</v>
      </c>
      <c r="R347" s="5" t="s">
        <v>3602</v>
      </c>
      <c r="S347" s="5" t="s">
        <v>5308</v>
      </c>
      <c r="T347" s="7">
        <v>0.27900000000000003</v>
      </c>
      <c r="U347" s="5" t="s">
        <v>340</v>
      </c>
      <c r="V347" s="7">
        <f t="shared" si="45"/>
        <v>0.27900000000000003</v>
      </c>
      <c r="W347" s="15">
        <v>0.5</v>
      </c>
      <c r="X347" s="5" t="s">
        <v>55</v>
      </c>
      <c r="Y347" s="7" t="s">
        <v>56</v>
      </c>
      <c r="Z347" s="48" t="str">
        <f t="shared" si="46"/>
        <v>APROVADO</v>
      </c>
      <c r="AA347" s="47">
        <v>11603563</v>
      </c>
      <c r="AB347" s="5" t="s">
        <v>460</v>
      </c>
      <c r="AC347" s="5" t="s">
        <v>48</v>
      </c>
      <c r="AD347" s="5" t="s">
        <v>5530</v>
      </c>
      <c r="AE347" s="5" t="str">
        <f t="shared" ca="1" si="68"/>
        <v>NO PRAZO</v>
      </c>
      <c r="AF347" s="51"/>
    </row>
    <row r="348" spans="1:32" ht="30" customHeight="1" x14ac:dyDescent="0.25">
      <c r="A348" s="6" t="s">
        <v>461</v>
      </c>
      <c r="B348" s="5" t="s">
        <v>10</v>
      </c>
      <c r="C348" s="5" t="s">
        <v>5862</v>
      </c>
      <c r="D348" s="7" t="s">
        <v>151</v>
      </c>
      <c r="E348" s="7" t="s">
        <v>40</v>
      </c>
      <c r="F348" s="7" t="s">
        <v>156</v>
      </c>
      <c r="G348" s="7" t="s">
        <v>462</v>
      </c>
      <c r="H348" s="61" t="s">
        <v>338</v>
      </c>
      <c r="I348" s="62" t="s">
        <v>453</v>
      </c>
      <c r="J348" s="7" t="s">
        <v>454</v>
      </c>
      <c r="K348" s="5" t="s">
        <v>45</v>
      </c>
      <c r="L348" s="5" t="s">
        <v>10</v>
      </c>
      <c r="M348" s="5" t="s">
        <v>10</v>
      </c>
      <c r="N348" s="5" t="s">
        <v>10</v>
      </c>
      <c r="O348" s="46" t="s">
        <v>46</v>
      </c>
      <c r="P348" s="101">
        <v>46131</v>
      </c>
      <c r="Q348" s="100">
        <f t="shared" si="69"/>
        <v>46314</v>
      </c>
      <c r="R348" s="5" t="s">
        <v>3603</v>
      </c>
      <c r="S348" s="5" t="s">
        <v>5309</v>
      </c>
      <c r="T348" s="7">
        <v>0.25900000000000001</v>
      </c>
      <c r="U348" s="5" t="s">
        <v>340</v>
      </c>
      <c r="V348" s="7">
        <f t="shared" si="45"/>
        <v>0.25900000000000001</v>
      </c>
      <c r="W348" s="15">
        <v>0.5</v>
      </c>
      <c r="X348" s="5" t="s">
        <v>55</v>
      </c>
      <c r="Y348" s="7" t="s">
        <v>56</v>
      </c>
      <c r="Z348" s="48" t="str">
        <f t="shared" si="46"/>
        <v>APROVADO</v>
      </c>
      <c r="AA348" s="47">
        <v>11542034</v>
      </c>
      <c r="AB348" s="5" t="s">
        <v>463</v>
      </c>
      <c r="AC348" s="5" t="s">
        <v>48</v>
      </c>
      <c r="AD348" s="5" t="s">
        <v>5530</v>
      </c>
      <c r="AE348" s="5" t="str">
        <f t="shared" ca="1" si="68"/>
        <v>NO PRAZO</v>
      </c>
      <c r="AF348" s="51"/>
    </row>
    <row r="349" spans="1:32" ht="30" customHeight="1" x14ac:dyDescent="0.25">
      <c r="A349" s="6" t="s">
        <v>464</v>
      </c>
      <c r="B349" s="5" t="s">
        <v>10</v>
      </c>
      <c r="C349" s="5" t="s">
        <v>5862</v>
      </c>
      <c r="D349" s="7" t="s">
        <v>151</v>
      </c>
      <c r="E349" s="7" t="s">
        <v>40</v>
      </c>
      <c r="F349" s="7" t="s">
        <v>156</v>
      </c>
      <c r="G349" s="7" t="s">
        <v>465</v>
      </c>
      <c r="H349" s="61" t="s">
        <v>338</v>
      </c>
      <c r="I349" s="62" t="s">
        <v>453</v>
      </c>
      <c r="J349" s="7" t="s">
        <v>454</v>
      </c>
      <c r="K349" s="5" t="s">
        <v>45</v>
      </c>
      <c r="L349" s="5" t="s">
        <v>10</v>
      </c>
      <c r="M349" s="5" t="s">
        <v>10</v>
      </c>
      <c r="N349" s="5" t="s">
        <v>10</v>
      </c>
      <c r="O349" s="46" t="s">
        <v>46</v>
      </c>
      <c r="P349" s="101">
        <v>46131</v>
      </c>
      <c r="Q349" s="100">
        <f t="shared" si="69"/>
        <v>46314</v>
      </c>
      <c r="R349" s="5" t="s">
        <v>3604</v>
      </c>
      <c r="S349" s="5" t="s">
        <v>5310</v>
      </c>
      <c r="T349" s="7">
        <v>0.21199999999999999</v>
      </c>
      <c r="U349" s="5" t="s">
        <v>340</v>
      </c>
      <c r="V349" s="7">
        <f t="shared" si="45"/>
        <v>0.21199999999999999</v>
      </c>
      <c r="W349" s="15">
        <v>0.5</v>
      </c>
      <c r="X349" s="5" t="s">
        <v>55</v>
      </c>
      <c r="Y349" s="7" t="s">
        <v>56</v>
      </c>
      <c r="Z349" s="48" t="str">
        <f t="shared" si="46"/>
        <v>APROVADO</v>
      </c>
      <c r="AA349" s="47">
        <v>11542026</v>
      </c>
      <c r="AB349" s="5" t="s">
        <v>466</v>
      </c>
      <c r="AC349" s="5" t="s">
        <v>48</v>
      </c>
      <c r="AD349" s="5" t="s">
        <v>5530</v>
      </c>
      <c r="AE349" s="5" t="str">
        <f t="shared" ca="1" si="68"/>
        <v>NO PRAZO</v>
      </c>
      <c r="AF349" s="51"/>
    </row>
    <row r="350" spans="1:32" ht="30" customHeight="1" x14ac:dyDescent="0.25">
      <c r="A350" s="6" t="s">
        <v>467</v>
      </c>
      <c r="B350" s="5" t="s">
        <v>10</v>
      </c>
      <c r="C350" s="5" t="s">
        <v>5862</v>
      </c>
      <c r="D350" s="7" t="s">
        <v>151</v>
      </c>
      <c r="E350" s="7" t="s">
        <v>40</v>
      </c>
      <c r="F350" s="7" t="s">
        <v>156</v>
      </c>
      <c r="G350" s="7" t="s">
        <v>468</v>
      </c>
      <c r="H350" s="61" t="s">
        <v>338</v>
      </c>
      <c r="I350" s="62" t="s">
        <v>453</v>
      </c>
      <c r="J350" s="7" t="s">
        <v>454</v>
      </c>
      <c r="K350" s="5" t="s">
        <v>45</v>
      </c>
      <c r="L350" s="5" t="s">
        <v>10</v>
      </c>
      <c r="M350" s="5" t="s">
        <v>10</v>
      </c>
      <c r="N350" s="5" t="s">
        <v>10</v>
      </c>
      <c r="O350" s="46" t="s">
        <v>46</v>
      </c>
      <c r="P350" s="101">
        <v>46131</v>
      </c>
      <c r="Q350" s="100">
        <f t="shared" si="69"/>
        <v>46314</v>
      </c>
      <c r="R350" s="5" t="s">
        <v>3605</v>
      </c>
      <c r="S350" s="5" t="s">
        <v>5311</v>
      </c>
      <c r="T350" s="7">
        <v>0.23599999999999999</v>
      </c>
      <c r="U350" s="5" t="s">
        <v>340</v>
      </c>
      <c r="V350" s="7">
        <f t="shared" si="45"/>
        <v>0.23599999999999999</v>
      </c>
      <c r="W350" s="15">
        <v>0.5</v>
      </c>
      <c r="X350" s="5" t="s">
        <v>55</v>
      </c>
      <c r="Y350" s="7" t="s">
        <v>56</v>
      </c>
      <c r="Z350" s="48" t="str">
        <f t="shared" si="46"/>
        <v>APROVADO</v>
      </c>
      <c r="AA350" s="47">
        <v>11542035</v>
      </c>
      <c r="AB350" s="5" t="s">
        <v>469</v>
      </c>
      <c r="AC350" s="5" t="s">
        <v>48</v>
      </c>
      <c r="AD350" s="5" t="s">
        <v>5530</v>
      </c>
      <c r="AE350" s="5" t="str">
        <f t="shared" ca="1" si="68"/>
        <v>NO PRAZO</v>
      </c>
      <c r="AF350" s="51"/>
    </row>
    <row r="351" spans="1:32" ht="30" customHeight="1" x14ac:dyDescent="0.25">
      <c r="A351" s="6" t="s">
        <v>470</v>
      </c>
      <c r="B351" s="6" t="s">
        <v>10</v>
      </c>
      <c r="C351" s="5" t="s">
        <v>5862</v>
      </c>
      <c r="D351" s="7" t="s">
        <v>151</v>
      </c>
      <c r="E351" s="7" t="s">
        <v>40</v>
      </c>
      <c r="F351" s="7" t="s">
        <v>156</v>
      </c>
      <c r="G351" s="7" t="s">
        <v>471</v>
      </c>
      <c r="H351" s="61" t="s">
        <v>338</v>
      </c>
      <c r="I351" s="62" t="s">
        <v>453</v>
      </c>
      <c r="J351" s="7" t="s">
        <v>454</v>
      </c>
      <c r="K351" s="5" t="s">
        <v>45</v>
      </c>
      <c r="L351" s="5" t="s">
        <v>10</v>
      </c>
      <c r="M351" s="5" t="s">
        <v>10</v>
      </c>
      <c r="N351" s="5" t="s">
        <v>10</v>
      </c>
      <c r="O351" s="46" t="s">
        <v>46</v>
      </c>
      <c r="P351" s="101">
        <v>46128</v>
      </c>
      <c r="Q351" s="100">
        <f t="shared" si="69"/>
        <v>46311</v>
      </c>
      <c r="R351" s="5" t="s">
        <v>3606</v>
      </c>
      <c r="S351" s="5" t="s">
        <v>5268</v>
      </c>
      <c r="T351" s="5">
        <v>0.26</v>
      </c>
      <c r="U351" s="5" t="s">
        <v>340</v>
      </c>
      <c r="V351" s="7">
        <f t="shared" si="45"/>
        <v>0.26</v>
      </c>
      <c r="W351" s="15">
        <v>0.5</v>
      </c>
      <c r="X351" s="5" t="s">
        <v>55</v>
      </c>
      <c r="Y351" s="7" t="s">
        <v>56</v>
      </c>
      <c r="Z351" s="48" t="str">
        <f t="shared" si="46"/>
        <v>APROVADO</v>
      </c>
      <c r="AA351" s="47">
        <v>11542027</v>
      </c>
      <c r="AB351" s="5" t="s">
        <v>3973</v>
      </c>
      <c r="AC351" s="5" t="s">
        <v>48</v>
      </c>
      <c r="AD351" s="5" t="s">
        <v>5530</v>
      </c>
      <c r="AE351" s="5" t="str">
        <f t="shared" ca="1" si="68"/>
        <v>NO PRAZO</v>
      </c>
      <c r="AF351" s="51"/>
    </row>
    <row r="352" spans="1:32" ht="30" customHeight="1" x14ac:dyDescent="0.25">
      <c r="A352" s="6" t="s">
        <v>472</v>
      </c>
      <c r="B352" s="5" t="s">
        <v>10</v>
      </c>
      <c r="C352" s="5" t="s">
        <v>5862</v>
      </c>
      <c r="D352" s="7" t="s">
        <v>151</v>
      </c>
      <c r="E352" s="7" t="s">
        <v>40</v>
      </c>
      <c r="F352" s="7" t="s">
        <v>156</v>
      </c>
      <c r="G352" s="7" t="s">
        <v>473</v>
      </c>
      <c r="H352" s="61" t="s">
        <v>338</v>
      </c>
      <c r="I352" s="62" t="s">
        <v>453</v>
      </c>
      <c r="J352" s="7" t="s">
        <v>454</v>
      </c>
      <c r="K352" s="5" t="s">
        <v>45</v>
      </c>
      <c r="L352" s="5" t="s">
        <v>10</v>
      </c>
      <c r="M352" s="5" t="s">
        <v>10</v>
      </c>
      <c r="N352" s="5" t="s">
        <v>10</v>
      </c>
      <c r="O352" s="46" t="s">
        <v>46</v>
      </c>
      <c r="P352" s="101">
        <v>46131</v>
      </c>
      <c r="Q352" s="100">
        <f t="shared" si="69"/>
        <v>46314</v>
      </c>
      <c r="R352" s="5" t="s">
        <v>3607</v>
      </c>
      <c r="S352" s="5" t="s">
        <v>5312</v>
      </c>
      <c r="T352" s="7">
        <v>0.23699999999999999</v>
      </c>
      <c r="U352" s="5" t="s">
        <v>340</v>
      </c>
      <c r="V352" s="7">
        <f t="shared" ref="V352:V415" si="70">IFERROR(IF(U352&gt;0,T352*100/U352,T352),T352)</f>
        <v>0.23699999999999999</v>
      </c>
      <c r="W352" s="15">
        <v>0.5</v>
      </c>
      <c r="X352" s="5" t="s">
        <v>55</v>
      </c>
      <c r="Y352" s="7" t="s">
        <v>56</v>
      </c>
      <c r="Z352" s="48" t="str">
        <f t="shared" ref="Z352:Z415" si="71">IFERROR(IF(W352="-",$AL$6,CHOOSE(IF(T352="",1,2),$AL$7,IF(V352&gt;W352,$AL$5,$AL$4))),"-")</f>
        <v>APROVADO</v>
      </c>
      <c r="AA352" s="47">
        <v>11541085</v>
      </c>
      <c r="AB352" s="5" t="s">
        <v>474</v>
      </c>
      <c r="AC352" s="5" t="s">
        <v>48</v>
      </c>
      <c r="AD352" s="5" t="s">
        <v>5530</v>
      </c>
      <c r="AE352" s="5" t="str">
        <f t="shared" ca="1" si="68"/>
        <v>NO PRAZO</v>
      </c>
      <c r="AF352" s="51"/>
    </row>
    <row r="353" spans="1:32" ht="30" customHeight="1" x14ac:dyDescent="0.25">
      <c r="A353" s="6" t="s">
        <v>475</v>
      </c>
      <c r="B353" s="5" t="s">
        <v>10</v>
      </c>
      <c r="C353" s="5" t="s">
        <v>5862</v>
      </c>
      <c r="D353" s="7" t="s">
        <v>151</v>
      </c>
      <c r="E353" s="7" t="s">
        <v>40</v>
      </c>
      <c r="F353" s="7" t="s">
        <v>156</v>
      </c>
      <c r="G353" s="7" t="s">
        <v>476</v>
      </c>
      <c r="H353" s="61" t="s">
        <v>338</v>
      </c>
      <c r="I353" s="62" t="s">
        <v>453</v>
      </c>
      <c r="J353" s="7" t="s">
        <v>454</v>
      </c>
      <c r="K353" s="5" t="s">
        <v>45</v>
      </c>
      <c r="L353" s="5" t="s">
        <v>10</v>
      </c>
      <c r="M353" s="5" t="s">
        <v>10</v>
      </c>
      <c r="N353" s="5" t="s">
        <v>10</v>
      </c>
      <c r="O353" s="46" t="s">
        <v>46</v>
      </c>
      <c r="P353" s="101">
        <v>46128</v>
      </c>
      <c r="Q353" s="100">
        <f t="shared" si="69"/>
        <v>46311</v>
      </c>
      <c r="R353" s="5" t="s">
        <v>3608</v>
      </c>
      <c r="S353" s="5" t="s">
        <v>5269</v>
      </c>
      <c r="T353" s="7">
        <v>0.27300000000000002</v>
      </c>
      <c r="U353" s="5" t="s">
        <v>340</v>
      </c>
      <c r="V353" s="7">
        <f t="shared" si="70"/>
        <v>0.27300000000000002</v>
      </c>
      <c r="W353" s="15">
        <v>0.5</v>
      </c>
      <c r="X353" s="5" t="s">
        <v>55</v>
      </c>
      <c r="Y353" s="7" t="s">
        <v>56</v>
      </c>
      <c r="Z353" s="48" t="str">
        <f t="shared" si="71"/>
        <v>APROVADO</v>
      </c>
      <c r="AA353" s="47">
        <v>11542028</v>
      </c>
      <c r="AB353" s="5" t="s">
        <v>477</v>
      </c>
      <c r="AC353" s="5" t="s">
        <v>48</v>
      </c>
      <c r="AD353" s="5" t="s">
        <v>5530</v>
      </c>
      <c r="AE353" s="5" t="str">
        <f t="shared" ca="1" si="68"/>
        <v>NO PRAZO</v>
      </c>
      <c r="AF353" s="51"/>
    </row>
    <row r="354" spans="1:32" ht="30" customHeight="1" x14ac:dyDescent="0.25">
      <c r="A354" s="6" t="s">
        <v>478</v>
      </c>
      <c r="B354" s="6" t="s">
        <v>10</v>
      </c>
      <c r="C354" s="5" t="s">
        <v>5862</v>
      </c>
      <c r="D354" s="7" t="s">
        <v>151</v>
      </c>
      <c r="E354" s="7" t="s">
        <v>40</v>
      </c>
      <c r="F354" s="7" t="s">
        <v>156</v>
      </c>
      <c r="G354" s="7" t="s">
        <v>479</v>
      </c>
      <c r="H354" s="61" t="s">
        <v>338</v>
      </c>
      <c r="I354" s="62" t="s">
        <v>453</v>
      </c>
      <c r="J354" s="7" t="s">
        <v>454</v>
      </c>
      <c r="K354" s="5" t="s">
        <v>45</v>
      </c>
      <c r="L354" s="5" t="s">
        <v>10</v>
      </c>
      <c r="M354" s="5" t="s">
        <v>10</v>
      </c>
      <c r="N354" s="5" t="s">
        <v>10</v>
      </c>
      <c r="O354" s="46" t="s">
        <v>46</v>
      </c>
      <c r="P354" s="101">
        <v>46131</v>
      </c>
      <c r="Q354" s="100">
        <f t="shared" si="69"/>
        <v>46314</v>
      </c>
      <c r="R354" s="5" t="s">
        <v>3609</v>
      </c>
      <c r="S354" s="5" t="s">
        <v>5313</v>
      </c>
      <c r="T354" s="7">
        <v>0.45500000000000002</v>
      </c>
      <c r="U354" s="5" t="s">
        <v>340</v>
      </c>
      <c r="V354" s="7">
        <f t="shared" si="70"/>
        <v>0.45500000000000002</v>
      </c>
      <c r="W354" s="15">
        <v>0.5</v>
      </c>
      <c r="X354" s="5" t="s">
        <v>55</v>
      </c>
      <c r="Y354" s="7" t="s">
        <v>56</v>
      </c>
      <c r="Z354" s="48" t="str">
        <f t="shared" si="71"/>
        <v>APROVADO</v>
      </c>
      <c r="AA354" s="47">
        <v>11542029</v>
      </c>
      <c r="AB354" s="5" t="s">
        <v>480</v>
      </c>
      <c r="AC354" s="5" t="s">
        <v>48</v>
      </c>
      <c r="AD354" s="5" t="s">
        <v>5530</v>
      </c>
      <c r="AE354" s="5" t="str">
        <f t="shared" ca="1" si="68"/>
        <v>NO PRAZO</v>
      </c>
      <c r="AF354" s="51"/>
    </row>
    <row r="355" spans="1:32" ht="30" customHeight="1" x14ac:dyDescent="0.25">
      <c r="A355" s="6" t="s">
        <v>3614</v>
      </c>
      <c r="B355" s="6" t="s">
        <v>481</v>
      </c>
      <c r="C355" s="5" t="s">
        <v>5862</v>
      </c>
      <c r="D355" s="7" t="s">
        <v>151</v>
      </c>
      <c r="E355" s="7" t="s">
        <v>40</v>
      </c>
      <c r="F355" s="7" t="s">
        <v>156</v>
      </c>
      <c r="G355" s="7" t="s">
        <v>482</v>
      </c>
      <c r="H355" s="61" t="s">
        <v>338</v>
      </c>
      <c r="I355" s="62" t="s">
        <v>3638</v>
      </c>
      <c r="J355" s="7" t="s">
        <v>454</v>
      </c>
      <c r="K355" s="5" t="s">
        <v>45</v>
      </c>
      <c r="L355" s="5" t="s">
        <v>10</v>
      </c>
      <c r="M355" s="5" t="s">
        <v>10</v>
      </c>
      <c r="N355" s="5" t="s">
        <v>10</v>
      </c>
      <c r="O355" s="46" t="s">
        <v>46</v>
      </c>
      <c r="P355" s="101">
        <v>46131</v>
      </c>
      <c r="Q355" s="100">
        <f t="shared" si="69"/>
        <v>46314</v>
      </c>
      <c r="R355" s="5" t="s">
        <v>3610</v>
      </c>
      <c r="S355" s="5" t="s">
        <v>5314</v>
      </c>
      <c r="T355" s="7">
        <v>0.27</v>
      </c>
      <c r="U355" s="5" t="s">
        <v>340</v>
      </c>
      <c r="V355" s="7">
        <f t="shared" si="70"/>
        <v>0.27</v>
      </c>
      <c r="W355" s="15">
        <v>0.5</v>
      </c>
      <c r="X355" s="5" t="s">
        <v>55</v>
      </c>
      <c r="Y355" s="7" t="s">
        <v>56</v>
      </c>
      <c r="Z355" s="48" t="str">
        <f t="shared" si="71"/>
        <v>APROVADO</v>
      </c>
      <c r="AA355" s="47">
        <v>11542094</v>
      </c>
      <c r="AB355" s="5" t="s">
        <v>483</v>
      </c>
      <c r="AC355" s="5" t="s">
        <v>48</v>
      </c>
      <c r="AD355" s="5" t="s">
        <v>5530</v>
      </c>
      <c r="AE355" s="5" t="str">
        <f t="shared" ca="1" si="68"/>
        <v>NO PRAZO</v>
      </c>
      <c r="AF355" s="51"/>
    </row>
    <row r="356" spans="1:32" ht="30" customHeight="1" x14ac:dyDescent="0.25">
      <c r="A356" s="6" t="s">
        <v>484</v>
      </c>
      <c r="B356" s="5" t="s">
        <v>10</v>
      </c>
      <c r="C356" s="5" t="s">
        <v>5862</v>
      </c>
      <c r="D356" s="7" t="s">
        <v>151</v>
      </c>
      <c r="E356" s="7" t="s">
        <v>40</v>
      </c>
      <c r="F356" s="7" t="s">
        <v>156</v>
      </c>
      <c r="G356" s="7" t="s">
        <v>485</v>
      </c>
      <c r="H356" s="61" t="s">
        <v>338</v>
      </c>
      <c r="I356" s="62" t="s">
        <v>453</v>
      </c>
      <c r="J356" s="7" t="s">
        <v>454</v>
      </c>
      <c r="K356" s="5" t="s">
        <v>45</v>
      </c>
      <c r="L356" s="5" t="s">
        <v>10</v>
      </c>
      <c r="M356" s="5" t="s">
        <v>10</v>
      </c>
      <c r="N356" s="5" t="s">
        <v>10</v>
      </c>
      <c r="O356" s="46" t="s">
        <v>46</v>
      </c>
      <c r="P356" s="101">
        <v>46131</v>
      </c>
      <c r="Q356" s="100">
        <f t="shared" si="69"/>
        <v>46314</v>
      </c>
      <c r="R356" s="5" t="s">
        <v>3611</v>
      </c>
      <c r="S356" s="5" t="s">
        <v>5315</v>
      </c>
      <c r="T356" s="7">
        <v>0.27100000000000002</v>
      </c>
      <c r="U356" s="5" t="s">
        <v>340</v>
      </c>
      <c r="V356" s="7">
        <f t="shared" si="70"/>
        <v>0.27100000000000002</v>
      </c>
      <c r="W356" s="15">
        <v>0.5</v>
      </c>
      <c r="X356" s="5" t="s">
        <v>55</v>
      </c>
      <c r="Y356" s="7" t="s">
        <v>56</v>
      </c>
      <c r="Z356" s="48" t="str">
        <f t="shared" si="71"/>
        <v>APROVADO</v>
      </c>
      <c r="AA356" s="47">
        <v>11603562</v>
      </c>
      <c r="AB356" s="5" t="s">
        <v>486</v>
      </c>
      <c r="AC356" s="5" t="s">
        <v>48</v>
      </c>
      <c r="AD356" s="5" t="s">
        <v>5530</v>
      </c>
      <c r="AE356" s="5" t="str">
        <f t="shared" ca="1" si="68"/>
        <v>NO PRAZO</v>
      </c>
      <c r="AF356" s="51"/>
    </row>
    <row r="357" spans="1:32" ht="30" customHeight="1" x14ac:dyDescent="0.25">
      <c r="A357" s="6" t="s">
        <v>488</v>
      </c>
      <c r="B357" s="5" t="s">
        <v>10</v>
      </c>
      <c r="C357" s="5" t="s">
        <v>5862</v>
      </c>
      <c r="D357" s="7" t="s">
        <v>151</v>
      </c>
      <c r="E357" s="7" t="s">
        <v>40</v>
      </c>
      <c r="F357" s="7" t="s">
        <v>156</v>
      </c>
      <c r="G357" s="7" t="s">
        <v>489</v>
      </c>
      <c r="H357" s="61" t="s">
        <v>338</v>
      </c>
      <c r="I357" s="62" t="s">
        <v>453</v>
      </c>
      <c r="J357" s="7" t="s">
        <v>454</v>
      </c>
      <c r="K357" s="5" t="s">
        <v>45</v>
      </c>
      <c r="L357" s="5" t="s">
        <v>10</v>
      </c>
      <c r="M357" s="5" t="s">
        <v>10</v>
      </c>
      <c r="N357" s="5" t="s">
        <v>10</v>
      </c>
      <c r="O357" s="46" t="s">
        <v>46</v>
      </c>
      <c r="P357" s="101">
        <v>45749</v>
      </c>
      <c r="Q357" s="100">
        <f t="shared" si="69"/>
        <v>45932</v>
      </c>
      <c r="R357" s="5" t="s">
        <v>1731</v>
      </c>
      <c r="S357" s="5" t="s">
        <v>2081</v>
      </c>
      <c r="T357" s="7">
        <v>0.28999999999999998</v>
      </c>
      <c r="U357" s="5" t="s">
        <v>340</v>
      </c>
      <c r="V357" s="7">
        <f t="shared" si="70"/>
        <v>0.28999999999999998</v>
      </c>
      <c r="W357" s="65">
        <v>0.5</v>
      </c>
      <c r="X357" s="5" t="s">
        <v>55</v>
      </c>
      <c r="Y357" s="7" t="s">
        <v>56</v>
      </c>
      <c r="Z357" s="48" t="str">
        <f t="shared" si="71"/>
        <v>APROVADO</v>
      </c>
      <c r="AA357" s="47">
        <v>11542031</v>
      </c>
      <c r="AB357" s="5" t="s">
        <v>490</v>
      </c>
      <c r="AC357" s="5" t="s">
        <v>48</v>
      </c>
      <c r="AD357" s="5" t="s">
        <v>5530</v>
      </c>
      <c r="AE357" s="5" t="s">
        <v>3062</v>
      </c>
      <c r="AF357" s="53" t="s">
        <v>3730</v>
      </c>
    </row>
    <row r="358" spans="1:32" ht="30" customHeight="1" x14ac:dyDescent="0.25">
      <c r="A358" s="6" t="s">
        <v>491</v>
      </c>
      <c r="B358" s="6" t="s">
        <v>492</v>
      </c>
      <c r="C358" s="5" t="s">
        <v>5862</v>
      </c>
      <c r="D358" s="7" t="s">
        <v>151</v>
      </c>
      <c r="E358" s="7" t="s">
        <v>40</v>
      </c>
      <c r="F358" s="7" t="s">
        <v>156</v>
      </c>
      <c r="G358" s="7" t="s">
        <v>493</v>
      </c>
      <c r="H358" s="61" t="s">
        <v>338</v>
      </c>
      <c r="I358" s="62" t="s">
        <v>453</v>
      </c>
      <c r="J358" s="7" t="s">
        <v>454</v>
      </c>
      <c r="K358" s="5" t="s">
        <v>45</v>
      </c>
      <c r="L358" s="5" t="s">
        <v>10</v>
      </c>
      <c r="M358" s="5" t="s">
        <v>10</v>
      </c>
      <c r="N358" s="5" t="s">
        <v>10</v>
      </c>
      <c r="O358" s="46" t="s">
        <v>46</v>
      </c>
      <c r="P358" s="101">
        <v>46131</v>
      </c>
      <c r="Q358" s="100">
        <f t="shared" si="69"/>
        <v>46314</v>
      </c>
      <c r="R358" s="5" t="s">
        <v>3612</v>
      </c>
      <c r="S358" s="5" t="s">
        <v>5316</v>
      </c>
      <c r="T358" s="7">
        <v>0.23499999999999999</v>
      </c>
      <c r="U358" s="5" t="s">
        <v>340</v>
      </c>
      <c r="V358" s="7">
        <f t="shared" si="70"/>
        <v>0.23499999999999999</v>
      </c>
      <c r="W358" s="15">
        <v>0.5</v>
      </c>
      <c r="X358" s="5" t="s">
        <v>55</v>
      </c>
      <c r="Y358" s="7" t="s">
        <v>56</v>
      </c>
      <c r="Z358" s="48" t="str">
        <f t="shared" si="71"/>
        <v>APROVADO</v>
      </c>
      <c r="AA358" s="47">
        <v>11605796</v>
      </c>
      <c r="AB358" s="5" t="s">
        <v>494</v>
      </c>
      <c r="AC358" s="5" t="s">
        <v>48</v>
      </c>
      <c r="AD358" s="5" t="s">
        <v>5530</v>
      </c>
      <c r="AE358" s="5" t="str">
        <f ca="1">IFERROR(IF(OR(AND(YEAR(Q358)=YEAR(TODAY()),MONTH(Q358)&gt;MONTH(TODAY())),(YEAR(Q358)&gt;YEAR(TODAY()))),$AK$4,IF(AND(YEAR(Q358)=YEAR(TODAY()),MONTH(Q358)=MONTH(TODAY())),$AK$5,IF(Q358="",$AK$6,$AK$7))),"-")</f>
        <v>NO PRAZO</v>
      </c>
      <c r="AF358" s="51"/>
    </row>
    <row r="359" spans="1:32" ht="30" customHeight="1" x14ac:dyDescent="0.25">
      <c r="A359" s="6" t="s">
        <v>495</v>
      </c>
      <c r="B359" s="5" t="s">
        <v>10</v>
      </c>
      <c r="C359" s="5" t="s">
        <v>5862</v>
      </c>
      <c r="D359" s="7" t="s">
        <v>151</v>
      </c>
      <c r="E359" s="7" t="s">
        <v>40</v>
      </c>
      <c r="F359" s="7" t="s">
        <v>156</v>
      </c>
      <c r="G359" s="7" t="s">
        <v>496</v>
      </c>
      <c r="H359" s="61" t="s">
        <v>338</v>
      </c>
      <c r="I359" s="62" t="s">
        <v>453</v>
      </c>
      <c r="J359" s="7" t="s">
        <v>454</v>
      </c>
      <c r="K359" s="5" t="s">
        <v>45</v>
      </c>
      <c r="L359" s="5" t="s">
        <v>10</v>
      </c>
      <c r="M359" s="5" t="s">
        <v>10</v>
      </c>
      <c r="N359" s="5" t="s">
        <v>10</v>
      </c>
      <c r="O359" s="46" t="s">
        <v>46</v>
      </c>
      <c r="P359" s="101">
        <v>45749</v>
      </c>
      <c r="Q359" s="100">
        <f t="shared" si="69"/>
        <v>45932</v>
      </c>
      <c r="R359" s="5" t="s">
        <v>1732</v>
      </c>
      <c r="S359" s="5" t="s">
        <v>2100</v>
      </c>
      <c r="T359" s="7">
        <v>0.26</v>
      </c>
      <c r="U359" s="5" t="s">
        <v>340</v>
      </c>
      <c r="V359" s="7">
        <f t="shared" si="70"/>
        <v>0.26</v>
      </c>
      <c r="W359" s="65">
        <v>0.5</v>
      </c>
      <c r="X359" s="5" t="s">
        <v>55</v>
      </c>
      <c r="Y359" s="7" t="s">
        <v>56</v>
      </c>
      <c r="Z359" s="48" t="str">
        <f t="shared" si="71"/>
        <v>APROVADO</v>
      </c>
      <c r="AA359" s="47">
        <v>11542032</v>
      </c>
      <c r="AB359" s="5" t="s">
        <v>497</v>
      </c>
      <c r="AC359" s="5" t="s">
        <v>48</v>
      </c>
      <c r="AD359" s="5" t="s">
        <v>5530</v>
      </c>
      <c r="AE359" s="5" t="s">
        <v>3062</v>
      </c>
      <c r="AF359" s="53" t="s">
        <v>3730</v>
      </c>
    </row>
    <row r="360" spans="1:32" ht="30" customHeight="1" x14ac:dyDescent="0.25">
      <c r="A360" s="6" t="s">
        <v>498</v>
      </c>
      <c r="B360" s="5" t="s">
        <v>10</v>
      </c>
      <c r="C360" s="5" t="s">
        <v>5862</v>
      </c>
      <c r="D360" s="7" t="s">
        <v>151</v>
      </c>
      <c r="E360" s="7" t="s">
        <v>40</v>
      </c>
      <c r="F360" s="7" t="s">
        <v>156</v>
      </c>
      <c r="G360" s="7" t="s">
        <v>499</v>
      </c>
      <c r="H360" s="61" t="s">
        <v>338</v>
      </c>
      <c r="I360" s="62" t="s">
        <v>453</v>
      </c>
      <c r="J360" s="7" t="s">
        <v>454</v>
      </c>
      <c r="K360" s="5" t="s">
        <v>45</v>
      </c>
      <c r="L360" s="5" t="s">
        <v>10</v>
      </c>
      <c r="M360" s="5" t="s">
        <v>10</v>
      </c>
      <c r="N360" s="5" t="s">
        <v>10</v>
      </c>
      <c r="O360" s="46" t="s">
        <v>46</v>
      </c>
      <c r="P360" s="101">
        <v>46131</v>
      </c>
      <c r="Q360" s="100">
        <f t="shared" si="69"/>
        <v>46314</v>
      </c>
      <c r="R360" s="5" t="s">
        <v>3613</v>
      </c>
      <c r="S360" s="5" t="s">
        <v>5317</v>
      </c>
      <c r="T360" s="7">
        <v>0.23499999999999999</v>
      </c>
      <c r="U360" s="5" t="s">
        <v>340</v>
      </c>
      <c r="V360" s="7">
        <f t="shared" si="70"/>
        <v>0.23499999999999999</v>
      </c>
      <c r="W360" s="15">
        <v>0.5</v>
      </c>
      <c r="X360" s="5" t="s">
        <v>55</v>
      </c>
      <c r="Y360" s="7" t="s">
        <v>56</v>
      </c>
      <c r="Z360" s="48" t="str">
        <f t="shared" si="71"/>
        <v>APROVADO</v>
      </c>
      <c r="AA360" s="47">
        <v>11542033</v>
      </c>
      <c r="AB360" s="5" t="s">
        <v>500</v>
      </c>
      <c r="AC360" s="5" t="s">
        <v>48</v>
      </c>
      <c r="AD360" s="5" t="s">
        <v>5530</v>
      </c>
      <c r="AE360" s="5" t="str">
        <f t="shared" ref="AE360:AE365" ca="1" si="72">IFERROR(IF(OR(AND(YEAR(Q360)=YEAR(TODAY()),MONTH(Q360)&gt;MONTH(TODAY())),(YEAR(Q360)&gt;YEAR(TODAY()))),$AK$4,IF(AND(YEAR(Q360)=YEAR(TODAY()),MONTH(Q360)=MONTH(TODAY())),$AK$5,IF(Q360="",$AK$6,$AK$7))),"-")</f>
        <v>NO PRAZO</v>
      </c>
      <c r="AF360" s="51"/>
    </row>
    <row r="361" spans="1:32" ht="30" customHeight="1" x14ac:dyDescent="0.25">
      <c r="A361" s="5" t="s">
        <v>5833</v>
      </c>
      <c r="B361" s="5" t="s">
        <v>10</v>
      </c>
      <c r="C361" s="5" t="s">
        <v>5862</v>
      </c>
      <c r="D361" s="7" t="s">
        <v>151</v>
      </c>
      <c r="E361" s="7" t="s">
        <v>50</v>
      </c>
      <c r="F361" s="7" t="s">
        <v>589</v>
      </c>
      <c r="G361" s="7" t="s">
        <v>590</v>
      </c>
      <c r="H361" s="7" t="s">
        <v>591</v>
      </c>
      <c r="I361" s="7" t="s">
        <v>53</v>
      </c>
      <c r="J361" s="7" t="s">
        <v>592</v>
      </c>
      <c r="K361" s="7" t="s">
        <v>45</v>
      </c>
      <c r="L361" s="5" t="s">
        <v>10</v>
      </c>
      <c r="M361" s="5" t="s">
        <v>10</v>
      </c>
      <c r="N361" s="5" t="s">
        <v>10</v>
      </c>
      <c r="O361" s="46" t="s">
        <v>46</v>
      </c>
      <c r="P361" s="100">
        <v>46116</v>
      </c>
      <c r="Q361" s="100">
        <f t="shared" si="69"/>
        <v>46299</v>
      </c>
      <c r="R361" s="5" t="s">
        <v>3524</v>
      </c>
      <c r="S361" s="5" t="s">
        <v>5212</v>
      </c>
      <c r="T361" s="7">
        <v>0.23100000000000001</v>
      </c>
      <c r="U361" s="5" t="s">
        <v>340</v>
      </c>
      <c r="V361" s="7">
        <f t="shared" si="70"/>
        <v>0.23100000000000001</v>
      </c>
      <c r="W361" s="5">
        <v>0.5</v>
      </c>
      <c r="X361" s="5" t="s">
        <v>55</v>
      </c>
      <c r="Y361" s="7" t="s">
        <v>56</v>
      </c>
      <c r="Z361" s="48" t="str">
        <f t="shared" si="71"/>
        <v>APROVADO</v>
      </c>
      <c r="AA361" s="47">
        <v>11542179</v>
      </c>
      <c r="AB361" s="5" t="s">
        <v>2770</v>
      </c>
      <c r="AC361" s="7" t="s">
        <v>48</v>
      </c>
      <c r="AD361" s="5" t="s">
        <v>5530</v>
      </c>
      <c r="AE361" s="5" t="str">
        <f t="shared" ca="1" si="72"/>
        <v>NO PRAZO</v>
      </c>
      <c r="AF361" s="49"/>
    </row>
    <row r="362" spans="1:32" ht="30" customHeight="1" x14ac:dyDescent="0.25">
      <c r="A362" s="5" t="s">
        <v>593</v>
      </c>
      <c r="B362" s="5" t="s">
        <v>10</v>
      </c>
      <c r="C362" s="5" t="s">
        <v>5862</v>
      </c>
      <c r="D362" s="7" t="s">
        <v>151</v>
      </c>
      <c r="E362" s="7" t="s">
        <v>50</v>
      </c>
      <c r="F362" s="7" t="s">
        <v>589</v>
      </c>
      <c r="G362" s="7" t="s">
        <v>594</v>
      </c>
      <c r="H362" s="7" t="s">
        <v>591</v>
      </c>
      <c r="I362" s="7" t="s">
        <v>53</v>
      </c>
      <c r="J362" s="7" t="s">
        <v>592</v>
      </c>
      <c r="K362" s="7" t="s">
        <v>45</v>
      </c>
      <c r="L362" s="5" t="s">
        <v>10</v>
      </c>
      <c r="M362" s="5" t="s">
        <v>10</v>
      </c>
      <c r="N362" s="5" t="s">
        <v>10</v>
      </c>
      <c r="O362" s="46" t="s">
        <v>46</v>
      </c>
      <c r="P362" s="100">
        <v>46116</v>
      </c>
      <c r="Q362" s="100">
        <f t="shared" si="69"/>
        <v>46299</v>
      </c>
      <c r="R362" s="5" t="s">
        <v>3518</v>
      </c>
      <c r="S362" s="5" t="s">
        <v>5213</v>
      </c>
      <c r="T362" s="7">
        <v>0.221</v>
      </c>
      <c r="U362" s="5" t="s">
        <v>340</v>
      </c>
      <c r="V362" s="7">
        <f t="shared" si="70"/>
        <v>0.221</v>
      </c>
      <c r="W362" s="5">
        <v>0.5</v>
      </c>
      <c r="X362" s="5" t="s">
        <v>55</v>
      </c>
      <c r="Y362" s="7" t="s">
        <v>56</v>
      </c>
      <c r="Z362" s="48" t="str">
        <f t="shared" si="71"/>
        <v>APROVADO</v>
      </c>
      <c r="AA362" s="47">
        <v>11595672</v>
      </c>
      <c r="AB362" s="5" t="s">
        <v>2777</v>
      </c>
      <c r="AC362" s="7" t="s">
        <v>48</v>
      </c>
      <c r="AD362" s="5" t="s">
        <v>5530</v>
      </c>
      <c r="AE362" s="5" t="str">
        <f t="shared" ca="1" si="72"/>
        <v>NO PRAZO</v>
      </c>
      <c r="AF362" s="49"/>
    </row>
    <row r="363" spans="1:32" ht="30" customHeight="1" x14ac:dyDescent="0.25">
      <c r="A363" s="6" t="s">
        <v>595</v>
      </c>
      <c r="B363" s="5" t="s">
        <v>10</v>
      </c>
      <c r="C363" s="5" t="s">
        <v>5862</v>
      </c>
      <c r="D363" s="7" t="s">
        <v>151</v>
      </c>
      <c r="E363" s="7" t="s">
        <v>50</v>
      </c>
      <c r="F363" s="7" t="s">
        <v>596</v>
      </c>
      <c r="G363" s="7" t="s">
        <v>597</v>
      </c>
      <c r="H363" s="7" t="s">
        <v>598</v>
      </c>
      <c r="I363" s="7" t="s">
        <v>53</v>
      </c>
      <c r="J363" s="7" t="s">
        <v>599</v>
      </c>
      <c r="K363" s="7" t="s">
        <v>45</v>
      </c>
      <c r="L363" s="5" t="s">
        <v>10</v>
      </c>
      <c r="M363" s="5" t="s">
        <v>10</v>
      </c>
      <c r="N363" s="5" t="s">
        <v>10</v>
      </c>
      <c r="O363" s="46" t="s">
        <v>46</v>
      </c>
      <c r="P363" s="100">
        <v>46116</v>
      </c>
      <c r="Q363" s="100">
        <f t="shared" si="69"/>
        <v>46299</v>
      </c>
      <c r="R363" s="5" t="s">
        <v>3519</v>
      </c>
      <c r="S363" s="5" t="s">
        <v>5207</v>
      </c>
      <c r="T363" s="7">
        <v>0.27</v>
      </c>
      <c r="U363" s="5" t="s">
        <v>340</v>
      </c>
      <c r="V363" s="7">
        <f t="shared" si="70"/>
        <v>0.27</v>
      </c>
      <c r="W363" s="5">
        <v>0.5</v>
      </c>
      <c r="X363" s="5" t="s">
        <v>55</v>
      </c>
      <c r="Y363" s="7" t="s">
        <v>56</v>
      </c>
      <c r="Z363" s="48" t="str">
        <f t="shared" si="71"/>
        <v>APROVADO</v>
      </c>
      <c r="AA363" s="47">
        <v>11595654</v>
      </c>
      <c r="AB363" s="5" t="s">
        <v>600</v>
      </c>
      <c r="AC363" s="5" t="s">
        <v>48</v>
      </c>
      <c r="AD363" s="5" t="s">
        <v>5530</v>
      </c>
      <c r="AE363" s="5" t="str">
        <f t="shared" ca="1" si="72"/>
        <v>NO PRAZO</v>
      </c>
      <c r="AF363" s="49"/>
    </row>
    <row r="364" spans="1:32" ht="30" customHeight="1" x14ac:dyDescent="0.25">
      <c r="A364" s="8" t="s">
        <v>5834</v>
      </c>
      <c r="B364" s="8" t="s">
        <v>10</v>
      </c>
      <c r="C364" s="5" t="s">
        <v>5862</v>
      </c>
      <c r="D364" s="7" t="s">
        <v>151</v>
      </c>
      <c r="E364" s="7" t="s">
        <v>50</v>
      </c>
      <c r="F364" s="7" t="s">
        <v>596</v>
      </c>
      <c r="G364" s="7" t="s">
        <v>598</v>
      </c>
      <c r="H364" s="7" t="s">
        <v>598</v>
      </c>
      <c r="I364" s="7" t="s">
        <v>53</v>
      </c>
      <c r="J364" s="7" t="s">
        <v>601</v>
      </c>
      <c r="K364" s="7" t="s">
        <v>45</v>
      </c>
      <c r="L364" s="5" t="s">
        <v>10</v>
      </c>
      <c r="M364" s="5" t="s">
        <v>10</v>
      </c>
      <c r="N364" s="5" t="s">
        <v>10</v>
      </c>
      <c r="O364" s="46" t="s">
        <v>46</v>
      </c>
      <c r="P364" s="100">
        <v>46116</v>
      </c>
      <c r="Q364" s="100">
        <f t="shared" si="69"/>
        <v>46299</v>
      </c>
      <c r="R364" s="5" t="s">
        <v>3520</v>
      </c>
      <c r="S364" s="5" t="s">
        <v>5208</v>
      </c>
      <c r="T364" s="7">
        <v>0.26800000000000002</v>
      </c>
      <c r="U364" s="5" t="s">
        <v>340</v>
      </c>
      <c r="V364" s="7">
        <f t="shared" si="70"/>
        <v>0.26800000000000002</v>
      </c>
      <c r="W364" s="5">
        <v>0.5</v>
      </c>
      <c r="X364" s="5" t="s">
        <v>55</v>
      </c>
      <c r="Y364" s="7" t="s">
        <v>56</v>
      </c>
      <c r="Z364" s="48" t="str">
        <f t="shared" si="71"/>
        <v>APROVADO</v>
      </c>
      <c r="AA364" s="47">
        <v>11595702</v>
      </c>
      <c r="AB364" s="5" t="s">
        <v>602</v>
      </c>
      <c r="AC364" s="5" t="s">
        <v>48</v>
      </c>
      <c r="AD364" s="5" t="s">
        <v>5530</v>
      </c>
      <c r="AE364" s="5" t="str">
        <f t="shared" ca="1" si="72"/>
        <v>NO PRAZO</v>
      </c>
      <c r="AF364" s="49"/>
    </row>
    <row r="365" spans="1:32" ht="30" customHeight="1" x14ac:dyDescent="0.25">
      <c r="A365" s="6" t="s">
        <v>603</v>
      </c>
      <c r="B365" s="6" t="s">
        <v>10</v>
      </c>
      <c r="C365" s="5" t="s">
        <v>5862</v>
      </c>
      <c r="D365" s="7" t="s">
        <v>2069</v>
      </c>
      <c r="E365" s="7" t="s">
        <v>50</v>
      </c>
      <c r="F365" s="7" t="s">
        <v>596</v>
      </c>
      <c r="G365" s="7" t="s">
        <v>604</v>
      </c>
      <c r="H365" s="7" t="s">
        <v>598</v>
      </c>
      <c r="I365" s="7" t="s">
        <v>93</v>
      </c>
      <c r="J365" s="7" t="s">
        <v>605</v>
      </c>
      <c r="K365" s="7" t="s">
        <v>45</v>
      </c>
      <c r="L365" s="5" t="s">
        <v>10</v>
      </c>
      <c r="M365" s="5" t="s">
        <v>10</v>
      </c>
      <c r="N365" s="5" t="s">
        <v>10</v>
      </c>
      <c r="O365" s="46" t="s">
        <v>46</v>
      </c>
      <c r="P365" s="101">
        <v>46089</v>
      </c>
      <c r="Q365" s="100">
        <f>IF(P365="","",P365+184)</f>
        <v>46273</v>
      </c>
      <c r="R365" s="7" t="s">
        <v>3447</v>
      </c>
      <c r="S365" s="7" t="s">
        <v>5024</v>
      </c>
      <c r="T365" s="7">
        <v>0.17100000000000001</v>
      </c>
      <c r="U365" s="5" t="s">
        <v>340</v>
      </c>
      <c r="V365" s="7">
        <f t="shared" si="70"/>
        <v>0.17100000000000001</v>
      </c>
      <c r="W365" s="5">
        <v>0.5</v>
      </c>
      <c r="X365" s="5" t="s">
        <v>55</v>
      </c>
      <c r="Y365" s="7" t="s">
        <v>56</v>
      </c>
      <c r="Z365" s="48" t="str">
        <f t="shared" si="71"/>
        <v>APROVADO</v>
      </c>
      <c r="AA365" s="47">
        <v>11542187</v>
      </c>
      <c r="AB365" s="5" t="s">
        <v>606</v>
      </c>
      <c r="AC365" s="5" t="s">
        <v>48</v>
      </c>
      <c r="AD365" s="5" t="s">
        <v>5530</v>
      </c>
      <c r="AE365" s="5" t="str">
        <f t="shared" ca="1" si="72"/>
        <v>NO PRAZO</v>
      </c>
      <c r="AF365" s="51"/>
    </row>
    <row r="366" spans="1:32" ht="30" customHeight="1" x14ac:dyDescent="0.25">
      <c r="A366" s="6" t="s">
        <v>607</v>
      </c>
      <c r="B366" s="6" t="s">
        <v>10</v>
      </c>
      <c r="C366" s="5" t="s">
        <v>5862</v>
      </c>
      <c r="D366" s="7" t="s">
        <v>151</v>
      </c>
      <c r="E366" s="7" t="s">
        <v>50</v>
      </c>
      <c r="F366" s="7" t="s">
        <v>596</v>
      </c>
      <c r="G366" s="7" t="s">
        <v>608</v>
      </c>
      <c r="H366" s="7" t="s">
        <v>598</v>
      </c>
      <c r="I366" s="7" t="s">
        <v>93</v>
      </c>
      <c r="J366" s="7" t="s">
        <v>605</v>
      </c>
      <c r="K366" s="7" t="s">
        <v>45</v>
      </c>
      <c r="L366" s="5" t="s">
        <v>10</v>
      </c>
      <c r="M366" s="5" t="s">
        <v>10</v>
      </c>
      <c r="N366" s="5" t="s">
        <v>10</v>
      </c>
      <c r="O366" s="46" t="s">
        <v>46</v>
      </c>
      <c r="P366" s="101">
        <v>45917</v>
      </c>
      <c r="Q366" s="100">
        <f>IF(P366="","",P366+181)</f>
        <v>46098</v>
      </c>
      <c r="R366" s="5" t="s">
        <v>2185</v>
      </c>
      <c r="S366" s="5" t="s">
        <v>3448</v>
      </c>
      <c r="T366" s="7">
        <v>0.46</v>
      </c>
      <c r="U366" s="5" t="s">
        <v>340</v>
      </c>
      <c r="V366" s="7">
        <f t="shared" si="70"/>
        <v>0.46</v>
      </c>
      <c r="W366" s="5">
        <v>0.5</v>
      </c>
      <c r="X366" s="5" t="s">
        <v>55</v>
      </c>
      <c r="Y366" s="7" t="s">
        <v>56</v>
      </c>
      <c r="Z366" s="48" t="str">
        <f t="shared" si="71"/>
        <v>APROVADO</v>
      </c>
      <c r="AA366" s="47">
        <v>11542180</v>
      </c>
      <c r="AB366" s="5" t="s">
        <v>609</v>
      </c>
      <c r="AC366" s="5" t="s">
        <v>48</v>
      </c>
      <c r="AD366" s="5" t="s">
        <v>5530</v>
      </c>
      <c r="AE366" s="5" t="s">
        <v>3062</v>
      </c>
      <c r="AF366" s="53" t="s">
        <v>3730</v>
      </c>
    </row>
    <row r="367" spans="1:32" ht="30" customHeight="1" x14ac:dyDescent="0.25">
      <c r="A367" s="6" t="s">
        <v>610</v>
      </c>
      <c r="B367" s="5" t="s">
        <v>10</v>
      </c>
      <c r="C367" s="5" t="s">
        <v>5862</v>
      </c>
      <c r="D367" s="7" t="s">
        <v>151</v>
      </c>
      <c r="E367" s="7" t="s">
        <v>50</v>
      </c>
      <c r="F367" s="7" t="s">
        <v>3584</v>
      </c>
      <c r="G367" s="7" t="s">
        <v>5320</v>
      </c>
      <c r="H367" s="7" t="s">
        <v>591</v>
      </c>
      <c r="I367" s="7" t="s">
        <v>53</v>
      </c>
      <c r="J367" s="7" t="s">
        <v>450</v>
      </c>
      <c r="K367" s="7" t="s">
        <v>45</v>
      </c>
      <c r="L367" s="5" t="s">
        <v>10</v>
      </c>
      <c r="M367" s="5" t="s">
        <v>10</v>
      </c>
      <c r="N367" s="5" t="s">
        <v>10</v>
      </c>
      <c r="O367" s="46" t="s">
        <v>46</v>
      </c>
      <c r="P367" s="100">
        <v>46116</v>
      </c>
      <c r="Q367" s="100">
        <f>IF(P367="","",P367+183)</f>
        <v>46299</v>
      </c>
      <c r="R367" s="5" t="s">
        <v>3521</v>
      </c>
      <c r="S367" s="5" t="s">
        <v>5209</v>
      </c>
      <c r="T367" s="7">
        <v>0.21099999999999999</v>
      </c>
      <c r="U367" s="5" t="s">
        <v>340</v>
      </c>
      <c r="V367" s="7">
        <f t="shared" si="70"/>
        <v>0.21099999999999999</v>
      </c>
      <c r="W367" s="5">
        <v>0.5</v>
      </c>
      <c r="X367" s="5" t="s">
        <v>55</v>
      </c>
      <c r="Y367" s="7" t="s">
        <v>56</v>
      </c>
      <c r="Z367" s="48" t="str">
        <f t="shared" si="71"/>
        <v>APROVADO</v>
      </c>
      <c r="AA367" s="47">
        <v>11595675</v>
      </c>
      <c r="AB367" s="5" t="s">
        <v>611</v>
      </c>
      <c r="AC367" s="34" t="s">
        <v>48</v>
      </c>
      <c r="AD367" s="5" t="s">
        <v>5530</v>
      </c>
      <c r="AE367" s="5" t="str">
        <f t="shared" ref="AE367:AE398" ca="1" si="73">IFERROR(IF(OR(AND(YEAR(Q367)=YEAR(TODAY()),MONTH(Q367)&gt;MONTH(TODAY())),(YEAR(Q367)&gt;YEAR(TODAY()))),$AK$4,IF(AND(YEAR(Q367)=YEAR(TODAY()),MONTH(Q367)=MONTH(TODAY())),$AK$5,IF(Q367="",$AK$6,$AK$7))),"-")</f>
        <v>NO PRAZO</v>
      </c>
      <c r="AF367" s="49"/>
    </row>
    <row r="368" spans="1:32" ht="30" customHeight="1" x14ac:dyDescent="0.25">
      <c r="A368" s="6" t="s">
        <v>612</v>
      </c>
      <c r="B368" s="6" t="s">
        <v>10</v>
      </c>
      <c r="C368" s="5" t="s">
        <v>5862</v>
      </c>
      <c r="D368" s="7" t="s">
        <v>151</v>
      </c>
      <c r="E368" s="7" t="s">
        <v>50</v>
      </c>
      <c r="F368" s="7" t="s">
        <v>589</v>
      </c>
      <c r="G368" s="7" t="s">
        <v>613</v>
      </c>
      <c r="H368" s="7" t="s">
        <v>591</v>
      </c>
      <c r="I368" s="7" t="s">
        <v>53</v>
      </c>
      <c r="J368" s="7" t="s">
        <v>450</v>
      </c>
      <c r="K368" s="7" t="s">
        <v>45</v>
      </c>
      <c r="L368" s="5" t="s">
        <v>10</v>
      </c>
      <c r="M368" s="5" t="s">
        <v>10</v>
      </c>
      <c r="N368" s="5" t="s">
        <v>10</v>
      </c>
      <c r="O368" s="46" t="s">
        <v>46</v>
      </c>
      <c r="P368" s="100">
        <v>46116</v>
      </c>
      <c r="Q368" s="100">
        <f>IF(P368="","",P368+183)</f>
        <v>46299</v>
      </c>
      <c r="R368" s="5" t="s">
        <v>3522</v>
      </c>
      <c r="S368" s="5" t="s">
        <v>5210</v>
      </c>
      <c r="T368" s="59">
        <v>0.25600000000000001</v>
      </c>
      <c r="U368" s="5" t="s">
        <v>340</v>
      </c>
      <c r="V368" s="7">
        <f t="shared" si="70"/>
        <v>0.25600000000000001</v>
      </c>
      <c r="W368" s="5">
        <v>0.5</v>
      </c>
      <c r="X368" s="5" t="s">
        <v>55</v>
      </c>
      <c r="Y368" s="7" t="s">
        <v>56</v>
      </c>
      <c r="Z368" s="48" t="str">
        <f t="shared" si="71"/>
        <v>APROVADO</v>
      </c>
      <c r="AA368" s="47">
        <v>11541088</v>
      </c>
      <c r="AB368" s="5" t="s">
        <v>614</v>
      </c>
      <c r="AC368" s="7" t="s">
        <v>48</v>
      </c>
      <c r="AD368" s="5" t="s">
        <v>5530</v>
      </c>
      <c r="AE368" s="5" t="str">
        <f t="shared" ca="1" si="73"/>
        <v>NO PRAZO</v>
      </c>
      <c r="AF368" s="49"/>
    </row>
    <row r="369" spans="1:32" ht="30" customHeight="1" x14ac:dyDescent="0.25">
      <c r="A369" s="6" t="s">
        <v>615</v>
      </c>
      <c r="B369" s="5" t="s">
        <v>10</v>
      </c>
      <c r="C369" s="5" t="s">
        <v>5862</v>
      </c>
      <c r="D369" s="7" t="s">
        <v>151</v>
      </c>
      <c r="E369" s="7" t="s">
        <v>50</v>
      </c>
      <c r="F369" s="7" t="s">
        <v>589</v>
      </c>
      <c r="G369" s="7" t="s">
        <v>616</v>
      </c>
      <c r="H369" s="7" t="s">
        <v>591</v>
      </c>
      <c r="I369" s="7" t="s">
        <v>53</v>
      </c>
      <c r="J369" s="7" t="s">
        <v>617</v>
      </c>
      <c r="K369" s="7" t="s">
        <v>45</v>
      </c>
      <c r="L369" s="5" t="s">
        <v>10</v>
      </c>
      <c r="M369" s="5" t="s">
        <v>10</v>
      </c>
      <c r="N369" s="5" t="s">
        <v>10</v>
      </c>
      <c r="O369" s="46" t="s">
        <v>46</v>
      </c>
      <c r="P369" s="100">
        <v>46116</v>
      </c>
      <c r="Q369" s="100">
        <f>IF(P369="","",P369+183)</f>
        <v>46299</v>
      </c>
      <c r="R369" s="5" t="s">
        <v>3523</v>
      </c>
      <c r="S369" s="5" t="s">
        <v>5211</v>
      </c>
      <c r="T369" s="59">
        <v>0.29099999999999998</v>
      </c>
      <c r="U369" s="5" t="s">
        <v>340</v>
      </c>
      <c r="V369" s="7">
        <f t="shared" si="70"/>
        <v>0.29099999999999998</v>
      </c>
      <c r="W369" s="5">
        <v>0.5</v>
      </c>
      <c r="X369" s="5" t="s">
        <v>55</v>
      </c>
      <c r="Y369" s="7" t="s">
        <v>56</v>
      </c>
      <c r="Z369" s="48" t="str">
        <f t="shared" si="71"/>
        <v>APROVADO</v>
      </c>
      <c r="AA369" s="47">
        <v>11541089</v>
      </c>
      <c r="AB369" s="5" t="s">
        <v>618</v>
      </c>
      <c r="AC369" s="34" t="s">
        <v>48</v>
      </c>
      <c r="AD369" s="5" t="s">
        <v>5530</v>
      </c>
      <c r="AE369" s="5" t="str">
        <f t="shared" ca="1" si="73"/>
        <v>NO PRAZO</v>
      </c>
      <c r="AF369" s="49"/>
    </row>
    <row r="370" spans="1:32" ht="30" customHeight="1" x14ac:dyDescent="0.25">
      <c r="A370" s="7" t="s">
        <v>136</v>
      </c>
      <c r="B370" s="7" t="s">
        <v>10</v>
      </c>
      <c r="C370" s="5" t="s">
        <v>5862</v>
      </c>
      <c r="D370" s="7" t="s">
        <v>137</v>
      </c>
      <c r="E370" s="7" t="s">
        <v>40</v>
      </c>
      <c r="F370" s="7" t="s">
        <v>90</v>
      </c>
      <c r="G370" s="7" t="s">
        <v>138</v>
      </c>
      <c r="H370" s="7" t="s">
        <v>100</v>
      </c>
      <c r="I370" s="7" t="s">
        <v>121</v>
      </c>
      <c r="J370" s="5" t="s">
        <v>102</v>
      </c>
      <c r="K370" s="5" t="s">
        <v>45</v>
      </c>
      <c r="L370" s="5" t="s">
        <v>10</v>
      </c>
      <c r="M370" s="5" t="s">
        <v>10</v>
      </c>
      <c r="N370" s="5" t="s">
        <v>10</v>
      </c>
      <c r="O370" s="46" t="s">
        <v>46</v>
      </c>
      <c r="P370" s="100">
        <v>46208</v>
      </c>
      <c r="Q370" s="100">
        <f>IF(P370="","",P370+184)</f>
        <v>46392</v>
      </c>
      <c r="R370" s="5" t="s">
        <v>4572</v>
      </c>
      <c r="S370" s="5" t="s">
        <v>5774</v>
      </c>
      <c r="T370" s="7">
        <v>0.373</v>
      </c>
      <c r="U370" s="7" t="s">
        <v>10</v>
      </c>
      <c r="V370" s="7">
        <f t="shared" si="70"/>
        <v>0.373</v>
      </c>
      <c r="W370" s="7">
        <v>0.5</v>
      </c>
      <c r="X370" s="7" t="s">
        <v>55</v>
      </c>
      <c r="Y370" s="7" t="s">
        <v>56</v>
      </c>
      <c r="Z370" s="48" t="str">
        <f t="shared" si="71"/>
        <v>APROVADO</v>
      </c>
      <c r="AA370" s="47">
        <v>11556342</v>
      </c>
      <c r="AB370" s="5" t="s">
        <v>2986</v>
      </c>
      <c r="AC370" s="5" t="s">
        <v>48</v>
      </c>
      <c r="AD370" s="5" t="s">
        <v>5632</v>
      </c>
      <c r="AE370" s="5" t="str">
        <f t="shared" ca="1" si="73"/>
        <v>NO PRAZO</v>
      </c>
      <c r="AF370" s="51"/>
    </row>
    <row r="371" spans="1:32" ht="30" customHeight="1" x14ac:dyDescent="0.25">
      <c r="A371" s="5" t="s">
        <v>184</v>
      </c>
      <c r="B371" s="5" t="s">
        <v>10</v>
      </c>
      <c r="C371" s="5" t="s">
        <v>5862</v>
      </c>
      <c r="D371" s="7" t="s">
        <v>137</v>
      </c>
      <c r="E371" s="7" t="s">
        <v>40</v>
      </c>
      <c r="F371" s="7" t="s">
        <v>41</v>
      </c>
      <c r="G371" s="5" t="s">
        <v>60</v>
      </c>
      <c r="H371" s="7" t="s">
        <v>185</v>
      </c>
      <c r="I371" s="7" t="s">
        <v>53</v>
      </c>
      <c r="J371" s="5" t="s">
        <v>186</v>
      </c>
      <c r="K371" s="5" t="s">
        <v>45</v>
      </c>
      <c r="L371" s="5" t="s">
        <v>10</v>
      </c>
      <c r="M371" s="5" t="s">
        <v>10</v>
      </c>
      <c r="N371" s="5" t="s">
        <v>10</v>
      </c>
      <c r="O371" s="46" t="s">
        <v>46</v>
      </c>
      <c r="P371" s="101">
        <v>46176</v>
      </c>
      <c r="Q371" s="100">
        <f>IF(P371="","",P371+183)</f>
        <v>46359</v>
      </c>
      <c r="R371" s="5" t="s">
        <v>4365</v>
      </c>
      <c r="S371" s="5" t="s">
        <v>5609</v>
      </c>
      <c r="T371" s="5">
        <v>0.191</v>
      </c>
      <c r="U371" s="5" t="s">
        <v>10</v>
      </c>
      <c r="V371" s="7">
        <f t="shared" si="70"/>
        <v>0.191</v>
      </c>
      <c r="W371" s="7">
        <v>0.5</v>
      </c>
      <c r="X371" s="7" t="s">
        <v>55</v>
      </c>
      <c r="Y371" s="7" t="s">
        <v>56</v>
      </c>
      <c r="Z371" s="48" t="str">
        <f t="shared" si="71"/>
        <v>APROVADO</v>
      </c>
      <c r="AA371" s="47">
        <v>11542043</v>
      </c>
      <c r="AB371" s="5" t="s">
        <v>2901</v>
      </c>
      <c r="AC371" s="5" t="s">
        <v>48</v>
      </c>
      <c r="AD371" s="5" t="s">
        <v>5632</v>
      </c>
      <c r="AE371" s="5" t="str">
        <f t="shared" ca="1" si="73"/>
        <v>NO PRAZO</v>
      </c>
      <c r="AF371" s="51"/>
    </row>
    <row r="372" spans="1:32" ht="30" customHeight="1" x14ac:dyDescent="0.25">
      <c r="A372" s="5" t="s">
        <v>3050</v>
      </c>
      <c r="B372" s="5" t="s">
        <v>10</v>
      </c>
      <c r="C372" s="5" t="s">
        <v>5862</v>
      </c>
      <c r="D372" s="7" t="s">
        <v>137</v>
      </c>
      <c r="E372" s="7" t="s">
        <v>40</v>
      </c>
      <c r="F372" s="7" t="s">
        <v>41</v>
      </c>
      <c r="G372" s="5" t="s">
        <v>60</v>
      </c>
      <c r="H372" s="7" t="s">
        <v>188</v>
      </c>
      <c r="I372" s="7" t="s">
        <v>53</v>
      </c>
      <c r="J372" s="5" t="s">
        <v>186</v>
      </c>
      <c r="K372" s="5" t="s">
        <v>45</v>
      </c>
      <c r="L372" s="5" t="s">
        <v>10</v>
      </c>
      <c r="M372" s="5" t="s">
        <v>10</v>
      </c>
      <c r="N372" s="5" t="s">
        <v>10</v>
      </c>
      <c r="O372" s="46" t="s">
        <v>46</v>
      </c>
      <c r="P372" s="101">
        <v>46176</v>
      </c>
      <c r="Q372" s="100">
        <f>IF(P372="","",P372+183)</f>
        <v>46359</v>
      </c>
      <c r="R372" s="5" t="s">
        <v>4366</v>
      </c>
      <c r="S372" s="5" t="s">
        <v>5610</v>
      </c>
      <c r="T372" s="5">
        <v>0.245</v>
      </c>
      <c r="U372" s="5" t="s">
        <v>10</v>
      </c>
      <c r="V372" s="7">
        <f t="shared" si="70"/>
        <v>0.245</v>
      </c>
      <c r="W372" s="7">
        <v>0.5</v>
      </c>
      <c r="X372" s="7" t="s">
        <v>55</v>
      </c>
      <c r="Y372" s="7" t="s">
        <v>56</v>
      </c>
      <c r="Z372" s="48" t="str">
        <f t="shared" si="71"/>
        <v>APROVADO</v>
      </c>
      <c r="AA372" s="47">
        <v>11604349</v>
      </c>
      <c r="AB372" s="5" t="s">
        <v>2903</v>
      </c>
      <c r="AC372" s="5" t="s">
        <v>48</v>
      </c>
      <c r="AD372" s="5" t="s">
        <v>5632</v>
      </c>
      <c r="AE372" s="5" t="str">
        <f t="shared" ca="1" si="73"/>
        <v>NO PRAZO</v>
      </c>
      <c r="AF372" s="51"/>
    </row>
    <row r="373" spans="1:32" ht="30" customHeight="1" x14ac:dyDescent="0.25">
      <c r="A373" s="5" t="s">
        <v>5835</v>
      </c>
      <c r="B373" s="5" t="s">
        <v>10</v>
      </c>
      <c r="C373" s="5" t="s">
        <v>5862</v>
      </c>
      <c r="D373" s="7" t="s">
        <v>137</v>
      </c>
      <c r="E373" s="7" t="s">
        <v>40</v>
      </c>
      <c r="F373" s="7" t="s">
        <v>41</v>
      </c>
      <c r="G373" s="5" t="s">
        <v>60</v>
      </c>
      <c r="H373" s="7" t="s">
        <v>190</v>
      </c>
      <c r="I373" s="7" t="s">
        <v>53</v>
      </c>
      <c r="J373" s="5" t="s">
        <v>186</v>
      </c>
      <c r="K373" s="5" t="s">
        <v>45</v>
      </c>
      <c r="L373" s="5" t="s">
        <v>10</v>
      </c>
      <c r="M373" s="5" t="s">
        <v>10</v>
      </c>
      <c r="N373" s="5" t="s">
        <v>10</v>
      </c>
      <c r="O373" s="46" t="s">
        <v>46</v>
      </c>
      <c r="P373" s="101">
        <v>46176</v>
      </c>
      <c r="Q373" s="100">
        <f>IF(P373="","",P373+183)</f>
        <v>46359</v>
      </c>
      <c r="R373" s="5" t="s">
        <v>4367</v>
      </c>
      <c r="S373" s="5" t="s">
        <v>5611</v>
      </c>
      <c r="T373" s="5">
        <v>0.23499999999999999</v>
      </c>
      <c r="U373" s="5" t="s">
        <v>10</v>
      </c>
      <c r="V373" s="7">
        <f t="shared" si="70"/>
        <v>0.23499999999999999</v>
      </c>
      <c r="W373" s="7">
        <v>0.5</v>
      </c>
      <c r="X373" s="7" t="s">
        <v>55</v>
      </c>
      <c r="Y373" s="7" t="s">
        <v>56</v>
      </c>
      <c r="Z373" s="48" t="str">
        <f t="shared" si="71"/>
        <v>APROVADO</v>
      </c>
      <c r="AA373" s="47">
        <v>11542037</v>
      </c>
      <c r="AB373" s="5" t="s">
        <v>3974</v>
      </c>
      <c r="AC373" s="5" t="s">
        <v>48</v>
      </c>
      <c r="AD373" s="5" t="s">
        <v>5632</v>
      </c>
      <c r="AE373" s="5" t="str">
        <f t="shared" ca="1" si="73"/>
        <v>NO PRAZO</v>
      </c>
      <c r="AF373" s="53"/>
    </row>
    <row r="374" spans="1:32" ht="30" customHeight="1" x14ac:dyDescent="0.25">
      <c r="A374" s="5" t="s">
        <v>192</v>
      </c>
      <c r="B374" s="5" t="s">
        <v>10</v>
      </c>
      <c r="C374" s="5" t="s">
        <v>5862</v>
      </c>
      <c r="D374" s="7" t="s">
        <v>137</v>
      </c>
      <c r="E374" s="7" t="s">
        <v>40</v>
      </c>
      <c r="F374" s="7" t="s">
        <v>41</v>
      </c>
      <c r="G374" s="5" t="s">
        <v>60</v>
      </c>
      <c r="H374" s="7" t="s">
        <v>193</v>
      </c>
      <c r="I374" s="7" t="s">
        <v>53</v>
      </c>
      <c r="J374" s="5" t="s">
        <v>186</v>
      </c>
      <c r="K374" s="5" t="s">
        <v>45</v>
      </c>
      <c r="L374" s="5" t="s">
        <v>10</v>
      </c>
      <c r="M374" s="5" t="s">
        <v>10</v>
      </c>
      <c r="N374" s="5" t="s">
        <v>10</v>
      </c>
      <c r="O374" s="46" t="s">
        <v>46</v>
      </c>
      <c r="P374" s="101">
        <v>46176</v>
      </c>
      <c r="Q374" s="100">
        <f>IF(P374="","",P374+183)</f>
        <v>46359</v>
      </c>
      <c r="R374" s="5" t="s">
        <v>4368</v>
      </c>
      <c r="S374" s="5" t="s">
        <v>5612</v>
      </c>
      <c r="T374" s="5">
        <v>0.24399999999999999</v>
      </c>
      <c r="U374" s="5" t="s">
        <v>10</v>
      </c>
      <c r="V374" s="7">
        <f t="shared" si="70"/>
        <v>0.24399999999999999</v>
      </c>
      <c r="W374" s="7">
        <v>0.5</v>
      </c>
      <c r="X374" s="7" t="s">
        <v>55</v>
      </c>
      <c r="Y374" s="7" t="s">
        <v>56</v>
      </c>
      <c r="Z374" s="48" t="str">
        <f t="shared" si="71"/>
        <v>APROVADO</v>
      </c>
      <c r="AA374" s="47">
        <v>11541087</v>
      </c>
      <c r="AB374" s="5" t="s">
        <v>3975</v>
      </c>
      <c r="AC374" s="5" t="s">
        <v>48</v>
      </c>
      <c r="AD374" s="5" t="s">
        <v>5632</v>
      </c>
      <c r="AE374" s="5" t="str">
        <f t="shared" ca="1" si="73"/>
        <v>NO PRAZO</v>
      </c>
      <c r="AF374" s="53"/>
    </row>
    <row r="375" spans="1:32" ht="30" customHeight="1" x14ac:dyDescent="0.25">
      <c r="A375" s="5" t="s">
        <v>5836</v>
      </c>
      <c r="B375" s="5" t="s">
        <v>10</v>
      </c>
      <c r="C375" s="5" t="s">
        <v>5862</v>
      </c>
      <c r="D375" s="7" t="s">
        <v>137</v>
      </c>
      <c r="E375" s="7" t="s">
        <v>40</v>
      </c>
      <c r="F375" s="7" t="s">
        <v>182</v>
      </c>
      <c r="G375" s="5" t="s">
        <v>195</v>
      </c>
      <c r="H375" s="7" t="s">
        <v>196</v>
      </c>
      <c r="I375" s="7" t="s">
        <v>53</v>
      </c>
      <c r="J375" s="5" t="s">
        <v>186</v>
      </c>
      <c r="K375" s="5" t="s">
        <v>45</v>
      </c>
      <c r="L375" s="5" t="s">
        <v>10</v>
      </c>
      <c r="M375" s="5" t="s">
        <v>10</v>
      </c>
      <c r="N375" s="5" t="s">
        <v>10</v>
      </c>
      <c r="O375" s="46" t="s">
        <v>46</v>
      </c>
      <c r="P375" s="101">
        <v>46158</v>
      </c>
      <c r="Q375" s="100">
        <f>IF(P375="","",P375+184)</f>
        <v>46342</v>
      </c>
      <c r="R375" s="5" t="s">
        <v>3656</v>
      </c>
      <c r="S375" s="5" t="s">
        <v>5486</v>
      </c>
      <c r="T375" s="5">
        <v>0.29099999999999998</v>
      </c>
      <c r="U375" s="5" t="s">
        <v>10</v>
      </c>
      <c r="V375" s="7">
        <f t="shared" si="70"/>
        <v>0.29099999999999998</v>
      </c>
      <c r="W375" s="7">
        <v>0.5</v>
      </c>
      <c r="X375" s="7" t="s">
        <v>55</v>
      </c>
      <c r="Y375" s="7" t="s">
        <v>56</v>
      </c>
      <c r="Z375" s="48" t="str">
        <f t="shared" si="71"/>
        <v>APROVADO</v>
      </c>
      <c r="AA375" s="47">
        <v>11606037</v>
      </c>
      <c r="AB375" s="5" t="s">
        <v>4031</v>
      </c>
      <c r="AC375" s="5" t="s">
        <v>48</v>
      </c>
      <c r="AD375" s="5" t="s">
        <v>5530</v>
      </c>
      <c r="AE375" s="5" t="str">
        <f t="shared" ca="1" si="73"/>
        <v>NO PRAZO</v>
      </c>
      <c r="AF375" s="53"/>
    </row>
    <row r="376" spans="1:32" ht="30" customHeight="1" x14ac:dyDescent="0.25">
      <c r="A376" s="5" t="s">
        <v>4588</v>
      </c>
      <c r="B376" s="5" t="s">
        <v>10</v>
      </c>
      <c r="C376" s="5" t="s">
        <v>5862</v>
      </c>
      <c r="D376" s="7" t="s">
        <v>137</v>
      </c>
      <c r="E376" s="7" t="s">
        <v>40</v>
      </c>
      <c r="F376" s="7" t="s">
        <v>41</v>
      </c>
      <c r="G376" s="5" t="s">
        <v>198</v>
      </c>
      <c r="H376" s="7" t="s">
        <v>185</v>
      </c>
      <c r="I376" s="7" t="s">
        <v>199</v>
      </c>
      <c r="J376" s="5" t="s">
        <v>200</v>
      </c>
      <c r="K376" s="5" t="s">
        <v>45</v>
      </c>
      <c r="L376" s="5" t="s">
        <v>10</v>
      </c>
      <c r="M376" s="5" t="s">
        <v>10</v>
      </c>
      <c r="N376" s="5" t="s">
        <v>10</v>
      </c>
      <c r="O376" s="46" t="s">
        <v>46</v>
      </c>
      <c r="P376" s="101">
        <v>46194</v>
      </c>
      <c r="Q376" s="100">
        <f>IF(P376="","",P376+183)</f>
        <v>46377</v>
      </c>
      <c r="R376" s="7" t="s">
        <v>4438</v>
      </c>
      <c r="S376" s="7" t="s">
        <v>5674</v>
      </c>
      <c r="T376" s="5">
        <v>0.26400000000000001</v>
      </c>
      <c r="U376" s="5" t="s">
        <v>10</v>
      </c>
      <c r="V376" s="7">
        <f t="shared" si="70"/>
        <v>0.26400000000000001</v>
      </c>
      <c r="W376" s="7">
        <v>0.5</v>
      </c>
      <c r="X376" s="7" t="s">
        <v>55</v>
      </c>
      <c r="Y376" s="7" t="s">
        <v>56</v>
      </c>
      <c r="Z376" s="48" t="str">
        <f t="shared" si="71"/>
        <v>APROVADO</v>
      </c>
      <c r="AA376" s="47">
        <v>11538411</v>
      </c>
      <c r="AB376" s="5" t="s">
        <v>3976</v>
      </c>
      <c r="AC376" s="5" t="s">
        <v>48</v>
      </c>
      <c r="AD376" s="5" t="s">
        <v>5632</v>
      </c>
      <c r="AE376" s="5" t="str">
        <f t="shared" ca="1" si="73"/>
        <v>NO PRAZO</v>
      </c>
      <c r="AF376" s="52"/>
    </row>
    <row r="377" spans="1:32" ht="30" customHeight="1" x14ac:dyDescent="0.25">
      <c r="A377" s="5" t="s">
        <v>4589</v>
      </c>
      <c r="B377" s="5" t="s">
        <v>202</v>
      </c>
      <c r="C377" s="5" t="s">
        <v>5862</v>
      </c>
      <c r="D377" s="7" t="s">
        <v>137</v>
      </c>
      <c r="E377" s="7" t="s">
        <v>40</v>
      </c>
      <c r="F377" s="7" t="s">
        <v>41</v>
      </c>
      <c r="G377" s="5" t="s">
        <v>198</v>
      </c>
      <c r="H377" s="7" t="s">
        <v>188</v>
      </c>
      <c r="I377" s="7" t="s">
        <v>199</v>
      </c>
      <c r="J377" s="5" t="s">
        <v>203</v>
      </c>
      <c r="K377" s="5" t="s">
        <v>45</v>
      </c>
      <c r="L377" s="5" t="s">
        <v>10</v>
      </c>
      <c r="M377" s="5" t="s">
        <v>10</v>
      </c>
      <c r="N377" s="5" t="s">
        <v>10</v>
      </c>
      <c r="O377" s="46" t="s">
        <v>46</v>
      </c>
      <c r="P377" s="101">
        <v>46208</v>
      </c>
      <c r="Q377" s="100">
        <f t="shared" ref="Q377:Q396" si="74">IF(P377="","",P377+184)</f>
        <v>46392</v>
      </c>
      <c r="R377" s="5" t="s">
        <v>4439</v>
      </c>
      <c r="S377" s="5" t="s">
        <v>5775</v>
      </c>
      <c r="T377" s="5">
        <v>0.28699999999999998</v>
      </c>
      <c r="U377" s="5" t="s">
        <v>10</v>
      </c>
      <c r="V377" s="7">
        <f t="shared" si="70"/>
        <v>0.28699999999999998</v>
      </c>
      <c r="W377" s="7">
        <v>0.5</v>
      </c>
      <c r="X377" s="7" t="s">
        <v>55</v>
      </c>
      <c r="Y377" s="7" t="s">
        <v>56</v>
      </c>
      <c r="Z377" s="48" t="str">
        <f t="shared" si="71"/>
        <v>APROVADO</v>
      </c>
      <c r="AA377" s="47">
        <v>11538408</v>
      </c>
      <c r="AB377" s="5" t="s">
        <v>2999</v>
      </c>
      <c r="AC377" s="5" t="s">
        <v>48</v>
      </c>
      <c r="AD377" s="5" t="s">
        <v>5632</v>
      </c>
      <c r="AE377" s="5" t="str">
        <f t="shared" ca="1" si="73"/>
        <v>NO PRAZO</v>
      </c>
      <c r="AF377" s="51"/>
    </row>
    <row r="378" spans="1:32" ht="30" customHeight="1" x14ac:dyDescent="0.25">
      <c r="A378" s="5" t="s">
        <v>4590</v>
      </c>
      <c r="B378" s="5" t="s">
        <v>5857</v>
      </c>
      <c r="C378" s="5" t="s">
        <v>5862</v>
      </c>
      <c r="D378" s="7" t="s">
        <v>137</v>
      </c>
      <c r="E378" s="7" t="s">
        <v>40</v>
      </c>
      <c r="F378" s="7" t="s">
        <v>41</v>
      </c>
      <c r="G378" s="5" t="s">
        <v>198</v>
      </c>
      <c r="H378" s="7" t="s">
        <v>190</v>
      </c>
      <c r="I378" s="7" t="s">
        <v>199</v>
      </c>
      <c r="J378" s="5" t="s">
        <v>203</v>
      </c>
      <c r="K378" s="5" t="s">
        <v>45</v>
      </c>
      <c r="L378" s="5" t="s">
        <v>10</v>
      </c>
      <c r="M378" s="5" t="s">
        <v>10</v>
      </c>
      <c r="N378" s="5" t="s">
        <v>10</v>
      </c>
      <c r="O378" s="46" t="s">
        <v>46</v>
      </c>
      <c r="P378" s="101">
        <v>46208</v>
      </c>
      <c r="Q378" s="100">
        <f t="shared" si="74"/>
        <v>46392</v>
      </c>
      <c r="R378" s="5" t="s">
        <v>4440</v>
      </c>
      <c r="S378" s="5" t="s">
        <v>5776</v>
      </c>
      <c r="T378" s="5">
        <v>0.253</v>
      </c>
      <c r="U378" s="5" t="s">
        <v>10</v>
      </c>
      <c r="V378" s="7">
        <f t="shared" si="70"/>
        <v>0.253</v>
      </c>
      <c r="W378" s="7">
        <v>0.5</v>
      </c>
      <c r="X378" s="7" t="s">
        <v>55</v>
      </c>
      <c r="Y378" s="7" t="s">
        <v>56</v>
      </c>
      <c r="Z378" s="48" t="str">
        <f t="shared" si="71"/>
        <v>APROVADO</v>
      </c>
      <c r="AA378" s="47">
        <v>11538406</v>
      </c>
      <c r="AB378" s="5" t="s">
        <v>3001</v>
      </c>
      <c r="AC378" s="5" t="s">
        <v>48</v>
      </c>
      <c r="AD378" s="5" t="s">
        <v>5632</v>
      </c>
      <c r="AE378" s="5" t="str">
        <f t="shared" ca="1" si="73"/>
        <v>NO PRAZO</v>
      </c>
      <c r="AF378" s="51"/>
    </row>
    <row r="379" spans="1:32" ht="30" customHeight="1" x14ac:dyDescent="0.25">
      <c r="A379" s="5" t="s">
        <v>4591</v>
      </c>
      <c r="B379" s="5" t="s">
        <v>5837</v>
      </c>
      <c r="C379" s="5" t="s">
        <v>5862</v>
      </c>
      <c r="D379" s="7" t="s">
        <v>137</v>
      </c>
      <c r="E379" s="7" t="s">
        <v>40</v>
      </c>
      <c r="F379" s="7" t="s">
        <v>41</v>
      </c>
      <c r="G379" s="5" t="s">
        <v>198</v>
      </c>
      <c r="H379" s="7" t="s">
        <v>193</v>
      </c>
      <c r="I379" s="7" t="s">
        <v>199</v>
      </c>
      <c r="J379" s="5" t="s">
        <v>2192</v>
      </c>
      <c r="K379" s="5" t="s">
        <v>45</v>
      </c>
      <c r="L379" s="5" t="s">
        <v>10</v>
      </c>
      <c r="M379" s="5" t="s">
        <v>10</v>
      </c>
      <c r="N379" s="5" t="s">
        <v>10</v>
      </c>
      <c r="O379" s="46" t="s">
        <v>46</v>
      </c>
      <c r="P379" s="101">
        <v>46208</v>
      </c>
      <c r="Q379" s="100">
        <f t="shared" si="74"/>
        <v>46392</v>
      </c>
      <c r="R379" s="5" t="s">
        <v>4441</v>
      </c>
      <c r="S379" s="5" t="s">
        <v>5777</v>
      </c>
      <c r="T379" s="5">
        <v>0.39700000000000002</v>
      </c>
      <c r="U379" s="5" t="s">
        <v>10</v>
      </c>
      <c r="V379" s="7">
        <f t="shared" si="70"/>
        <v>0.39700000000000002</v>
      </c>
      <c r="W379" s="7">
        <v>0.5</v>
      </c>
      <c r="X379" s="7" t="s">
        <v>55</v>
      </c>
      <c r="Y379" s="7" t="s">
        <v>56</v>
      </c>
      <c r="Z379" s="48" t="str">
        <f t="shared" si="71"/>
        <v>APROVADO</v>
      </c>
      <c r="AA379" s="47">
        <v>11538405</v>
      </c>
      <c r="AB379" s="5" t="s">
        <v>3977</v>
      </c>
      <c r="AC379" s="5" t="s">
        <v>48</v>
      </c>
      <c r="AD379" s="5" t="s">
        <v>5632</v>
      </c>
      <c r="AE379" s="5" t="str">
        <f t="shared" ca="1" si="73"/>
        <v>NO PRAZO</v>
      </c>
      <c r="AF379" s="51"/>
    </row>
    <row r="380" spans="1:32" ht="30" customHeight="1" x14ac:dyDescent="0.25">
      <c r="A380" s="6" t="s">
        <v>4699</v>
      </c>
      <c r="B380" s="6" t="s">
        <v>278</v>
      </c>
      <c r="C380" s="5" t="s">
        <v>5862</v>
      </c>
      <c r="D380" s="7" t="s">
        <v>137</v>
      </c>
      <c r="E380" s="7" t="s">
        <v>40</v>
      </c>
      <c r="F380" s="7" t="s">
        <v>41</v>
      </c>
      <c r="G380" s="5" t="s">
        <v>42</v>
      </c>
      <c r="H380" s="7" t="s">
        <v>185</v>
      </c>
      <c r="I380" s="7" t="s">
        <v>53</v>
      </c>
      <c r="J380" s="5" t="s">
        <v>200</v>
      </c>
      <c r="K380" s="5" t="s">
        <v>45</v>
      </c>
      <c r="L380" s="5" t="s">
        <v>10</v>
      </c>
      <c r="M380" s="5" t="s">
        <v>10</v>
      </c>
      <c r="N380" s="5" t="s">
        <v>10</v>
      </c>
      <c r="O380" s="46" t="s">
        <v>46</v>
      </c>
      <c r="P380" s="101">
        <v>46236</v>
      </c>
      <c r="Q380" s="100">
        <f t="shared" si="74"/>
        <v>46420</v>
      </c>
      <c r="R380" s="5" t="s">
        <v>4702</v>
      </c>
      <c r="S380" s="5" t="s">
        <v>5963</v>
      </c>
      <c r="T380" s="5"/>
      <c r="U380" s="5" t="s">
        <v>10</v>
      </c>
      <c r="V380" s="7">
        <f t="shared" si="70"/>
        <v>0</v>
      </c>
      <c r="W380" s="7">
        <v>0.5</v>
      </c>
      <c r="X380" s="7" t="s">
        <v>55</v>
      </c>
      <c r="Y380" s="7" t="s">
        <v>56</v>
      </c>
      <c r="Z380" s="48" t="str">
        <f t="shared" si="71"/>
        <v>AGUARDANDO CERTIFICADO</v>
      </c>
      <c r="AA380" s="47">
        <v>11542168</v>
      </c>
      <c r="AB380" s="5" t="s">
        <v>2428</v>
      </c>
      <c r="AC380" s="5" t="s">
        <v>48</v>
      </c>
      <c r="AD380" s="5" t="s">
        <v>5632</v>
      </c>
      <c r="AE380" s="5" t="str">
        <f t="shared" ca="1" si="73"/>
        <v>NO PRAZO</v>
      </c>
      <c r="AF380" s="52" t="s">
        <v>5967</v>
      </c>
    </row>
    <row r="381" spans="1:32" ht="30" customHeight="1" x14ac:dyDescent="0.25">
      <c r="A381" s="6" t="s">
        <v>4700</v>
      </c>
      <c r="B381" s="6" t="s">
        <v>1914</v>
      </c>
      <c r="C381" s="5" t="s">
        <v>5862</v>
      </c>
      <c r="D381" s="7" t="s">
        <v>137</v>
      </c>
      <c r="E381" s="7" t="s">
        <v>40</v>
      </c>
      <c r="F381" s="7" t="s">
        <v>41</v>
      </c>
      <c r="G381" s="5" t="s">
        <v>42</v>
      </c>
      <c r="H381" s="7" t="s">
        <v>188</v>
      </c>
      <c r="I381" s="7" t="s">
        <v>53</v>
      </c>
      <c r="J381" s="5" t="s">
        <v>280</v>
      </c>
      <c r="K381" s="5" t="s">
        <v>45</v>
      </c>
      <c r="L381" s="5" t="s">
        <v>10</v>
      </c>
      <c r="M381" s="5" t="s">
        <v>10</v>
      </c>
      <c r="N381" s="5" t="s">
        <v>10</v>
      </c>
      <c r="O381" s="46" t="s">
        <v>46</v>
      </c>
      <c r="P381" s="101">
        <v>46236</v>
      </c>
      <c r="Q381" s="100">
        <f t="shared" si="74"/>
        <v>46420</v>
      </c>
      <c r="R381" s="5" t="s">
        <v>4703</v>
      </c>
      <c r="S381" s="5" t="s">
        <v>5964</v>
      </c>
      <c r="T381" s="5"/>
      <c r="U381" s="5" t="s">
        <v>10</v>
      </c>
      <c r="V381" s="7">
        <f t="shared" si="70"/>
        <v>0</v>
      </c>
      <c r="W381" s="7">
        <v>0.5</v>
      </c>
      <c r="X381" s="7" t="s">
        <v>55</v>
      </c>
      <c r="Y381" s="7" t="s">
        <v>56</v>
      </c>
      <c r="Z381" s="48" t="str">
        <f t="shared" si="71"/>
        <v>AGUARDANDO CERTIFICADO</v>
      </c>
      <c r="AA381" s="47">
        <v>11542169</v>
      </c>
      <c r="AB381" s="5" t="s">
        <v>2429</v>
      </c>
      <c r="AC381" s="5" t="s">
        <v>48</v>
      </c>
      <c r="AD381" s="5" t="s">
        <v>5632</v>
      </c>
      <c r="AE381" s="5" t="str">
        <f t="shared" ca="1" si="73"/>
        <v>NO PRAZO</v>
      </c>
      <c r="AF381" s="52" t="s">
        <v>5967</v>
      </c>
    </row>
    <row r="382" spans="1:32" ht="30" customHeight="1" x14ac:dyDescent="0.25">
      <c r="A382" s="6" t="s">
        <v>4964</v>
      </c>
      <c r="B382" s="6" t="s">
        <v>282</v>
      </c>
      <c r="C382" s="5" t="s">
        <v>5862</v>
      </c>
      <c r="D382" s="7" t="s">
        <v>137</v>
      </c>
      <c r="E382" s="7" t="s">
        <v>40</v>
      </c>
      <c r="F382" s="7" t="s">
        <v>41</v>
      </c>
      <c r="G382" s="5" t="s">
        <v>42</v>
      </c>
      <c r="H382" s="7" t="s">
        <v>193</v>
      </c>
      <c r="I382" s="7" t="s">
        <v>53</v>
      </c>
      <c r="J382" s="5" t="s">
        <v>206</v>
      </c>
      <c r="K382" s="5" t="s">
        <v>45</v>
      </c>
      <c r="L382" s="5" t="s">
        <v>10</v>
      </c>
      <c r="M382" s="5" t="s">
        <v>10</v>
      </c>
      <c r="N382" s="5" t="s">
        <v>10</v>
      </c>
      <c r="O382" s="46" t="s">
        <v>46</v>
      </c>
      <c r="P382" s="101">
        <v>46236</v>
      </c>
      <c r="Q382" s="100">
        <f t="shared" si="74"/>
        <v>46420</v>
      </c>
      <c r="R382" s="5" t="s">
        <v>4704</v>
      </c>
      <c r="S382" s="5" t="s">
        <v>5965</v>
      </c>
      <c r="T382" s="5"/>
      <c r="U382" s="5" t="s">
        <v>10</v>
      </c>
      <c r="V382" s="7">
        <f t="shared" si="70"/>
        <v>0</v>
      </c>
      <c r="W382" s="7">
        <v>0.5</v>
      </c>
      <c r="X382" s="7" t="s">
        <v>55</v>
      </c>
      <c r="Y382" s="7" t="s">
        <v>56</v>
      </c>
      <c r="Z382" s="48" t="str">
        <f t="shared" si="71"/>
        <v>AGUARDANDO CERTIFICADO</v>
      </c>
      <c r="AA382" s="47">
        <v>11595568</v>
      </c>
      <c r="AB382" s="5" t="s">
        <v>2430</v>
      </c>
      <c r="AC382" s="5" t="s">
        <v>48</v>
      </c>
      <c r="AD382" s="5" t="s">
        <v>5632</v>
      </c>
      <c r="AE382" s="5" t="str">
        <f t="shared" ca="1" si="73"/>
        <v>NO PRAZO</v>
      </c>
      <c r="AF382" s="52" t="s">
        <v>5967</v>
      </c>
    </row>
    <row r="383" spans="1:32" ht="30" customHeight="1" x14ac:dyDescent="0.25">
      <c r="A383" s="6" t="s">
        <v>285</v>
      </c>
      <c r="B383" s="7" t="s">
        <v>10</v>
      </c>
      <c r="C383" s="5" t="s">
        <v>5862</v>
      </c>
      <c r="D383" s="7" t="s">
        <v>137</v>
      </c>
      <c r="E383" s="7" t="s">
        <v>50</v>
      </c>
      <c r="F383" s="7" t="s">
        <v>221</v>
      </c>
      <c r="G383" s="5" t="s">
        <v>286</v>
      </c>
      <c r="H383" s="7" t="s">
        <v>52</v>
      </c>
      <c r="I383" s="7" t="s">
        <v>53</v>
      </c>
      <c r="J383" s="5" t="s">
        <v>237</v>
      </c>
      <c r="K383" s="5" t="s">
        <v>45</v>
      </c>
      <c r="L383" s="5" t="s">
        <v>10</v>
      </c>
      <c r="M383" s="5" t="s">
        <v>10</v>
      </c>
      <c r="N383" s="5" t="s">
        <v>10</v>
      </c>
      <c r="O383" s="46" t="s">
        <v>46</v>
      </c>
      <c r="P383" s="101">
        <v>46236</v>
      </c>
      <c r="Q383" s="100">
        <f t="shared" si="74"/>
        <v>46420</v>
      </c>
      <c r="R383" s="5" t="s">
        <v>4753</v>
      </c>
      <c r="S383" s="5" t="s">
        <v>5988</v>
      </c>
      <c r="T383" s="5"/>
      <c r="U383" s="5" t="s">
        <v>10</v>
      </c>
      <c r="V383" s="7">
        <f t="shared" si="70"/>
        <v>0</v>
      </c>
      <c r="W383" s="7">
        <v>0.5</v>
      </c>
      <c r="X383" s="7" t="s">
        <v>55</v>
      </c>
      <c r="Y383" s="7" t="s">
        <v>56</v>
      </c>
      <c r="Z383" s="48" t="str">
        <f t="shared" si="71"/>
        <v>AGUARDANDO CERTIFICADO</v>
      </c>
      <c r="AA383" s="47">
        <v>11542188</v>
      </c>
      <c r="AB383" s="5" t="s">
        <v>2431</v>
      </c>
      <c r="AC383" s="5" t="s">
        <v>48</v>
      </c>
      <c r="AD383" s="5" t="s">
        <v>5632</v>
      </c>
      <c r="AE383" s="5" t="str">
        <f t="shared" ca="1" si="73"/>
        <v>NO PRAZO</v>
      </c>
      <c r="AF383" s="52" t="s">
        <v>5967</v>
      </c>
    </row>
    <row r="384" spans="1:32" ht="30" customHeight="1" x14ac:dyDescent="0.25">
      <c r="A384" s="6" t="s">
        <v>287</v>
      </c>
      <c r="B384" s="7" t="s">
        <v>10</v>
      </c>
      <c r="C384" s="5" t="s">
        <v>5862</v>
      </c>
      <c r="D384" s="7" t="s">
        <v>137</v>
      </c>
      <c r="E384" s="7" t="s">
        <v>50</v>
      </c>
      <c r="F384" s="7" t="s">
        <v>221</v>
      </c>
      <c r="G384" s="5" t="s">
        <v>286</v>
      </c>
      <c r="H384" s="7" t="s">
        <v>52</v>
      </c>
      <c r="I384" s="7" t="s">
        <v>53</v>
      </c>
      <c r="J384" s="5" t="s">
        <v>237</v>
      </c>
      <c r="K384" s="5" t="s">
        <v>45</v>
      </c>
      <c r="L384" s="5" t="s">
        <v>10</v>
      </c>
      <c r="M384" s="5" t="s">
        <v>10</v>
      </c>
      <c r="N384" s="5" t="s">
        <v>10</v>
      </c>
      <c r="O384" s="46" t="s">
        <v>46</v>
      </c>
      <c r="P384" s="101">
        <v>46236</v>
      </c>
      <c r="Q384" s="100">
        <f t="shared" si="74"/>
        <v>46420</v>
      </c>
      <c r="R384" s="5" t="s">
        <v>4754</v>
      </c>
      <c r="S384" s="5" t="s">
        <v>5989</v>
      </c>
      <c r="T384" s="5"/>
      <c r="U384" s="5" t="s">
        <v>10</v>
      </c>
      <c r="V384" s="7">
        <f t="shared" si="70"/>
        <v>0</v>
      </c>
      <c r="W384" s="7">
        <v>0.5</v>
      </c>
      <c r="X384" s="7" t="s">
        <v>55</v>
      </c>
      <c r="Y384" s="7" t="s">
        <v>56</v>
      </c>
      <c r="Z384" s="48" t="str">
        <f t="shared" si="71"/>
        <v>AGUARDANDO CERTIFICADO</v>
      </c>
      <c r="AA384" s="47">
        <v>11542189</v>
      </c>
      <c r="AB384" s="5" t="s">
        <v>2432</v>
      </c>
      <c r="AC384" s="5" t="s">
        <v>48</v>
      </c>
      <c r="AD384" s="5" t="s">
        <v>5632</v>
      </c>
      <c r="AE384" s="5" t="str">
        <f t="shared" ca="1" si="73"/>
        <v>NO PRAZO</v>
      </c>
      <c r="AF384" s="52" t="s">
        <v>5967</v>
      </c>
    </row>
    <row r="385" spans="1:32" ht="30" customHeight="1" x14ac:dyDescent="0.25">
      <c r="A385" s="6" t="s">
        <v>289</v>
      </c>
      <c r="B385" s="7" t="s">
        <v>10</v>
      </c>
      <c r="C385" s="5" t="s">
        <v>5862</v>
      </c>
      <c r="D385" s="7" t="s">
        <v>137</v>
      </c>
      <c r="E385" s="7" t="s">
        <v>50</v>
      </c>
      <c r="F385" s="7" t="s">
        <v>221</v>
      </c>
      <c r="G385" s="5" t="s">
        <v>290</v>
      </c>
      <c r="H385" s="7" t="s">
        <v>52</v>
      </c>
      <c r="I385" s="7" t="s">
        <v>53</v>
      </c>
      <c r="J385" s="5" t="s">
        <v>237</v>
      </c>
      <c r="K385" s="5" t="s">
        <v>45</v>
      </c>
      <c r="L385" s="5" t="s">
        <v>10</v>
      </c>
      <c r="M385" s="5" t="s">
        <v>10</v>
      </c>
      <c r="N385" s="5" t="s">
        <v>10</v>
      </c>
      <c r="O385" s="46" t="s">
        <v>46</v>
      </c>
      <c r="P385" s="101">
        <v>46236</v>
      </c>
      <c r="Q385" s="100">
        <f t="shared" si="74"/>
        <v>46420</v>
      </c>
      <c r="R385" s="5" t="s">
        <v>4705</v>
      </c>
      <c r="S385" s="5" t="s">
        <v>5990</v>
      </c>
      <c r="T385" s="5"/>
      <c r="U385" s="5" t="s">
        <v>10</v>
      </c>
      <c r="V385" s="7">
        <f t="shared" si="70"/>
        <v>0</v>
      </c>
      <c r="W385" s="7">
        <v>0.5</v>
      </c>
      <c r="X385" s="7" t="s">
        <v>55</v>
      </c>
      <c r="Y385" s="7" t="s">
        <v>56</v>
      </c>
      <c r="Z385" s="48" t="str">
        <f t="shared" si="71"/>
        <v>AGUARDANDO CERTIFICADO</v>
      </c>
      <c r="AA385" s="47">
        <v>11542196</v>
      </c>
      <c r="AB385" s="5" t="s">
        <v>3264</v>
      </c>
      <c r="AC385" s="5" t="s">
        <v>48</v>
      </c>
      <c r="AD385" s="5" t="s">
        <v>5632</v>
      </c>
      <c r="AE385" s="5" t="str">
        <f t="shared" ca="1" si="73"/>
        <v>NO PRAZO</v>
      </c>
      <c r="AF385" s="52" t="s">
        <v>5967</v>
      </c>
    </row>
    <row r="386" spans="1:32" ht="30" customHeight="1" x14ac:dyDescent="0.25">
      <c r="A386" s="5" t="s">
        <v>291</v>
      </c>
      <c r="B386" s="7" t="s">
        <v>10</v>
      </c>
      <c r="C386" s="5" t="s">
        <v>5862</v>
      </c>
      <c r="D386" s="7" t="s">
        <v>137</v>
      </c>
      <c r="E386" s="7" t="s">
        <v>50</v>
      </c>
      <c r="F386" s="7" t="s">
        <v>221</v>
      </c>
      <c r="G386" s="5" t="s">
        <v>290</v>
      </c>
      <c r="H386" s="7" t="s">
        <v>52</v>
      </c>
      <c r="I386" s="7" t="s">
        <v>53</v>
      </c>
      <c r="J386" s="5" t="s">
        <v>237</v>
      </c>
      <c r="K386" s="5" t="s">
        <v>45</v>
      </c>
      <c r="L386" s="5" t="s">
        <v>10</v>
      </c>
      <c r="M386" s="5" t="s">
        <v>10</v>
      </c>
      <c r="N386" s="5" t="s">
        <v>10</v>
      </c>
      <c r="O386" s="46" t="s">
        <v>46</v>
      </c>
      <c r="P386" s="101">
        <v>46236</v>
      </c>
      <c r="Q386" s="100">
        <f t="shared" si="74"/>
        <v>46420</v>
      </c>
      <c r="R386" s="5" t="s">
        <v>4706</v>
      </c>
      <c r="S386" s="5" t="s">
        <v>5991</v>
      </c>
      <c r="T386" s="5"/>
      <c r="U386" s="5" t="s">
        <v>10</v>
      </c>
      <c r="V386" s="7">
        <f t="shared" si="70"/>
        <v>0</v>
      </c>
      <c r="W386" s="7">
        <v>0.5</v>
      </c>
      <c r="X386" s="7" t="s">
        <v>55</v>
      </c>
      <c r="Y386" s="7" t="s">
        <v>56</v>
      </c>
      <c r="Z386" s="48" t="str">
        <f t="shared" si="71"/>
        <v>AGUARDANDO CERTIFICADO</v>
      </c>
      <c r="AA386" s="47">
        <v>11603768</v>
      </c>
      <c r="AB386" s="5" t="s">
        <v>2433</v>
      </c>
      <c r="AC386" s="5" t="s">
        <v>48</v>
      </c>
      <c r="AD386" s="5" t="s">
        <v>5632</v>
      </c>
      <c r="AE386" s="5" t="str">
        <f t="shared" ca="1" si="73"/>
        <v>NO PRAZO</v>
      </c>
      <c r="AF386" s="52" t="s">
        <v>5967</v>
      </c>
    </row>
    <row r="387" spans="1:32" ht="30" customHeight="1" x14ac:dyDescent="0.25">
      <c r="A387" s="6" t="s">
        <v>3080</v>
      </c>
      <c r="B387" s="7" t="s">
        <v>10</v>
      </c>
      <c r="C387" s="5" t="s">
        <v>5862</v>
      </c>
      <c r="D387" s="7" t="s">
        <v>137</v>
      </c>
      <c r="E387" s="7" t="s">
        <v>50</v>
      </c>
      <c r="F387" s="7" t="s">
        <v>221</v>
      </c>
      <c r="G387" s="5" t="s">
        <v>222</v>
      </c>
      <c r="H387" s="7" t="s">
        <v>52</v>
      </c>
      <c r="I387" s="7" t="s">
        <v>53</v>
      </c>
      <c r="J387" s="5" t="s">
        <v>237</v>
      </c>
      <c r="K387" s="5" t="s">
        <v>45</v>
      </c>
      <c r="L387" s="5" t="s">
        <v>10</v>
      </c>
      <c r="M387" s="5" t="s">
        <v>10</v>
      </c>
      <c r="N387" s="5" t="s">
        <v>10</v>
      </c>
      <c r="O387" s="46" t="s">
        <v>46</v>
      </c>
      <c r="P387" s="101">
        <v>46236</v>
      </c>
      <c r="Q387" s="100">
        <f t="shared" si="74"/>
        <v>46420</v>
      </c>
      <c r="R387" s="5" t="s">
        <v>4755</v>
      </c>
      <c r="S387" s="5" t="s">
        <v>5992</v>
      </c>
      <c r="T387" s="5"/>
      <c r="U387" s="5"/>
      <c r="V387" s="7">
        <f t="shared" si="70"/>
        <v>0</v>
      </c>
      <c r="W387" s="7">
        <v>0.5</v>
      </c>
      <c r="X387" s="7" t="s">
        <v>55</v>
      </c>
      <c r="Y387" s="7" t="s">
        <v>56</v>
      </c>
      <c r="Z387" s="48" t="str">
        <f t="shared" si="71"/>
        <v>AGUARDANDO CERTIFICADO</v>
      </c>
      <c r="AA387" s="47">
        <v>11606592</v>
      </c>
      <c r="AB387" s="5" t="s">
        <v>4032</v>
      </c>
      <c r="AC387" s="5" t="s">
        <v>48</v>
      </c>
      <c r="AD387" s="5" t="s">
        <v>5632</v>
      </c>
      <c r="AE387" s="5" t="str">
        <f t="shared" ca="1" si="73"/>
        <v>NO PRAZO</v>
      </c>
      <c r="AF387" s="52" t="s">
        <v>5967</v>
      </c>
    </row>
    <row r="388" spans="1:32" ht="30" customHeight="1" x14ac:dyDescent="0.25">
      <c r="A388" s="6" t="s">
        <v>3081</v>
      </c>
      <c r="B388" s="7" t="s">
        <v>10</v>
      </c>
      <c r="C388" s="5" t="s">
        <v>5862</v>
      </c>
      <c r="D388" s="7" t="s">
        <v>137</v>
      </c>
      <c r="E388" s="7" t="s">
        <v>50</v>
      </c>
      <c r="F388" s="7" t="s">
        <v>221</v>
      </c>
      <c r="G388" s="5" t="s">
        <v>222</v>
      </c>
      <c r="H388" s="7" t="s">
        <v>52</v>
      </c>
      <c r="I388" s="7" t="s">
        <v>53</v>
      </c>
      <c r="J388" s="5" t="s">
        <v>237</v>
      </c>
      <c r="K388" s="5" t="s">
        <v>45</v>
      </c>
      <c r="L388" s="5" t="s">
        <v>10</v>
      </c>
      <c r="M388" s="5" t="s">
        <v>10</v>
      </c>
      <c r="N388" s="5" t="s">
        <v>10</v>
      </c>
      <c r="O388" s="46" t="s">
        <v>46</v>
      </c>
      <c r="P388" s="101">
        <v>46236</v>
      </c>
      <c r="Q388" s="100">
        <f t="shared" si="74"/>
        <v>46420</v>
      </c>
      <c r="R388" s="5" t="s">
        <v>4756</v>
      </c>
      <c r="S388" s="5" t="s">
        <v>5993</v>
      </c>
      <c r="T388" s="5"/>
      <c r="U388" s="5" t="s">
        <v>10</v>
      </c>
      <c r="V388" s="7">
        <f t="shared" si="70"/>
        <v>0</v>
      </c>
      <c r="W388" s="7">
        <v>0.5</v>
      </c>
      <c r="X388" s="7" t="s">
        <v>55</v>
      </c>
      <c r="Y388" s="7" t="s">
        <v>56</v>
      </c>
      <c r="Z388" s="48" t="str">
        <f t="shared" si="71"/>
        <v>AGUARDANDO CERTIFICADO</v>
      </c>
      <c r="AA388" s="47">
        <v>11606593</v>
      </c>
      <c r="AB388" s="5" t="s">
        <v>4033</v>
      </c>
      <c r="AC388" s="5" t="s">
        <v>48</v>
      </c>
      <c r="AD388" s="5" t="s">
        <v>5632</v>
      </c>
      <c r="AE388" s="5" t="str">
        <f t="shared" ca="1" si="73"/>
        <v>NO PRAZO</v>
      </c>
      <c r="AF388" s="52" t="s">
        <v>5967</v>
      </c>
    </row>
    <row r="389" spans="1:32" ht="30" customHeight="1" x14ac:dyDescent="0.25">
      <c r="A389" s="6" t="s">
        <v>302</v>
      </c>
      <c r="B389" s="7" t="s">
        <v>10</v>
      </c>
      <c r="C389" s="5" t="s">
        <v>5862</v>
      </c>
      <c r="D389" s="7" t="s">
        <v>137</v>
      </c>
      <c r="E389" s="7" t="s">
        <v>50</v>
      </c>
      <c r="F389" s="7" t="s">
        <v>221</v>
      </c>
      <c r="G389" s="5" t="s">
        <v>303</v>
      </c>
      <c r="H389" s="7" t="s">
        <v>52</v>
      </c>
      <c r="I389" s="7" t="s">
        <v>53</v>
      </c>
      <c r="J389" s="5" t="s">
        <v>237</v>
      </c>
      <c r="K389" s="5" t="s">
        <v>45</v>
      </c>
      <c r="L389" s="5" t="s">
        <v>10</v>
      </c>
      <c r="M389" s="5" t="s">
        <v>10</v>
      </c>
      <c r="N389" s="5" t="s">
        <v>10</v>
      </c>
      <c r="O389" s="46" t="s">
        <v>46</v>
      </c>
      <c r="P389" s="101">
        <v>46236</v>
      </c>
      <c r="Q389" s="100">
        <f t="shared" si="74"/>
        <v>46420</v>
      </c>
      <c r="R389" s="5" t="s">
        <v>4757</v>
      </c>
      <c r="S389" s="5" t="s">
        <v>5994</v>
      </c>
      <c r="T389" s="5"/>
      <c r="U389" s="5" t="s">
        <v>10</v>
      </c>
      <c r="V389" s="7">
        <f t="shared" si="70"/>
        <v>0</v>
      </c>
      <c r="W389" s="7">
        <v>0.5</v>
      </c>
      <c r="X389" s="7" t="s">
        <v>55</v>
      </c>
      <c r="Y389" s="7" t="s">
        <v>56</v>
      </c>
      <c r="Z389" s="48" t="str">
        <f t="shared" si="71"/>
        <v>AGUARDANDO CERTIFICADO</v>
      </c>
      <c r="AA389" s="47">
        <v>11542198</v>
      </c>
      <c r="AB389" s="5" t="s">
        <v>3265</v>
      </c>
      <c r="AC389" s="5" t="s">
        <v>48</v>
      </c>
      <c r="AD389" s="5" t="s">
        <v>5632</v>
      </c>
      <c r="AE389" s="5" t="str">
        <f t="shared" ca="1" si="73"/>
        <v>NO PRAZO</v>
      </c>
      <c r="AF389" s="52" t="s">
        <v>5967</v>
      </c>
    </row>
    <row r="390" spans="1:32" ht="30" customHeight="1" x14ac:dyDescent="0.25">
      <c r="A390" s="6" t="s">
        <v>304</v>
      </c>
      <c r="B390" s="7" t="s">
        <v>10</v>
      </c>
      <c r="C390" s="5" t="s">
        <v>5862</v>
      </c>
      <c r="D390" s="7" t="s">
        <v>137</v>
      </c>
      <c r="E390" s="7" t="s">
        <v>50</v>
      </c>
      <c r="F390" s="7" t="s">
        <v>221</v>
      </c>
      <c r="G390" s="5" t="s">
        <v>303</v>
      </c>
      <c r="H390" s="7" t="s">
        <v>52</v>
      </c>
      <c r="I390" s="7" t="s">
        <v>53</v>
      </c>
      <c r="J390" s="5" t="s">
        <v>237</v>
      </c>
      <c r="K390" s="5" t="s">
        <v>45</v>
      </c>
      <c r="L390" s="5" t="s">
        <v>10</v>
      </c>
      <c r="M390" s="5" t="s">
        <v>10</v>
      </c>
      <c r="N390" s="5" t="s">
        <v>10</v>
      </c>
      <c r="O390" s="46" t="s">
        <v>46</v>
      </c>
      <c r="P390" s="101">
        <v>46236</v>
      </c>
      <c r="Q390" s="100">
        <f t="shared" si="74"/>
        <v>46420</v>
      </c>
      <c r="R390" s="5" t="s">
        <v>4758</v>
      </c>
      <c r="S390" s="5" t="s">
        <v>5995</v>
      </c>
      <c r="T390" s="5"/>
      <c r="U390" s="5" t="s">
        <v>10</v>
      </c>
      <c r="V390" s="7">
        <f t="shared" si="70"/>
        <v>0</v>
      </c>
      <c r="W390" s="7">
        <v>0.5</v>
      </c>
      <c r="X390" s="7" t="s">
        <v>55</v>
      </c>
      <c r="Y390" s="7" t="s">
        <v>56</v>
      </c>
      <c r="Z390" s="48" t="str">
        <f t="shared" si="71"/>
        <v>AGUARDANDO CERTIFICADO</v>
      </c>
      <c r="AA390" s="47">
        <v>11603769</v>
      </c>
      <c r="AB390" s="5" t="s">
        <v>2434</v>
      </c>
      <c r="AC390" s="5" t="s">
        <v>48</v>
      </c>
      <c r="AD390" s="5" t="s">
        <v>5632</v>
      </c>
      <c r="AE390" s="5" t="str">
        <f t="shared" ca="1" si="73"/>
        <v>NO PRAZO</v>
      </c>
      <c r="AF390" s="52" t="s">
        <v>5967</v>
      </c>
    </row>
    <row r="391" spans="1:32" ht="30" customHeight="1" x14ac:dyDescent="0.25">
      <c r="A391" s="6" t="s">
        <v>4701</v>
      </c>
      <c r="B391" s="6" t="s">
        <v>1915</v>
      </c>
      <c r="C391" s="5" t="s">
        <v>5862</v>
      </c>
      <c r="D391" s="7" t="s">
        <v>137</v>
      </c>
      <c r="E391" s="7" t="s">
        <v>40</v>
      </c>
      <c r="F391" s="7" t="s">
        <v>41</v>
      </c>
      <c r="G391" s="5" t="s">
        <v>42</v>
      </c>
      <c r="H391" s="7" t="s">
        <v>190</v>
      </c>
      <c r="I391" s="7" t="s">
        <v>53</v>
      </c>
      <c r="J391" s="5" t="s">
        <v>280</v>
      </c>
      <c r="K391" s="5" t="s">
        <v>45</v>
      </c>
      <c r="L391" s="5" t="s">
        <v>10</v>
      </c>
      <c r="M391" s="5" t="s">
        <v>10</v>
      </c>
      <c r="N391" s="5" t="s">
        <v>10</v>
      </c>
      <c r="O391" s="46" t="s">
        <v>46</v>
      </c>
      <c r="P391" s="101">
        <v>46236</v>
      </c>
      <c r="Q391" s="100">
        <f t="shared" si="74"/>
        <v>46420</v>
      </c>
      <c r="R391" s="5" t="s">
        <v>4707</v>
      </c>
      <c r="S391" s="5" t="s">
        <v>5966</v>
      </c>
      <c r="T391" s="5"/>
      <c r="U391" s="5" t="s">
        <v>10</v>
      </c>
      <c r="V391" s="7">
        <f t="shared" si="70"/>
        <v>0</v>
      </c>
      <c r="W391" s="7">
        <v>0.5</v>
      </c>
      <c r="X391" s="7" t="s">
        <v>55</v>
      </c>
      <c r="Y391" s="7" t="s">
        <v>56</v>
      </c>
      <c r="Z391" s="48" t="str">
        <f t="shared" si="71"/>
        <v>AGUARDANDO CERTIFICADO</v>
      </c>
      <c r="AA391" s="47">
        <v>11595567</v>
      </c>
      <c r="AB391" s="5" t="s">
        <v>2435</v>
      </c>
      <c r="AC391" s="5" t="s">
        <v>48</v>
      </c>
      <c r="AD391" s="5" t="s">
        <v>5632</v>
      </c>
      <c r="AE391" s="5" t="str">
        <f t="shared" ca="1" si="73"/>
        <v>NO PRAZO</v>
      </c>
      <c r="AF391" s="52" t="s">
        <v>5967</v>
      </c>
    </row>
    <row r="392" spans="1:32" ht="30" customHeight="1" x14ac:dyDescent="0.25">
      <c r="A392" s="9" t="s">
        <v>363</v>
      </c>
      <c r="B392" s="9" t="s">
        <v>10</v>
      </c>
      <c r="C392" s="5" t="s">
        <v>5862</v>
      </c>
      <c r="D392" s="7" t="s">
        <v>137</v>
      </c>
      <c r="E392" s="7" t="s">
        <v>40</v>
      </c>
      <c r="F392" s="7" t="s">
        <v>354</v>
      </c>
      <c r="G392" s="61" t="s">
        <v>355</v>
      </c>
      <c r="H392" s="61" t="s">
        <v>374</v>
      </c>
      <c r="I392" s="5" t="s">
        <v>104</v>
      </c>
      <c r="J392" s="5" t="s">
        <v>357</v>
      </c>
      <c r="K392" s="5" t="s">
        <v>45</v>
      </c>
      <c r="L392" s="5" t="s">
        <v>10</v>
      </c>
      <c r="M392" s="5" t="s">
        <v>10</v>
      </c>
      <c r="N392" s="5" t="s">
        <v>10</v>
      </c>
      <c r="O392" s="46" t="s">
        <v>46</v>
      </c>
      <c r="P392" s="99">
        <v>46102</v>
      </c>
      <c r="Q392" s="100">
        <f t="shared" si="74"/>
        <v>46286</v>
      </c>
      <c r="R392" s="63" t="s">
        <v>3421</v>
      </c>
      <c r="S392" s="63" t="s">
        <v>5082</v>
      </c>
      <c r="T392" s="7">
        <v>0.24</v>
      </c>
      <c r="U392" s="5" t="s">
        <v>10</v>
      </c>
      <c r="V392" s="7">
        <f t="shared" si="70"/>
        <v>0.24</v>
      </c>
      <c r="W392" s="5">
        <v>0.5</v>
      </c>
      <c r="X392" s="5" t="s">
        <v>55</v>
      </c>
      <c r="Y392" s="7" t="s">
        <v>56</v>
      </c>
      <c r="Z392" s="48" t="str">
        <f t="shared" si="71"/>
        <v>APROVADO</v>
      </c>
      <c r="AA392" s="47">
        <v>11603049</v>
      </c>
      <c r="AB392" s="5" t="s">
        <v>2595</v>
      </c>
      <c r="AC392" s="5" t="s">
        <v>48</v>
      </c>
      <c r="AD392" s="5" t="s">
        <v>5530</v>
      </c>
      <c r="AE392" s="5" t="str">
        <f t="shared" ca="1" si="73"/>
        <v>NO PRAZO</v>
      </c>
      <c r="AF392" s="49"/>
    </row>
    <row r="393" spans="1:32" ht="30" customHeight="1" x14ac:dyDescent="0.25">
      <c r="A393" s="9" t="s">
        <v>366</v>
      </c>
      <c r="B393" s="5" t="s">
        <v>10</v>
      </c>
      <c r="C393" s="5" t="s">
        <v>5862</v>
      </c>
      <c r="D393" s="7" t="s">
        <v>137</v>
      </c>
      <c r="E393" s="7" t="s">
        <v>40</v>
      </c>
      <c r="F393" s="7" t="s">
        <v>354</v>
      </c>
      <c r="G393" s="61" t="s">
        <v>355</v>
      </c>
      <c r="H393" s="61" t="s">
        <v>359</v>
      </c>
      <c r="I393" s="5" t="s">
        <v>104</v>
      </c>
      <c r="J393" s="5" t="s">
        <v>357</v>
      </c>
      <c r="K393" s="5" t="s">
        <v>45</v>
      </c>
      <c r="L393" s="5" t="s">
        <v>10</v>
      </c>
      <c r="M393" s="5" t="s">
        <v>10</v>
      </c>
      <c r="N393" s="5" t="s">
        <v>10</v>
      </c>
      <c r="O393" s="46" t="s">
        <v>46</v>
      </c>
      <c r="P393" s="99">
        <v>46102</v>
      </c>
      <c r="Q393" s="100">
        <f t="shared" si="74"/>
        <v>46286</v>
      </c>
      <c r="R393" s="63" t="s">
        <v>3423</v>
      </c>
      <c r="S393" s="63" t="s">
        <v>5083</v>
      </c>
      <c r="T393" s="7">
        <v>0.26</v>
      </c>
      <c r="U393" s="5" t="s">
        <v>10</v>
      </c>
      <c r="V393" s="7">
        <f t="shared" si="70"/>
        <v>0.26</v>
      </c>
      <c r="W393" s="5">
        <v>0.5</v>
      </c>
      <c r="X393" s="5" t="s">
        <v>55</v>
      </c>
      <c r="Y393" s="7" t="s">
        <v>56</v>
      </c>
      <c r="Z393" s="48" t="str">
        <f t="shared" si="71"/>
        <v>APROVADO</v>
      </c>
      <c r="AA393" s="47">
        <v>11603051</v>
      </c>
      <c r="AB393" s="5" t="s">
        <v>2597</v>
      </c>
      <c r="AC393" s="5" t="s">
        <v>48</v>
      </c>
      <c r="AD393" s="5" t="s">
        <v>5530</v>
      </c>
      <c r="AE393" s="5" t="str">
        <f t="shared" ca="1" si="73"/>
        <v>NO PRAZO</v>
      </c>
      <c r="AF393" s="49"/>
    </row>
    <row r="394" spans="1:32" ht="30" customHeight="1" x14ac:dyDescent="0.25">
      <c r="A394" s="9" t="s">
        <v>367</v>
      </c>
      <c r="B394" s="5" t="s">
        <v>10</v>
      </c>
      <c r="C394" s="5" t="s">
        <v>5862</v>
      </c>
      <c r="D394" s="7" t="s">
        <v>137</v>
      </c>
      <c r="E394" s="7" t="s">
        <v>40</v>
      </c>
      <c r="F394" s="7" t="s">
        <v>354</v>
      </c>
      <c r="G394" s="61" t="s">
        <v>355</v>
      </c>
      <c r="H394" s="61" t="s">
        <v>372</v>
      </c>
      <c r="I394" s="5" t="s">
        <v>104</v>
      </c>
      <c r="J394" s="5" t="s">
        <v>357</v>
      </c>
      <c r="K394" s="5" t="s">
        <v>45</v>
      </c>
      <c r="L394" s="5" t="s">
        <v>10</v>
      </c>
      <c r="M394" s="5" t="s">
        <v>10</v>
      </c>
      <c r="N394" s="5" t="s">
        <v>10</v>
      </c>
      <c r="O394" s="46" t="s">
        <v>46</v>
      </c>
      <c r="P394" s="99">
        <v>46102</v>
      </c>
      <c r="Q394" s="100">
        <f t="shared" si="74"/>
        <v>46286</v>
      </c>
      <c r="R394" s="63" t="s">
        <v>3445</v>
      </c>
      <c r="S394" s="63" t="s">
        <v>5084</v>
      </c>
      <c r="T394" s="7">
        <v>0.23</v>
      </c>
      <c r="U394" s="5" t="s">
        <v>10</v>
      </c>
      <c r="V394" s="7">
        <f t="shared" si="70"/>
        <v>0.23</v>
      </c>
      <c r="W394" s="5">
        <v>0.5</v>
      </c>
      <c r="X394" s="5" t="s">
        <v>55</v>
      </c>
      <c r="Y394" s="7" t="s">
        <v>56</v>
      </c>
      <c r="Z394" s="48" t="str">
        <f t="shared" si="71"/>
        <v>APROVADO</v>
      </c>
      <c r="AA394" s="47">
        <v>11603054</v>
      </c>
      <c r="AB394" s="5" t="s">
        <v>2598</v>
      </c>
      <c r="AC394" s="5" t="s">
        <v>48</v>
      </c>
      <c r="AD394" s="5" t="s">
        <v>5530</v>
      </c>
      <c r="AE394" s="5" t="str">
        <f t="shared" ca="1" si="73"/>
        <v>NO PRAZO</v>
      </c>
      <c r="AF394" s="49"/>
    </row>
    <row r="395" spans="1:32" ht="30" customHeight="1" x14ac:dyDescent="0.25">
      <c r="A395" s="9" t="s">
        <v>368</v>
      </c>
      <c r="B395" s="5" t="s">
        <v>10</v>
      </c>
      <c r="C395" s="5" t="s">
        <v>5862</v>
      </c>
      <c r="D395" s="7" t="s">
        <v>137</v>
      </c>
      <c r="E395" s="7" t="s">
        <v>40</v>
      </c>
      <c r="F395" s="7" t="s">
        <v>354</v>
      </c>
      <c r="G395" s="61" t="s">
        <v>355</v>
      </c>
      <c r="H395" s="61" t="s">
        <v>356</v>
      </c>
      <c r="I395" s="5" t="s">
        <v>104</v>
      </c>
      <c r="J395" s="5" t="s">
        <v>357</v>
      </c>
      <c r="K395" s="5" t="s">
        <v>45</v>
      </c>
      <c r="L395" s="5" t="s">
        <v>10</v>
      </c>
      <c r="M395" s="5" t="s">
        <v>10</v>
      </c>
      <c r="N395" s="5" t="s">
        <v>10</v>
      </c>
      <c r="O395" s="46" t="s">
        <v>46</v>
      </c>
      <c r="P395" s="99">
        <v>46102</v>
      </c>
      <c r="Q395" s="100">
        <f t="shared" si="74"/>
        <v>46286</v>
      </c>
      <c r="R395" s="63" t="s">
        <v>3424</v>
      </c>
      <c r="S395" s="63" t="s">
        <v>5086</v>
      </c>
      <c r="T395" s="7">
        <v>0.28000000000000003</v>
      </c>
      <c r="U395" s="5" t="s">
        <v>10</v>
      </c>
      <c r="V395" s="7">
        <f t="shared" si="70"/>
        <v>0.28000000000000003</v>
      </c>
      <c r="W395" s="5">
        <v>0.5</v>
      </c>
      <c r="X395" s="5" t="s">
        <v>55</v>
      </c>
      <c r="Y395" s="7" t="s">
        <v>56</v>
      </c>
      <c r="Z395" s="48" t="str">
        <f t="shared" si="71"/>
        <v>APROVADO</v>
      </c>
      <c r="AA395" s="47">
        <v>11597087</v>
      </c>
      <c r="AB395" s="5" t="s">
        <v>2599</v>
      </c>
      <c r="AC395" s="5" t="s">
        <v>48</v>
      </c>
      <c r="AD395" s="5" t="s">
        <v>5530</v>
      </c>
      <c r="AE395" s="5" t="str">
        <f t="shared" ca="1" si="73"/>
        <v>NO PRAZO</v>
      </c>
      <c r="AF395" s="49"/>
    </row>
    <row r="396" spans="1:32" ht="30" customHeight="1" x14ac:dyDescent="0.25">
      <c r="A396" s="9" t="s">
        <v>369</v>
      </c>
      <c r="B396" s="5" t="s">
        <v>10</v>
      </c>
      <c r="C396" s="5" t="s">
        <v>5862</v>
      </c>
      <c r="D396" s="7" t="s">
        <v>137</v>
      </c>
      <c r="E396" s="7" t="s">
        <v>40</v>
      </c>
      <c r="F396" s="7" t="s">
        <v>354</v>
      </c>
      <c r="G396" s="61" t="s">
        <v>355</v>
      </c>
      <c r="H396" s="61" t="s">
        <v>3456</v>
      </c>
      <c r="I396" s="5" t="s">
        <v>104</v>
      </c>
      <c r="J396" s="5" t="s">
        <v>357</v>
      </c>
      <c r="K396" s="5" t="s">
        <v>45</v>
      </c>
      <c r="L396" s="5" t="s">
        <v>10</v>
      </c>
      <c r="M396" s="5" t="s">
        <v>10</v>
      </c>
      <c r="N396" s="5" t="s">
        <v>10</v>
      </c>
      <c r="O396" s="46" t="s">
        <v>46</v>
      </c>
      <c r="P396" s="99">
        <v>46102</v>
      </c>
      <c r="Q396" s="100">
        <f t="shared" si="74"/>
        <v>46286</v>
      </c>
      <c r="R396" s="63" t="s">
        <v>3446</v>
      </c>
      <c r="S396" s="63" t="s">
        <v>5087</v>
      </c>
      <c r="T396" s="7">
        <v>0.28999999999999998</v>
      </c>
      <c r="U396" s="5" t="s">
        <v>10</v>
      </c>
      <c r="V396" s="7">
        <f t="shared" si="70"/>
        <v>0.28999999999999998</v>
      </c>
      <c r="W396" s="5">
        <v>0.5</v>
      </c>
      <c r="X396" s="5" t="s">
        <v>55</v>
      </c>
      <c r="Y396" s="7" t="s">
        <v>56</v>
      </c>
      <c r="Z396" s="48" t="str">
        <f t="shared" si="71"/>
        <v>APROVADO</v>
      </c>
      <c r="AA396" s="47">
        <v>11603055</v>
      </c>
      <c r="AB396" s="5" t="s">
        <v>2600</v>
      </c>
      <c r="AC396" s="5" t="s">
        <v>48</v>
      </c>
      <c r="AD396" s="5" t="s">
        <v>5530</v>
      </c>
      <c r="AE396" s="5" t="str">
        <f t="shared" ca="1" si="73"/>
        <v>NO PRAZO</v>
      </c>
      <c r="AF396" s="49"/>
    </row>
    <row r="397" spans="1:32" ht="30" customHeight="1" x14ac:dyDescent="0.25">
      <c r="A397" s="6" t="s">
        <v>3253</v>
      </c>
      <c r="B397" s="7" t="s">
        <v>10</v>
      </c>
      <c r="C397" s="5" t="s">
        <v>5862</v>
      </c>
      <c r="D397" s="7" t="s">
        <v>49</v>
      </c>
      <c r="E397" s="7" t="s">
        <v>50</v>
      </c>
      <c r="F397" s="7" t="s">
        <v>3583</v>
      </c>
      <c r="G397" s="5" t="s">
        <v>51</v>
      </c>
      <c r="H397" s="7" t="s">
        <v>52</v>
      </c>
      <c r="I397" s="7" t="s">
        <v>53</v>
      </c>
      <c r="J397" s="5" t="s">
        <v>54</v>
      </c>
      <c r="K397" s="5" t="s">
        <v>45</v>
      </c>
      <c r="L397" s="5" t="s">
        <v>10</v>
      </c>
      <c r="M397" s="5" t="s">
        <v>10</v>
      </c>
      <c r="N397" s="5" t="s">
        <v>10</v>
      </c>
      <c r="O397" s="46" t="s">
        <v>46</v>
      </c>
      <c r="P397" s="101">
        <v>46068</v>
      </c>
      <c r="Q397" s="100">
        <f t="shared" ref="Q397:Q414" si="75">IF(P397="","",P397+181)</f>
        <v>46249</v>
      </c>
      <c r="R397" s="5" t="s">
        <v>3084</v>
      </c>
      <c r="S397" s="5" t="s">
        <v>4790</v>
      </c>
      <c r="T397" s="7">
        <v>0.23400000000000001</v>
      </c>
      <c r="U397" s="7" t="s">
        <v>10</v>
      </c>
      <c r="V397" s="7">
        <f t="shared" si="70"/>
        <v>0.23400000000000001</v>
      </c>
      <c r="W397" s="7">
        <v>0.5</v>
      </c>
      <c r="X397" s="7" t="s">
        <v>55</v>
      </c>
      <c r="Y397" s="7" t="s">
        <v>56</v>
      </c>
      <c r="Z397" s="48" t="str">
        <f t="shared" si="71"/>
        <v>APROVADO</v>
      </c>
      <c r="AA397" s="47">
        <v>11542053</v>
      </c>
      <c r="AB397" s="5" t="s">
        <v>57</v>
      </c>
      <c r="AC397" s="5" t="s">
        <v>48</v>
      </c>
      <c r="AD397" s="5" t="s">
        <v>5530</v>
      </c>
      <c r="AE397" s="5" t="str">
        <f t="shared" ca="1" si="73"/>
        <v>CALIBRAR</v>
      </c>
      <c r="AF397" s="49"/>
    </row>
    <row r="398" spans="1:32" ht="30" customHeight="1" x14ac:dyDescent="0.25">
      <c r="A398" s="6" t="s">
        <v>3254</v>
      </c>
      <c r="B398" s="7" t="s">
        <v>10</v>
      </c>
      <c r="C398" s="5" t="s">
        <v>5862</v>
      </c>
      <c r="D398" s="7" t="s">
        <v>49</v>
      </c>
      <c r="E398" s="7" t="s">
        <v>50</v>
      </c>
      <c r="F398" s="7" t="s">
        <v>3583</v>
      </c>
      <c r="G398" s="5" t="s">
        <v>51</v>
      </c>
      <c r="H398" s="7" t="s">
        <v>52</v>
      </c>
      <c r="I398" s="7" t="s">
        <v>53</v>
      </c>
      <c r="J398" s="5" t="s">
        <v>54</v>
      </c>
      <c r="K398" s="5" t="s">
        <v>45</v>
      </c>
      <c r="L398" s="5" t="s">
        <v>10</v>
      </c>
      <c r="M398" s="5" t="s">
        <v>10</v>
      </c>
      <c r="N398" s="5" t="s">
        <v>10</v>
      </c>
      <c r="O398" s="46" t="s">
        <v>46</v>
      </c>
      <c r="P398" s="101">
        <v>46068</v>
      </c>
      <c r="Q398" s="100">
        <f t="shared" si="75"/>
        <v>46249</v>
      </c>
      <c r="R398" s="7" t="s">
        <v>3088</v>
      </c>
      <c r="S398" s="7" t="s">
        <v>4791</v>
      </c>
      <c r="T398" s="7">
        <v>0.42799999999999999</v>
      </c>
      <c r="U398" s="7" t="s">
        <v>10</v>
      </c>
      <c r="V398" s="7">
        <f t="shared" si="70"/>
        <v>0.42799999999999999</v>
      </c>
      <c r="W398" s="7">
        <v>0.5</v>
      </c>
      <c r="X398" s="7" t="s">
        <v>55</v>
      </c>
      <c r="Y398" s="7" t="s">
        <v>56</v>
      </c>
      <c r="Z398" s="48" t="str">
        <f t="shared" si="71"/>
        <v>APROVADO</v>
      </c>
      <c r="AA398" s="47">
        <v>11595748</v>
      </c>
      <c r="AB398" s="5" t="s">
        <v>65</v>
      </c>
      <c r="AC398" s="5" t="s">
        <v>48</v>
      </c>
      <c r="AD398" s="5" t="s">
        <v>5530</v>
      </c>
      <c r="AE398" s="5" t="str">
        <f t="shared" ca="1" si="73"/>
        <v>CALIBRAR</v>
      </c>
      <c r="AF398" s="49"/>
    </row>
    <row r="399" spans="1:32" ht="30" customHeight="1" x14ac:dyDescent="0.25">
      <c r="A399" s="6" t="s">
        <v>175</v>
      </c>
      <c r="B399" s="7" t="s">
        <v>10</v>
      </c>
      <c r="C399" s="5" t="s">
        <v>5862</v>
      </c>
      <c r="D399" s="7" t="s">
        <v>49</v>
      </c>
      <c r="E399" s="7" t="s">
        <v>50</v>
      </c>
      <c r="F399" s="7" t="s">
        <v>3583</v>
      </c>
      <c r="G399" s="5" t="s">
        <v>176</v>
      </c>
      <c r="H399" s="7" t="s">
        <v>52</v>
      </c>
      <c r="I399" s="7" t="s">
        <v>53</v>
      </c>
      <c r="J399" s="5" t="s">
        <v>54</v>
      </c>
      <c r="K399" s="5" t="s">
        <v>45</v>
      </c>
      <c r="L399" s="5" t="s">
        <v>10</v>
      </c>
      <c r="M399" s="5" t="s">
        <v>10</v>
      </c>
      <c r="N399" s="5" t="s">
        <v>10</v>
      </c>
      <c r="O399" s="46" t="s">
        <v>46</v>
      </c>
      <c r="P399" s="101">
        <v>46068</v>
      </c>
      <c r="Q399" s="100">
        <f t="shared" si="75"/>
        <v>46249</v>
      </c>
      <c r="R399" s="5" t="s">
        <v>3089</v>
      </c>
      <c r="S399" s="5" t="s">
        <v>4795</v>
      </c>
      <c r="T399" s="7">
        <v>0.23200000000000001</v>
      </c>
      <c r="U399" s="7" t="s">
        <v>10</v>
      </c>
      <c r="V399" s="7">
        <f t="shared" si="70"/>
        <v>0.23200000000000001</v>
      </c>
      <c r="W399" s="7">
        <v>0.5</v>
      </c>
      <c r="X399" s="7" t="s">
        <v>55</v>
      </c>
      <c r="Y399" s="7" t="s">
        <v>56</v>
      </c>
      <c r="Z399" s="48" t="str">
        <f t="shared" si="71"/>
        <v>APROVADO</v>
      </c>
      <c r="AA399" s="47">
        <v>11606594</v>
      </c>
      <c r="AB399" s="5" t="s">
        <v>4034</v>
      </c>
      <c r="AC399" s="5" t="s">
        <v>48</v>
      </c>
      <c r="AD399" s="5" t="s">
        <v>5530</v>
      </c>
      <c r="AE399" s="5" t="str">
        <f t="shared" ref="AE399:AE430" ca="1" si="76">IFERROR(IF(OR(AND(YEAR(Q399)=YEAR(TODAY()),MONTH(Q399)&gt;MONTH(TODAY())),(YEAR(Q399)&gt;YEAR(TODAY()))),$AK$4,IF(AND(YEAR(Q399)=YEAR(TODAY()),MONTH(Q399)=MONTH(TODAY())),$AK$5,IF(Q399="",$AK$6,$AK$7))),"-")</f>
        <v>CALIBRAR</v>
      </c>
      <c r="AF399" s="49"/>
    </row>
    <row r="400" spans="1:32" ht="30" customHeight="1" x14ac:dyDescent="0.25">
      <c r="A400" s="6" t="s">
        <v>207</v>
      </c>
      <c r="B400" s="7" t="s">
        <v>10</v>
      </c>
      <c r="C400" s="5" t="s">
        <v>5862</v>
      </c>
      <c r="D400" s="7" t="s">
        <v>49</v>
      </c>
      <c r="E400" s="7" t="s">
        <v>50</v>
      </c>
      <c r="F400" s="7" t="s">
        <v>3583</v>
      </c>
      <c r="G400" s="5" t="s">
        <v>176</v>
      </c>
      <c r="H400" s="7" t="s">
        <v>52</v>
      </c>
      <c r="I400" s="7" t="s">
        <v>53</v>
      </c>
      <c r="J400" s="5" t="s">
        <v>54</v>
      </c>
      <c r="K400" s="5" t="s">
        <v>45</v>
      </c>
      <c r="L400" s="5" t="s">
        <v>10</v>
      </c>
      <c r="M400" s="5" t="s">
        <v>10</v>
      </c>
      <c r="N400" s="5" t="s">
        <v>10</v>
      </c>
      <c r="O400" s="46" t="s">
        <v>46</v>
      </c>
      <c r="P400" s="101">
        <v>46068</v>
      </c>
      <c r="Q400" s="100">
        <f t="shared" si="75"/>
        <v>46249</v>
      </c>
      <c r="R400" s="5" t="s">
        <v>3090</v>
      </c>
      <c r="S400" s="5" t="s">
        <v>4796</v>
      </c>
      <c r="T400" s="7">
        <v>0.214</v>
      </c>
      <c r="U400" s="7" t="s">
        <v>10</v>
      </c>
      <c r="V400" s="7">
        <f t="shared" si="70"/>
        <v>0.214</v>
      </c>
      <c r="W400" s="7">
        <v>0.5</v>
      </c>
      <c r="X400" s="7" t="s">
        <v>55</v>
      </c>
      <c r="Y400" s="7" t="s">
        <v>56</v>
      </c>
      <c r="Z400" s="48" t="str">
        <f t="shared" si="71"/>
        <v>APROVADO</v>
      </c>
      <c r="AA400" s="47">
        <v>11606595</v>
      </c>
      <c r="AB400" s="5" t="s">
        <v>4035</v>
      </c>
      <c r="AC400" s="5" t="s">
        <v>48</v>
      </c>
      <c r="AD400" s="5" t="s">
        <v>5530</v>
      </c>
      <c r="AE400" s="5" t="str">
        <f t="shared" ca="1" si="76"/>
        <v>CALIBRAR</v>
      </c>
      <c r="AF400" s="49"/>
    </row>
    <row r="401" spans="1:41" ht="30" customHeight="1" x14ac:dyDescent="0.25">
      <c r="A401" s="6" t="s">
        <v>210</v>
      </c>
      <c r="B401" s="166" t="s">
        <v>5832</v>
      </c>
      <c r="C401" s="5" t="s">
        <v>5862</v>
      </c>
      <c r="D401" s="7" t="s">
        <v>49</v>
      </c>
      <c r="E401" s="7" t="s">
        <v>50</v>
      </c>
      <c r="F401" s="7" t="s">
        <v>3583</v>
      </c>
      <c r="G401" s="5" t="s">
        <v>211</v>
      </c>
      <c r="H401" s="7" t="s">
        <v>52</v>
      </c>
      <c r="I401" s="7" t="s">
        <v>53</v>
      </c>
      <c r="J401" s="5" t="s">
        <v>54</v>
      </c>
      <c r="K401" s="5" t="s">
        <v>45</v>
      </c>
      <c r="L401" s="5" t="s">
        <v>10</v>
      </c>
      <c r="M401" s="5" t="s">
        <v>10</v>
      </c>
      <c r="N401" s="5" t="s">
        <v>10</v>
      </c>
      <c r="O401" s="46" t="s">
        <v>46</v>
      </c>
      <c r="P401" s="101">
        <v>46068</v>
      </c>
      <c r="Q401" s="100">
        <f t="shared" si="75"/>
        <v>46249</v>
      </c>
      <c r="R401" s="5" t="s">
        <v>3479</v>
      </c>
      <c r="S401" s="5" t="s">
        <v>4800</v>
      </c>
      <c r="T401" s="7">
        <v>0.36399999999999999</v>
      </c>
      <c r="U401" s="7" t="s">
        <v>10</v>
      </c>
      <c r="V401" s="7">
        <f t="shared" si="70"/>
        <v>0.36399999999999999</v>
      </c>
      <c r="W401" s="7">
        <v>0.5</v>
      </c>
      <c r="X401" s="7" t="s">
        <v>55</v>
      </c>
      <c r="Y401" s="7" t="s">
        <v>56</v>
      </c>
      <c r="Z401" s="48" t="str">
        <f t="shared" si="71"/>
        <v>APROVADO</v>
      </c>
      <c r="AA401" s="47">
        <v>11595752</v>
      </c>
      <c r="AB401" s="5" t="s">
        <v>3978</v>
      </c>
      <c r="AC401" s="5" t="s">
        <v>48</v>
      </c>
      <c r="AD401" s="5" t="s">
        <v>5530</v>
      </c>
      <c r="AE401" s="5" t="str">
        <f t="shared" ca="1" si="76"/>
        <v>CALIBRAR</v>
      </c>
      <c r="AF401" s="51"/>
    </row>
    <row r="402" spans="1:41" ht="30" customHeight="1" x14ac:dyDescent="0.25">
      <c r="A402" s="6" t="s">
        <v>212</v>
      </c>
      <c r="B402" s="6" t="s">
        <v>10</v>
      </c>
      <c r="C402" s="5" t="s">
        <v>5862</v>
      </c>
      <c r="D402" s="7" t="s">
        <v>49</v>
      </c>
      <c r="E402" s="7" t="s">
        <v>50</v>
      </c>
      <c r="F402" s="7" t="s">
        <v>3583</v>
      </c>
      <c r="G402" s="5" t="s">
        <v>211</v>
      </c>
      <c r="H402" s="7" t="s">
        <v>52</v>
      </c>
      <c r="I402" s="7" t="s">
        <v>53</v>
      </c>
      <c r="J402" s="5" t="s">
        <v>54</v>
      </c>
      <c r="K402" s="5" t="s">
        <v>45</v>
      </c>
      <c r="L402" s="5" t="s">
        <v>10</v>
      </c>
      <c r="M402" s="5" t="s">
        <v>10</v>
      </c>
      <c r="N402" s="5" t="s">
        <v>10</v>
      </c>
      <c r="O402" s="46" t="s">
        <v>46</v>
      </c>
      <c r="P402" s="101">
        <v>46068</v>
      </c>
      <c r="Q402" s="100">
        <f t="shared" si="75"/>
        <v>46249</v>
      </c>
      <c r="R402" s="5" t="s">
        <v>3480</v>
      </c>
      <c r="S402" s="5" t="s">
        <v>4801</v>
      </c>
      <c r="T402" s="7">
        <v>0.44400000000000001</v>
      </c>
      <c r="U402" s="7" t="s">
        <v>10</v>
      </c>
      <c r="V402" s="7">
        <f t="shared" si="70"/>
        <v>0.44400000000000001</v>
      </c>
      <c r="W402" s="7">
        <v>0.5</v>
      </c>
      <c r="X402" s="7" t="s">
        <v>55</v>
      </c>
      <c r="Y402" s="7" t="s">
        <v>56</v>
      </c>
      <c r="Z402" s="48" t="str">
        <f t="shared" si="71"/>
        <v>APROVADO</v>
      </c>
      <c r="AA402" s="47">
        <v>11606596</v>
      </c>
      <c r="AB402" s="5" t="s">
        <v>4036</v>
      </c>
      <c r="AC402" s="5" t="s">
        <v>48</v>
      </c>
      <c r="AD402" s="5" t="s">
        <v>5530</v>
      </c>
      <c r="AE402" s="5" t="str">
        <f t="shared" ca="1" si="76"/>
        <v>CALIBRAR</v>
      </c>
      <c r="AF402" s="51"/>
    </row>
    <row r="403" spans="1:41" ht="30" customHeight="1" x14ac:dyDescent="0.25">
      <c r="A403" s="6" t="s">
        <v>215</v>
      </c>
      <c r="B403" s="7" t="s">
        <v>10</v>
      </c>
      <c r="C403" s="5" t="s">
        <v>5862</v>
      </c>
      <c r="D403" s="7" t="s">
        <v>49</v>
      </c>
      <c r="E403" s="7" t="s">
        <v>50</v>
      </c>
      <c r="F403" s="7" t="s">
        <v>3583</v>
      </c>
      <c r="G403" s="5" t="s">
        <v>216</v>
      </c>
      <c r="H403" s="7" t="s">
        <v>52</v>
      </c>
      <c r="I403" s="7" t="s">
        <v>53</v>
      </c>
      <c r="J403" s="5" t="s">
        <v>54</v>
      </c>
      <c r="K403" s="5" t="s">
        <v>45</v>
      </c>
      <c r="L403" s="5" t="s">
        <v>10</v>
      </c>
      <c r="M403" s="5" t="s">
        <v>10</v>
      </c>
      <c r="N403" s="5" t="s">
        <v>10</v>
      </c>
      <c r="O403" s="46" t="s">
        <v>46</v>
      </c>
      <c r="P403" s="101">
        <v>46068</v>
      </c>
      <c r="Q403" s="100">
        <f t="shared" si="75"/>
        <v>46249</v>
      </c>
      <c r="R403" s="5" t="s">
        <v>3099</v>
      </c>
      <c r="S403" s="5" t="s">
        <v>4804</v>
      </c>
      <c r="T403" s="7">
        <v>0.254</v>
      </c>
      <c r="U403" s="7" t="s">
        <v>10</v>
      </c>
      <c r="V403" s="7">
        <f t="shared" si="70"/>
        <v>0.254</v>
      </c>
      <c r="W403" s="7">
        <v>0.5</v>
      </c>
      <c r="X403" s="7" t="s">
        <v>55</v>
      </c>
      <c r="Y403" s="7" t="s">
        <v>56</v>
      </c>
      <c r="Z403" s="48" t="str">
        <f t="shared" si="71"/>
        <v>APROVADO</v>
      </c>
      <c r="AA403" s="47">
        <v>11606597</v>
      </c>
      <c r="AB403" s="5" t="s">
        <v>4037</v>
      </c>
      <c r="AC403" s="5" t="s">
        <v>48</v>
      </c>
      <c r="AD403" s="5" t="s">
        <v>5530</v>
      </c>
      <c r="AE403" s="5" t="str">
        <f t="shared" ca="1" si="76"/>
        <v>CALIBRAR</v>
      </c>
      <c r="AF403" s="49"/>
    </row>
    <row r="404" spans="1:41" ht="30" customHeight="1" x14ac:dyDescent="0.25">
      <c r="A404" s="6" t="s">
        <v>217</v>
      </c>
      <c r="B404" s="7" t="s">
        <v>10</v>
      </c>
      <c r="C404" s="5" t="s">
        <v>5862</v>
      </c>
      <c r="D404" s="7" t="s">
        <v>49</v>
      </c>
      <c r="E404" s="7" t="s">
        <v>50</v>
      </c>
      <c r="F404" s="7" t="s">
        <v>3583</v>
      </c>
      <c r="G404" s="5" t="s">
        <v>216</v>
      </c>
      <c r="H404" s="7" t="s">
        <v>52</v>
      </c>
      <c r="I404" s="7" t="s">
        <v>53</v>
      </c>
      <c r="J404" s="5" t="s">
        <v>54</v>
      </c>
      <c r="K404" s="5" t="s">
        <v>45</v>
      </c>
      <c r="L404" s="5" t="s">
        <v>10</v>
      </c>
      <c r="M404" s="5" t="s">
        <v>10</v>
      </c>
      <c r="N404" s="5" t="s">
        <v>10</v>
      </c>
      <c r="O404" s="46" t="s">
        <v>46</v>
      </c>
      <c r="P404" s="101">
        <v>46068</v>
      </c>
      <c r="Q404" s="100">
        <f t="shared" si="75"/>
        <v>46249</v>
      </c>
      <c r="R404" s="5" t="s">
        <v>3100</v>
      </c>
      <c r="S404" s="5" t="s">
        <v>4805</v>
      </c>
      <c r="T404" s="7">
        <v>0.24399999999999999</v>
      </c>
      <c r="U404" s="7" t="s">
        <v>10</v>
      </c>
      <c r="V404" s="7">
        <f t="shared" si="70"/>
        <v>0.24399999999999999</v>
      </c>
      <c r="W404" s="7">
        <v>0.5</v>
      </c>
      <c r="X404" s="7" t="s">
        <v>55</v>
      </c>
      <c r="Y404" s="7" t="s">
        <v>56</v>
      </c>
      <c r="Z404" s="48" t="str">
        <f t="shared" si="71"/>
        <v>APROVADO</v>
      </c>
      <c r="AA404" s="47">
        <v>11606598</v>
      </c>
      <c r="AB404" s="5" t="s">
        <v>4038</v>
      </c>
      <c r="AC404" s="5" t="s">
        <v>48</v>
      </c>
      <c r="AD404" s="5" t="s">
        <v>5530</v>
      </c>
      <c r="AE404" s="5" t="str">
        <f t="shared" ca="1" si="76"/>
        <v>CALIBRAR</v>
      </c>
      <c r="AF404" s="49"/>
    </row>
    <row r="405" spans="1:41" ht="30" customHeight="1" x14ac:dyDescent="0.25">
      <c r="A405" s="6" t="s">
        <v>225</v>
      </c>
      <c r="B405" s="7" t="s">
        <v>10</v>
      </c>
      <c r="C405" s="5" t="s">
        <v>5862</v>
      </c>
      <c r="D405" s="7" t="s">
        <v>49</v>
      </c>
      <c r="E405" s="7" t="s">
        <v>50</v>
      </c>
      <c r="F405" s="7" t="s">
        <v>3583</v>
      </c>
      <c r="G405" s="5" t="s">
        <v>226</v>
      </c>
      <c r="H405" s="7" t="s">
        <v>52</v>
      </c>
      <c r="I405" s="7" t="s">
        <v>53</v>
      </c>
      <c r="J405" s="5" t="s">
        <v>54</v>
      </c>
      <c r="K405" s="5" t="s">
        <v>45</v>
      </c>
      <c r="L405" s="5" t="s">
        <v>10</v>
      </c>
      <c r="M405" s="5" t="s">
        <v>10</v>
      </c>
      <c r="N405" s="5" t="s">
        <v>10</v>
      </c>
      <c r="O405" s="46" t="s">
        <v>46</v>
      </c>
      <c r="P405" s="101">
        <v>46068</v>
      </c>
      <c r="Q405" s="100">
        <f t="shared" si="75"/>
        <v>46249</v>
      </c>
      <c r="R405" s="5" t="s">
        <v>3103</v>
      </c>
      <c r="S405" s="5" t="s">
        <v>4809</v>
      </c>
      <c r="T405" s="7">
        <v>0.23400000000000001</v>
      </c>
      <c r="U405" s="7" t="s">
        <v>10</v>
      </c>
      <c r="V405" s="7">
        <f t="shared" si="70"/>
        <v>0.23400000000000001</v>
      </c>
      <c r="W405" s="7">
        <v>0.5</v>
      </c>
      <c r="X405" s="7" t="s">
        <v>55</v>
      </c>
      <c r="Y405" s="7" t="s">
        <v>56</v>
      </c>
      <c r="Z405" s="48" t="str">
        <f t="shared" si="71"/>
        <v>APROVADO</v>
      </c>
      <c r="AA405" s="47">
        <v>11606599</v>
      </c>
      <c r="AB405" s="5" t="s">
        <v>4039</v>
      </c>
      <c r="AC405" s="5" t="s">
        <v>48</v>
      </c>
      <c r="AD405" s="5" t="s">
        <v>5530</v>
      </c>
      <c r="AE405" s="5" t="str">
        <f t="shared" ca="1" si="76"/>
        <v>CALIBRAR</v>
      </c>
      <c r="AF405" s="49"/>
    </row>
    <row r="406" spans="1:41" ht="30" customHeight="1" x14ac:dyDescent="0.25">
      <c r="A406" s="6" t="s">
        <v>227</v>
      </c>
      <c r="B406" s="7" t="s">
        <v>10</v>
      </c>
      <c r="C406" s="5" t="s">
        <v>5862</v>
      </c>
      <c r="D406" s="7" t="s">
        <v>49</v>
      </c>
      <c r="E406" s="7" t="s">
        <v>50</v>
      </c>
      <c r="F406" s="7" t="s">
        <v>3583</v>
      </c>
      <c r="G406" s="5" t="s">
        <v>226</v>
      </c>
      <c r="H406" s="7" t="s">
        <v>52</v>
      </c>
      <c r="I406" s="7" t="s">
        <v>53</v>
      </c>
      <c r="J406" s="5" t="s">
        <v>54</v>
      </c>
      <c r="K406" s="5" t="s">
        <v>45</v>
      </c>
      <c r="L406" s="5" t="s">
        <v>10</v>
      </c>
      <c r="M406" s="5" t="s">
        <v>10</v>
      </c>
      <c r="N406" s="5" t="s">
        <v>10</v>
      </c>
      <c r="O406" s="46" t="s">
        <v>46</v>
      </c>
      <c r="P406" s="101">
        <v>46068</v>
      </c>
      <c r="Q406" s="100">
        <f t="shared" si="75"/>
        <v>46249</v>
      </c>
      <c r="R406" s="5" t="s">
        <v>3104</v>
      </c>
      <c r="S406" s="5" t="s">
        <v>4810</v>
      </c>
      <c r="T406" s="7">
        <v>0.26400000000000001</v>
      </c>
      <c r="U406" s="7" t="s">
        <v>10</v>
      </c>
      <c r="V406" s="7">
        <f t="shared" si="70"/>
        <v>0.26400000000000001</v>
      </c>
      <c r="W406" s="7">
        <v>0.5</v>
      </c>
      <c r="X406" s="7" t="s">
        <v>55</v>
      </c>
      <c r="Y406" s="7" t="s">
        <v>56</v>
      </c>
      <c r="Z406" s="48" t="str">
        <f t="shared" si="71"/>
        <v>APROVADO</v>
      </c>
      <c r="AA406" s="47">
        <v>11606600</v>
      </c>
      <c r="AB406" s="5" t="s">
        <v>4040</v>
      </c>
      <c r="AC406" s="5" t="s">
        <v>48</v>
      </c>
      <c r="AD406" s="5" t="s">
        <v>5530</v>
      </c>
      <c r="AE406" s="5" t="str">
        <f t="shared" ca="1" si="76"/>
        <v>CALIBRAR</v>
      </c>
      <c r="AF406" s="49"/>
    </row>
    <row r="407" spans="1:41" s="27" customFormat="1" ht="30" customHeight="1" x14ac:dyDescent="0.25">
      <c r="A407" s="8" t="s">
        <v>229</v>
      </c>
      <c r="B407" s="7" t="s">
        <v>10</v>
      </c>
      <c r="C407" s="5" t="s">
        <v>5862</v>
      </c>
      <c r="D407" s="7" t="s">
        <v>49</v>
      </c>
      <c r="E407" s="7" t="s">
        <v>50</v>
      </c>
      <c r="F407" s="7" t="s">
        <v>230</v>
      </c>
      <c r="G407" s="5" t="s">
        <v>51</v>
      </c>
      <c r="H407" s="7" t="s">
        <v>52</v>
      </c>
      <c r="I407" s="7" t="s">
        <v>53</v>
      </c>
      <c r="J407" s="5" t="s">
        <v>54</v>
      </c>
      <c r="K407" s="5" t="s">
        <v>45</v>
      </c>
      <c r="L407" s="5" t="s">
        <v>10</v>
      </c>
      <c r="M407" s="5" t="s">
        <v>10</v>
      </c>
      <c r="N407" s="5" t="s">
        <v>10</v>
      </c>
      <c r="O407" s="46" t="s">
        <v>46</v>
      </c>
      <c r="P407" s="100">
        <v>46068</v>
      </c>
      <c r="Q407" s="100">
        <f t="shared" si="75"/>
        <v>46249</v>
      </c>
      <c r="R407" s="5" t="s">
        <v>3121</v>
      </c>
      <c r="S407" s="5" t="s">
        <v>4813</v>
      </c>
      <c r="T407" s="7">
        <v>0.36599999999999999</v>
      </c>
      <c r="U407" s="7" t="s">
        <v>10</v>
      </c>
      <c r="V407" s="7">
        <f t="shared" si="70"/>
        <v>0.36599999999999999</v>
      </c>
      <c r="W407" s="7">
        <v>0.5</v>
      </c>
      <c r="X407" s="7" t="s">
        <v>55</v>
      </c>
      <c r="Y407" s="7" t="s">
        <v>56</v>
      </c>
      <c r="Z407" s="48" t="str">
        <f t="shared" si="71"/>
        <v>APROVADO</v>
      </c>
      <c r="AA407" s="47">
        <v>11606601</v>
      </c>
      <c r="AB407" s="5" t="s">
        <v>4041</v>
      </c>
      <c r="AC407" s="5" t="s">
        <v>48</v>
      </c>
      <c r="AD407" s="5" t="s">
        <v>5530</v>
      </c>
      <c r="AE407" s="5" t="str">
        <f t="shared" ca="1" si="76"/>
        <v>CALIBRAR</v>
      </c>
      <c r="AF407" s="49"/>
    </row>
    <row r="408" spans="1:41" s="67" customFormat="1" ht="30" customHeight="1" x14ac:dyDescent="0.25">
      <c r="A408" s="8" t="s">
        <v>231</v>
      </c>
      <c r="B408" s="7" t="s">
        <v>10</v>
      </c>
      <c r="C408" s="5" t="s">
        <v>5862</v>
      </c>
      <c r="D408" s="7" t="s">
        <v>49</v>
      </c>
      <c r="E408" s="7" t="s">
        <v>50</v>
      </c>
      <c r="F408" s="7" t="s">
        <v>230</v>
      </c>
      <c r="G408" s="5" t="s">
        <v>51</v>
      </c>
      <c r="H408" s="7" t="s">
        <v>52</v>
      </c>
      <c r="I408" s="7" t="s">
        <v>53</v>
      </c>
      <c r="J408" s="5" t="s">
        <v>54</v>
      </c>
      <c r="K408" s="5" t="s">
        <v>45</v>
      </c>
      <c r="L408" s="5" t="s">
        <v>10</v>
      </c>
      <c r="M408" s="5" t="s">
        <v>10</v>
      </c>
      <c r="N408" s="5" t="s">
        <v>10</v>
      </c>
      <c r="O408" s="46" t="s">
        <v>46</v>
      </c>
      <c r="P408" s="100">
        <v>46068</v>
      </c>
      <c r="Q408" s="100">
        <f t="shared" si="75"/>
        <v>46249</v>
      </c>
      <c r="R408" s="5" t="s">
        <v>3122</v>
      </c>
      <c r="S408" s="5" t="s">
        <v>4814</v>
      </c>
      <c r="T408" s="7">
        <v>0.23499999999999999</v>
      </c>
      <c r="U408" s="7" t="s">
        <v>10</v>
      </c>
      <c r="V408" s="7">
        <f t="shared" si="70"/>
        <v>0.23499999999999999</v>
      </c>
      <c r="W408" s="7">
        <v>0.5</v>
      </c>
      <c r="X408" s="7" t="s">
        <v>55</v>
      </c>
      <c r="Y408" s="7" t="s">
        <v>56</v>
      </c>
      <c r="Z408" s="48" t="str">
        <f t="shared" si="71"/>
        <v>APROVADO</v>
      </c>
      <c r="AA408" s="47">
        <v>11595761</v>
      </c>
      <c r="AB408" s="5" t="s">
        <v>2421</v>
      </c>
      <c r="AC408" s="5" t="s">
        <v>48</v>
      </c>
      <c r="AD408" s="5" t="s">
        <v>5530</v>
      </c>
      <c r="AE408" s="5" t="str">
        <f t="shared" ca="1" si="76"/>
        <v>CALIBRAR</v>
      </c>
      <c r="AF408" s="49"/>
      <c r="AK408" s="27"/>
      <c r="AL408" s="27"/>
      <c r="AM408" s="27"/>
      <c r="AN408" s="27"/>
      <c r="AO408" s="27"/>
    </row>
    <row r="409" spans="1:41" s="27" customFormat="1" ht="30" customHeight="1" x14ac:dyDescent="0.25">
      <c r="A409" s="113" t="s">
        <v>235</v>
      </c>
      <c r="B409" s="58" t="s">
        <v>10</v>
      </c>
      <c r="C409" s="5" t="s">
        <v>5862</v>
      </c>
      <c r="D409" s="58" t="s">
        <v>49</v>
      </c>
      <c r="E409" s="58" t="s">
        <v>50</v>
      </c>
      <c r="F409" s="7" t="s">
        <v>230</v>
      </c>
      <c r="G409" s="68" t="s">
        <v>176</v>
      </c>
      <c r="H409" s="58" t="s">
        <v>52</v>
      </c>
      <c r="I409" s="58" t="s">
        <v>53</v>
      </c>
      <c r="J409" s="68" t="s">
        <v>54</v>
      </c>
      <c r="K409" s="68" t="s">
        <v>45</v>
      </c>
      <c r="L409" s="68" t="s">
        <v>10</v>
      </c>
      <c r="M409" s="68" t="s">
        <v>10</v>
      </c>
      <c r="N409" s="68" t="s">
        <v>10</v>
      </c>
      <c r="O409" s="69" t="s">
        <v>46</v>
      </c>
      <c r="P409" s="100">
        <v>46068</v>
      </c>
      <c r="Q409" s="109">
        <f t="shared" si="75"/>
        <v>46249</v>
      </c>
      <c r="R409" s="58" t="s">
        <v>3125</v>
      </c>
      <c r="S409" s="58" t="s">
        <v>4818</v>
      </c>
      <c r="T409" s="58">
        <v>0.38100000000000001</v>
      </c>
      <c r="U409" s="58" t="s">
        <v>10</v>
      </c>
      <c r="V409" s="7">
        <f t="shared" si="70"/>
        <v>0.38100000000000001</v>
      </c>
      <c r="W409" s="58">
        <v>0.5</v>
      </c>
      <c r="X409" s="58" t="s">
        <v>55</v>
      </c>
      <c r="Y409" s="58" t="s">
        <v>56</v>
      </c>
      <c r="Z409" s="70" t="str">
        <f t="shared" si="71"/>
        <v>APROVADO</v>
      </c>
      <c r="AA409" s="47">
        <v>11541076</v>
      </c>
      <c r="AB409" s="5" t="s">
        <v>2422</v>
      </c>
      <c r="AC409" s="68" t="s">
        <v>48</v>
      </c>
      <c r="AD409" s="5" t="s">
        <v>5530</v>
      </c>
      <c r="AE409" s="68" t="str">
        <f t="shared" ca="1" si="76"/>
        <v>CALIBRAR</v>
      </c>
      <c r="AF409" s="49"/>
    </row>
    <row r="410" spans="1:41" ht="30" customHeight="1" x14ac:dyDescent="0.25">
      <c r="A410" s="8" t="s">
        <v>239</v>
      </c>
      <c r="B410" s="7" t="s">
        <v>10</v>
      </c>
      <c r="C410" s="5" t="s">
        <v>5862</v>
      </c>
      <c r="D410" s="7" t="s">
        <v>49</v>
      </c>
      <c r="E410" s="7" t="s">
        <v>50</v>
      </c>
      <c r="F410" s="7" t="s">
        <v>230</v>
      </c>
      <c r="G410" s="5" t="s">
        <v>176</v>
      </c>
      <c r="H410" s="7" t="s">
        <v>52</v>
      </c>
      <c r="I410" s="7" t="s">
        <v>53</v>
      </c>
      <c r="J410" s="5" t="s">
        <v>54</v>
      </c>
      <c r="K410" s="5" t="s">
        <v>45</v>
      </c>
      <c r="L410" s="5" t="s">
        <v>10</v>
      </c>
      <c r="M410" s="5" t="s">
        <v>10</v>
      </c>
      <c r="N410" s="5" t="s">
        <v>10</v>
      </c>
      <c r="O410" s="46" t="s">
        <v>46</v>
      </c>
      <c r="P410" s="100">
        <v>46068</v>
      </c>
      <c r="Q410" s="100">
        <f t="shared" si="75"/>
        <v>46249</v>
      </c>
      <c r="R410" s="5" t="s">
        <v>3126</v>
      </c>
      <c r="S410" s="5" t="s">
        <v>4819</v>
      </c>
      <c r="T410" s="7">
        <v>0.376</v>
      </c>
      <c r="U410" s="7" t="s">
        <v>10</v>
      </c>
      <c r="V410" s="7">
        <f t="shared" si="70"/>
        <v>0.376</v>
      </c>
      <c r="W410" s="7">
        <v>0.5</v>
      </c>
      <c r="X410" s="7" t="s">
        <v>55</v>
      </c>
      <c r="Y410" s="7" t="s">
        <v>56</v>
      </c>
      <c r="Z410" s="48" t="str">
        <f t="shared" si="71"/>
        <v>APROVADO</v>
      </c>
      <c r="AA410" s="47">
        <v>11595763</v>
      </c>
      <c r="AB410" s="5" t="s">
        <v>2423</v>
      </c>
      <c r="AC410" s="5" t="s">
        <v>48</v>
      </c>
      <c r="AD410" s="5" t="s">
        <v>5530</v>
      </c>
      <c r="AE410" s="5" t="str">
        <f t="shared" ca="1" si="76"/>
        <v>CALIBRAR</v>
      </c>
      <c r="AF410" s="49"/>
    </row>
    <row r="411" spans="1:41" ht="30" customHeight="1" x14ac:dyDescent="0.25">
      <c r="A411" s="8" t="s">
        <v>241</v>
      </c>
      <c r="B411" s="7" t="s">
        <v>10</v>
      </c>
      <c r="C411" s="5" t="s">
        <v>5862</v>
      </c>
      <c r="D411" s="7" t="s">
        <v>49</v>
      </c>
      <c r="E411" s="7" t="s">
        <v>50</v>
      </c>
      <c r="F411" s="7" t="s">
        <v>230</v>
      </c>
      <c r="G411" s="5" t="s">
        <v>211</v>
      </c>
      <c r="H411" s="7" t="s">
        <v>52</v>
      </c>
      <c r="I411" s="7" t="s">
        <v>53</v>
      </c>
      <c r="J411" s="5" t="s">
        <v>54</v>
      </c>
      <c r="K411" s="5" t="s">
        <v>45</v>
      </c>
      <c r="L411" s="5" t="s">
        <v>10</v>
      </c>
      <c r="M411" s="5" t="s">
        <v>10</v>
      </c>
      <c r="N411" s="5" t="s">
        <v>10</v>
      </c>
      <c r="O411" s="46" t="s">
        <v>46</v>
      </c>
      <c r="P411" s="100">
        <v>46068</v>
      </c>
      <c r="Q411" s="100">
        <f t="shared" si="75"/>
        <v>46249</v>
      </c>
      <c r="R411" s="7" t="s">
        <v>3130</v>
      </c>
      <c r="S411" s="7" t="s">
        <v>4822</v>
      </c>
      <c r="T411" s="55">
        <v>0.185</v>
      </c>
      <c r="U411" s="7" t="s">
        <v>10</v>
      </c>
      <c r="V411" s="7">
        <f t="shared" si="70"/>
        <v>0.185</v>
      </c>
      <c r="W411" s="7">
        <v>0.5</v>
      </c>
      <c r="X411" s="7" t="s">
        <v>55</v>
      </c>
      <c r="Y411" s="7" t="s">
        <v>56</v>
      </c>
      <c r="Z411" s="48" t="str">
        <f t="shared" si="71"/>
        <v>APROVADO</v>
      </c>
      <c r="AA411" s="47">
        <v>11541075</v>
      </c>
      <c r="AB411" s="5" t="s">
        <v>2424</v>
      </c>
      <c r="AC411" s="5" t="s">
        <v>48</v>
      </c>
      <c r="AD411" s="5" t="s">
        <v>5530</v>
      </c>
      <c r="AE411" s="5" t="str">
        <f t="shared" ca="1" si="76"/>
        <v>CALIBRAR</v>
      </c>
      <c r="AF411" s="49"/>
    </row>
    <row r="412" spans="1:41" ht="30" customHeight="1" x14ac:dyDescent="0.25">
      <c r="A412" s="8" t="s">
        <v>242</v>
      </c>
      <c r="B412" s="7" t="s">
        <v>10</v>
      </c>
      <c r="C412" s="5" t="s">
        <v>5862</v>
      </c>
      <c r="D412" s="7" t="s">
        <v>49</v>
      </c>
      <c r="E412" s="7" t="s">
        <v>50</v>
      </c>
      <c r="F412" s="7" t="s">
        <v>230</v>
      </c>
      <c r="G412" s="5" t="s">
        <v>211</v>
      </c>
      <c r="H412" s="7" t="s">
        <v>52</v>
      </c>
      <c r="I412" s="7" t="s">
        <v>53</v>
      </c>
      <c r="J412" s="5" t="s">
        <v>54</v>
      </c>
      <c r="K412" s="5" t="s">
        <v>45</v>
      </c>
      <c r="L412" s="5" t="s">
        <v>10</v>
      </c>
      <c r="M412" s="5" t="s">
        <v>10</v>
      </c>
      <c r="N412" s="5" t="s">
        <v>10</v>
      </c>
      <c r="O412" s="46" t="s">
        <v>46</v>
      </c>
      <c r="P412" s="100">
        <v>46068</v>
      </c>
      <c r="Q412" s="100">
        <f t="shared" si="75"/>
        <v>46249</v>
      </c>
      <c r="R412" s="7" t="s">
        <v>3131</v>
      </c>
      <c r="S412" s="7" t="s">
        <v>4823</v>
      </c>
      <c r="T412" s="7">
        <v>0.14499999999999999</v>
      </c>
      <c r="U412" s="7" t="s">
        <v>10</v>
      </c>
      <c r="V412" s="7">
        <f t="shared" si="70"/>
        <v>0.14499999999999999</v>
      </c>
      <c r="W412" s="7">
        <v>0.5</v>
      </c>
      <c r="X412" s="7" t="s">
        <v>55</v>
      </c>
      <c r="Y412" s="7" t="s">
        <v>56</v>
      </c>
      <c r="Z412" s="48" t="str">
        <f t="shared" si="71"/>
        <v>APROVADO</v>
      </c>
      <c r="AA412" s="47">
        <v>11595764</v>
      </c>
      <c r="AB412" s="5" t="s">
        <v>2425</v>
      </c>
      <c r="AC412" s="5" t="s">
        <v>48</v>
      </c>
      <c r="AD412" s="5" t="s">
        <v>5530</v>
      </c>
      <c r="AE412" s="5" t="str">
        <f t="shared" ca="1" si="76"/>
        <v>CALIBRAR</v>
      </c>
      <c r="AF412" s="49"/>
    </row>
    <row r="413" spans="1:41" ht="30" customHeight="1" x14ac:dyDescent="0.25">
      <c r="A413" s="8" t="s">
        <v>245</v>
      </c>
      <c r="B413" s="7" t="s">
        <v>10</v>
      </c>
      <c r="C413" s="5" t="s">
        <v>5862</v>
      </c>
      <c r="D413" s="7" t="s">
        <v>49</v>
      </c>
      <c r="E413" s="7" t="s">
        <v>50</v>
      </c>
      <c r="F413" s="7" t="s">
        <v>230</v>
      </c>
      <c r="G413" s="5" t="s">
        <v>216</v>
      </c>
      <c r="H413" s="7" t="s">
        <v>52</v>
      </c>
      <c r="I413" s="7" t="s">
        <v>53</v>
      </c>
      <c r="J413" s="5" t="s">
        <v>54</v>
      </c>
      <c r="K413" s="5" t="s">
        <v>45</v>
      </c>
      <c r="L413" s="5" t="s">
        <v>10</v>
      </c>
      <c r="M413" s="5" t="s">
        <v>10</v>
      </c>
      <c r="N413" s="5" t="s">
        <v>10</v>
      </c>
      <c r="O413" s="46" t="s">
        <v>46</v>
      </c>
      <c r="P413" s="100">
        <v>46068</v>
      </c>
      <c r="Q413" s="100">
        <f t="shared" si="75"/>
        <v>46249</v>
      </c>
      <c r="R413" s="5" t="s">
        <v>3134</v>
      </c>
      <c r="S413" s="5" t="s">
        <v>4827</v>
      </c>
      <c r="T413" s="7">
        <v>0.19900000000000001</v>
      </c>
      <c r="U413" s="7" t="s">
        <v>10</v>
      </c>
      <c r="V413" s="7">
        <f t="shared" si="70"/>
        <v>0.19900000000000001</v>
      </c>
      <c r="W413" s="7">
        <v>0.5</v>
      </c>
      <c r="X413" s="7" t="s">
        <v>55</v>
      </c>
      <c r="Y413" s="7" t="s">
        <v>56</v>
      </c>
      <c r="Z413" s="48" t="str">
        <f t="shared" si="71"/>
        <v>APROVADO</v>
      </c>
      <c r="AA413" s="47">
        <v>11541074</v>
      </c>
      <c r="AB413" s="5" t="s">
        <v>2426</v>
      </c>
      <c r="AC413" s="5" t="s">
        <v>48</v>
      </c>
      <c r="AD413" s="5" t="s">
        <v>5530</v>
      </c>
      <c r="AE413" s="5" t="str">
        <f t="shared" ca="1" si="76"/>
        <v>CALIBRAR</v>
      </c>
      <c r="AF413" s="49"/>
    </row>
    <row r="414" spans="1:41" ht="30" customHeight="1" x14ac:dyDescent="0.25">
      <c r="A414" s="8" t="s">
        <v>246</v>
      </c>
      <c r="B414" s="7" t="s">
        <v>10</v>
      </c>
      <c r="C414" s="5" t="s">
        <v>5862</v>
      </c>
      <c r="D414" s="7" t="s">
        <v>49</v>
      </c>
      <c r="E414" s="7" t="s">
        <v>50</v>
      </c>
      <c r="F414" s="7" t="s">
        <v>230</v>
      </c>
      <c r="G414" s="5" t="s">
        <v>216</v>
      </c>
      <c r="H414" s="7" t="s">
        <v>52</v>
      </c>
      <c r="I414" s="7" t="s">
        <v>53</v>
      </c>
      <c r="J414" s="5" t="s">
        <v>54</v>
      </c>
      <c r="K414" s="5" t="s">
        <v>45</v>
      </c>
      <c r="L414" s="5" t="s">
        <v>10</v>
      </c>
      <c r="M414" s="5" t="s">
        <v>10</v>
      </c>
      <c r="N414" s="5" t="s">
        <v>10</v>
      </c>
      <c r="O414" s="46" t="s">
        <v>46</v>
      </c>
      <c r="P414" s="100">
        <v>46068</v>
      </c>
      <c r="Q414" s="100">
        <f t="shared" si="75"/>
        <v>46249</v>
      </c>
      <c r="R414" s="7" t="s">
        <v>3135</v>
      </c>
      <c r="S414" s="7" t="s">
        <v>4826</v>
      </c>
      <c r="T414" s="7">
        <v>0.14499999999999999</v>
      </c>
      <c r="U414" s="7" t="s">
        <v>10</v>
      </c>
      <c r="V414" s="7">
        <f t="shared" si="70"/>
        <v>0.14499999999999999</v>
      </c>
      <c r="W414" s="7">
        <v>0.5</v>
      </c>
      <c r="X414" s="7" t="s">
        <v>55</v>
      </c>
      <c r="Y414" s="7" t="s">
        <v>56</v>
      </c>
      <c r="Z414" s="48" t="str">
        <f t="shared" si="71"/>
        <v>APROVADO</v>
      </c>
      <c r="AA414" s="47">
        <v>11595765</v>
      </c>
      <c r="AB414" s="5" t="s">
        <v>2427</v>
      </c>
      <c r="AC414" s="5" t="s">
        <v>48</v>
      </c>
      <c r="AD414" s="5" t="s">
        <v>5530</v>
      </c>
      <c r="AE414" s="5" t="str">
        <f t="shared" ca="1" si="76"/>
        <v>CALIBRAR</v>
      </c>
      <c r="AF414" s="49"/>
    </row>
    <row r="415" spans="1:41" ht="30" customHeight="1" x14ac:dyDescent="0.25">
      <c r="A415" s="6" t="s">
        <v>294</v>
      </c>
      <c r="B415" s="7" t="s">
        <v>10</v>
      </c>
      <c r="C415" s="5" t="s">
        <v>5862</v>
      </c>
      <c r="D415" s="7" t="s">
        <v>49</v>
      </c>
      <c r="E415" s="7" t="s">
        <v>50</v>
      </c>
      <c r="F415" s="7" t="s">
        <v>221</v>
      </c>
      <c r="G415" s="5" t="s">
        <v>236</v>
      </c>
      <c r="H415" s="7" t="s">
        <v>52</v>
      </c>
      <c r="I415" s="7" t="s">
        <v>53</v>
      </c>
      <c r="J415" s="5" t="s">
        <v>237</v>
      </c>
      <c r="K415" s="5" t="s">
        <v>45</v>
      </c>
      <c r="L415" s="5" t="s">
        <v>10</v>
      </c>
      <c r="M415" s="5" t="s">
        <v>10</v>
      </c>
      <c r="N415" s="5" t="s">
        <v>10</v>
      </c>
      <c r="O415" s="46" t="s">
        <v>46</v>
      </c>
      <c r="P415" s="101">
        <v>46236</v>
      </c>
      <c r="Q415" s="100">
        <f t="shared" ref="Q415:Q422" si="77">IF(P415="","",P415+184)</f>
        <v>46420</v>
      </c>
      <c r="R415" s="5" t="s">
        <v>4708</v>
      </c>
      <c r="S415" s="5" t="s">
        <v>6001</v>
      </c>
      <c r="T415" s="7"/>
      <c r="U415" s="7" t="s">
        <v>10</v>
      </c>
      <c r="V415" s="7">
        <f t="shared" si="70"/>
        <v>0</v>
      </c>
      <c r="W415" s="7">
        <v>0.5</v>
      </c>
      <c r="X415" s="7" t="s">
        <v>55</v>
      </c>
      <c r="Y415" s="7" t="s">
        <v>56</v>
      </c>
      <c r="Z415" s="48" t="str">
        <f t="shared" si="71"/>
        <v>AGUARDANDO CERTIFICADO</v>
      </c>
      <c r="AA415" s="47">
        <v>11606602</v>
      </c>
      <c r="AB415" s="5" t="s">
        <v>4042</v>
      </c>
      <c r="AC415" s="5" t="s">
        <v>48</v>
      </c>
      <c r="AD415" s="5" t="s">
        <v>5632</v>
      </c>
      <c r="AE415" s="5" t="str">
        <f t="shared" ca="1" si="76"/>
        <v>NO PRAZO</v>
      </c>
      <c r="AF415" s="52" t="s">
        <v>5967</v>
      </c>
    </row>
    <row r="416" spans="1:41" ht="30" customHeight="1" x14ac:dyDescent="0.25">
      <c r="A416" s="6" t="s">
        <v>295</v>
      </c>
      <c r="B416" s="7" t="s">
        <v>10</v>
      </c>
      <c r="C416" s="5" t="s">
        <v>5862</v>
      </c>
      <c r="D416" s="7" t="s">
        <v>49</v>
      </c>
      <c r="E416" s="7" t="s">
        <v>50</v>
      </c>
      <c r="F416" s="7" t="s">
        <v>221</v>
      </c>
      <c r="G416" s="5" t="s">
        <v>236</v>
      </c>
      <c r="H416" s="7" t="s">
        <v>52</v>
      </c>
      <c r="I416" s="7" t="s">
        <v>53</v>
      </c>
      <c r="J416" s="5" t="s">
        <v>237</v>
      </c>
      <c r="K416" s="5" t="s">
        <v>45</v>
      </c>
      <c r="L416" s="5" t="s">
        <v>10</v>
      </c>
      <c r="M416" s="5" t="s">
        <v>10</v>
      </c>
      <c r="N416" s="5" t="s">
        <v>10</v>
      </c>
      <c r="O416" s="46" t="s">
        <v>46</v>
      </c>
      <c r="P416" s="101">
        <v>46236</v>
      </c>
      <c r="Q416" s="100">
        <f t="shared" si="77"/>
        <v>46420</v>
      </c>
      <c r="R416" s="7" t="s">
        <v>4709</v>
      </c>
      <c r="S416" s="7" t="s">
        <v>6002</v>
      </c>
      <c r="T416" s="7"/>
      <c r="U416" s="7" t="s">
        <v>10</v>
      </c>
      <c r="V416" s="7">
        <f t="shared" ref="V416:V479" si="78">IFERROR(IF(U416&gt;0,T416*100/U416,T416),T416)</f>
        <v>0</v>
      </c>
      <c r="W416" s="7">
        <v>0.5</v>
      </c>
      <c r="X416" s="7" t="s">
        <v>55</v>
      </c>
      <c r="Y416" s="7" t="s">
        <v>56</v>
      </c>
      <c r="Z416" s="48" t="str">
        <f t="shared" ref="Z416:Z479" si="79">IFERROR(IF(W416="-",$AL$6,CHOOSE(IF(T416="",1,2),$AL$7,IF(V416&gt;W416,$AL$5,$AL$4))),"-")</f>
        <v>AGUARDANDO CERTIFICADO</v>
      </c>
      <c r="AA416" s="47">
        <v>11606603</v>
      </c>
      <c r="AB416" s="5" t="s">
        <v>4043</v>
      </c>
      <c r="AC416" s="5" t="s">
        <v>48</v>
      </c>
      <c r="AD416" s="5" t="s">
        <v>5632</v>
      </c>
      <c r="AE416" s="5" t="str">
        <f t="shared" ca="1" si="76"/>
        <v>NO PRAZO</v>
      </c>
      <c r="AF416" s="52" t="s">
        <v>5967</v>
      </c>
    </row>
    <row r="417" spans="1:32" ht="30" customHeight="1" x14ac:dyDescent="0.25">
      <c r="A417" s="6" t="s">
        <v>297</v>
      </c>
      <c r="B417" s="7" t="s">
        <v>10</v>
      </c>
      <c r="C417" s="5" t="s">
        <v>5862</v>
      </c>
      <c r="D417" s="7" t="s">
        <v>49</v>
      </c>
      <c r="E417" s="7" t="s">
        <v>50</v>
      </c>
      <c r="F417" s="7" t="s">
        <v>221</v>
      </c>
      <c r="G417" s="5" t="s">
        <v>298</v>
      </c>
      <c r="H417" s="7" t="s">
        <v>52</v>
      </c>
      <c r="I417" s="7" t="s">
        <v>53</v>
      </c>
      <c r="J417" s="5" t="s">
        <v>237</v>
      </c>
      <c r="K417" s="5" t="s">
        <v>45</v>
      </c>
      <c r="L417" s="5" t="s">
        <v>10</v>
      </c>
      <c r="M417" s="5" t="s">
        <v>10</v>
      </c>
      <c r="N417" s="5" t="s">
        <v>10</v>
      </c>
      <c r="O417" s="46" t="s">
        <v>46</v>
      </c>
      <c r="P417" s="101">
        <v>46236</v>
      </c>
      <c r="Q417" s="100">
        <f t="shared" si="77"/>
        <v>46420</v>
      </c>
      <c r="R417" s="7" t="s">
        <v>4710</v>
      </c>
      <c r="S417" s="7" t="s">
        <v>6003</v>
      </c>
      <c r="T417" s="7"/>
      <c r="U417" s="7" t="s">
        <v>10</v>
      </c>
      <c r="V417" s="7">
        <f t="shared" si="78"/>
        <v>0</v>
      </c>
      <c r="W417" s="7">
        <v>0.5</v>
      </c>
      <c r="X417" s="7" t="s">
        <v>55</v>
      </c>
      <c r="Y417" s="7" t="s">
        <v>56</v>
      </c>
      <c r="Z417" s="48" t="str">
        <f t="shared" si="79"/>
        <v>AGUARDANDO CERTIFICADO</v>
      </c>
      <c r="AA417" s="47">
        <v>11606604</v>
      </c>
      <c r="AB417" s="5" t="s">
        <v>4044</v>
      </c>
      <c r="AC417" s="5" t="s">
        <v>48</v>
      </c>
      <c r="AD417" s="5" t="s">
        <v>5632</v>
      </c>
      <c r="AE417" s="5" t="str">
        <f t="shared" ca="1" si="76"/>
        <v>NO PRAZO</v>
      </c>
      <c r="AF417" s="52" t="s">
        <v>5967</v>
      </c>
    </row>
    <row r="418" spans="1:32" ht="30" customHeight="1" x14ac:dyDescent="0.25">
      <c r="A418" s="6" t="s">
        <v>299</v>
      </c>
      <c r="B418" s="7" t="s">
        <v>10</v>
      </c>
      <c r="C418" s="5" t="s">
        <v>5862</v>
      </c>
      <c r="D418" s="7" t="s">
        <v>49</v>
      </c>
      <c r="E418" s="7" t="s">
        <v>50</v>
      </c>
      <c r="F418" s="7" t="s">
        <v>221</v>
      </c>
      <c r="G418" s="5" t="s">
        <v>298</v>
      </c>
      <c r="H418" s="7" t="s">
        <v>52</v>
      </c>
      <c r="I418" s="7" t="s">
        <v>53</v>
      </c>
      <c r="J418" s="5" t="s">
        <v>237</v>
      </c>
      <c r="K418" s="5" t="s">
        <v>45</v>
      </c>
      <c r="L418" s="5" t="s">
        <v>10</v>
      </c>
      <c r="M418" s="5" t="s">
        <v>10</v>
      </c>
      <c r="N418" s="5" t="s">
        <v>10</v>
      </c>
      <c r="O418" s="46" t="s">
        <v>46</v>
      </c>
      <c r="P418" s="101">
        <v>46236</v>
      </c>
      <c r="Q418" s="100">
        <f t="shared" si="77"/>
        <v>46420</v>
      </c>
      <c r="R418" s="7" t="s">
        <v>4711</v>
      </c>
      <c r="S418" s="7" t="s">
        <v>6004</v>
      </c>
      <c r="T418" s="7"/>
      <c r="U418" s="7" t="s">
        <v>10</v>
      </c>
      <c r="V418" s="7">
        <f t="shared" si="78"/>
        <v>0</v>
      </c>
      <c r="W418" s="7">
        <v>0.5</v>
      </c>
      <c r="X418" s="7" t="s">
        <v>55</v>
      </c>
      <c r="Y418" s="7" t="s">
        <v>56</v>
      </c>
      <c r="Z418" s="48" t="str">
        <f t="shared" si="79"/>
        <v>AGUARDANDO CERTIFICADO</v>
      </c>
      <c r="AA418" s="47">
        <v>11606605</v>
      </c>
      <c r="AB418" s="5" t="s">
        <v>4045</v>
      </c>
      <c r="AC418" s="5" t="s">
        <v>48</v>
      </c>
      <c r="AD418" s="5" t="s">
        <v>5632</v>
      </c>
      <c r="AE418" s="5" t="str">
        <f t="shared" ca="1" si="76"/>
        <v>NO PRAZO</v>
      </c>
      <c r="AF418" s="52" t="s">
        <v>5967</v>
      </c>
    </row>
    <row r="419" spans="1:32" ht="30" customHeight="1" x14ac:dyDescent="0.25">
      <c r="A419" s="6" t="s">
        <v>300</v>
      </c>
      <c r="B419" s="7" t="s">
        <v>10</v>
      </c>
      <c r="C419" s="5" t="s">
        <v>5862</v>
      </c>
      <c r="D419" s="7" t="s">
        <v>151</v>
      </c>
      <c r="E419" s="7" t="s">
        <v>50</v>
      </c>
      <c r="F419" s="7" t="s">
        <v>221</v>
      </c>
      <c r="G419" s="5" t="s">
        <v>267</v>
      </c>
      <c r="H419" s="7" t="s">
        <v>52</v>
      </c>
      <c r="I419" s="7" t="s">
        <v>53</v>
      </c>
      <c r="J419" s="5" t="s">
        <v>237</v>
      </c>
      <c r="K419" s="5" t="s">
        <v>45</v>
      </c>
      <c r="L419" s="5" t="s">
        <v>10</v>
      </c>
      <c r="M419" s="5" t="s">
        <v>10</v>
      </c>
      <c r="N419" s="5" t="s">
        <v>10</v>
      </c>
      <c r="O419" s="46" t="s">
        <v>46</v>
      </c>
      <c r="P419" s="101">
        <v>46236</v>
      </c>
      <c r="Q419" s="100">
        <f t="shared" si="77"/>
        <v>46420</v>
      </c>
      <c r="R419" s="7" t="s">
        <v>4759</v>
      </c>
      <c r="S419" s="7" t="s">
        <v>5998</v>
      </c>
      <c r="T419" s="7"/>
      <c r="U419" s="7" t="s">
        <v>10</v>
      </c>
      <c r="V419" s="7">
        <f t="shared" si="78"/>
        <v>0</v>
      </c>
      <c r="W419" s="7">
        <v>0.5</v>
      </c>
      <c r="X419" s="7" t="s">
        <v>55</v>
      </c>
      <c r="Y419" s="7" t="s">
        <v>56</v>
      </c>
      <c r="Z419" s="48" t="str">
        <f t="shared" si="79"/>
        <v>AGUARDANDO CERTIFICADO</v>
      </c>
      <c r="AA419" s="47">
        <v>11606606</v>
      </c>
      <c r="AB419" s="5" t="s">
        <v>4046</v>
      </c>
      <c r="AC419" s="5" t="s">
        <v>48</v>
      </c>
      <c r="AD419" s="5" t="s">
        <v>5530</v>
      </c>
      <c r="AE419" s="5" t="str">
        <f t="shared" ca="1" si="76"/>
        <v>NO PRAZO</v>
      </c>
      <c r="AF419" s="52" t="s">
        <v>5967</v>
      </c>
    </row>
    <row r="420" spans="1:32" ht="30" customHeight="1" x14ac:dyDescent="0.25">
      <c r="A420" s="6" t="s">
        <v>301</v>
      </c>
      <c r="B420" s="7" t="s">
        <v>10</v>
      </c>
      <c r="C420" s="5" t="s">
        <v>5862</v>
      </c>
      <c r="D420" s="7" t="s">
        <v>151</v>
      </c>
      <c r="E420" s="7" t="s">
        <v>50</v>
      </c>
      <c r="F420" s="7" t="s">
        <v>221</v>
      </c>
      <c r="G420" s="5" t="s">
        <v>267</v>
      </c>
      <c r="H420" s="7" t="s">
        <v>52</v>
      </c>
      <c r="I420" s="7" t="s">
        <v>53</v>
      </c>
      <c r="J420" s="5" t="s">
        <v>237</v>
      </c>
      <c r="K420" s="5" t="s">
        <v>45</v>
      </c>
      <c r="L420" s="5" t="s">
        <v>10</v>
      </c>
      <c r="M420" s="5" t="s">
        <v>10</v>
      </c>
      <c r="N420" s="5" t="s">
        <v>10</v>
      </c>
      <c r="O420" s="46" t="s">
        <v>46</v>
      </c>
      <c r="P420" s="101">
        <v>46236</v>
      </c>
      <c r="Q420" s="100">
        <f t="shared" si="77"/>
        <v>46420</v>
      </c>
      <c r="R420" s="5" t="s">
        <v>4760</v>
      </c>
      <c r="S420" s="5" t="s">
        <v>5999</v>
      </c>
      <c r="T420" s="7"/>
      <c r="U420" s="7" t="s">
        <v>10</v>
      </c>
      <c r="V420" s="7">
        <f t="shared" si="78"/>
        <v>0</v>
      </c>
      <c r="W420" s="7">
        <v>0.5</v>
      </c>
      <c r="X420" s="7" t="s">
        <v>55</v>
      </c>
      <c r="Y420" s="7" t="s">
        <v>56</v>
      </c>
      <c r="Z420" s="48" t="str">
        <f t="shared" si="79"/>
        <v>AGUARDANDO CERTIFICADO</v>
      </c>
      <c r="AA420" s="47">
        <v>11606607</v>
      </c>
      <c r="AB420" s="5" t="s">
        <v>4047</v>
      </c>
      <c r="AC420" s="5" t="s">
        <v>48</v>
      </c>
      <c r="AD420" s="5" t="s">
        <v>5530</v>
      </c>
      <c r="AE420" s="5" t="str">
        <f t="shared" ca="1" si="76"/>
        <v>NO PRAZO</v>
      </c>
      <c r="AF420" s="52" t="s">
        <v>5967</v>
      </c>
    </row>
    <row r="421" spans="1:32" ht="30" customHeight="1" x14ac:dyDescent="0.25">
      <c r="A421" s="6" t="s">
        <v>306</v>
      </c>
      <c r="B421" s="7" t="s">
        <v>10</v>
      </c>
      <c r="C421" s="5" t="s">
        <v>5862</v>
      </c>
      <c r="D421" s="7" t="s">
        <v>49</v>
      </c>
      <c r="E421" s="7" t="s">
        <v>50</v>
      </c>
      <c r="F421" s="7" t="s">
        <v>221</v>
      </c>
      <c r="G421" s="5" t="s">
        <v>307</v>
      </c>
      <c r="H421" s="7" t="s">
        <v>52</v>
      </c>
      <c r="I421" s="7" t="s">
        <v>53</v>
      </c>
      <c r="J421" s="5" t="s">
        <v>237</v>
      </c>
      <c r="K421" s="5" t="s">
        <v>45</v>
      </c>
      <c r="L421" s="5" t="s">
        <v>10</v>
      </c>
      <c r="M421" s="5" t="s">
        <v>10</v>
      </c>
      <c r="N421" s="5" t="s">
        <v>10</v>
      </c>
      <c r="O421" s="46" t="s">
        <v>46</v>
      </c>
      <c r="P421" s="101">
        <v>46236</v>
      </c>
      <c r="Q421" s="100">
        <f t="shared" si="77"/>
        <v>46420</v>
      </c>
      <c r="R421" s="5" t="s">
        <v>4761</v>
      </c>
      <c r="S421" s="5" t="s">
        <v>6005</v>
      </c>
      <c r="T421" s="7"/>
      <c r="U421" s="7" t="s">
        <v>10</v>
      </c>
      <c r="V421" s="7">
        <f t="shared" si="78"/>
        <v>0</v>
      </c>
      <c r="W421" s="7">
        <v>0.5</v>
      </c>
      <c r="X421" s="7" t="s">
        <v>55</v>
      </c>
      <c r="Y421" s="7" t="s">
        <v>56</v>
      </c>
      <c r="Z421" s="48" t="str">
        <f t="shared" si="79"/>
        <v>AGUARDANDO CERTIFICADO</v>
      </c>
      <c r="AA421" s="47">
        <v>11606608</v>
      </c>
      <c r="AB421" s="5" t="s">
        <v>4048</v>
      </c>
      <c r="AC421" s="5" t="s">
        <v>48</v>
      </c>
      <c r="AD421" s="5" t="s">
        <v>5632</v>
      </c>
      <c r="AE421" s="5" t="str">
        <f t="shared" ca="1" si="76"/>
        <v>NO PRAZO</v>
      </c>
      <c r="AF421" s="52" t="s">
        <v>5967</v>
      </c>
    </row>
    <row r="422" spans="1:32" ht="30" customHeight="1" x14ac:dyDescent="0.25">
      <c r="A422" s="6" t="s">
        <v>308</v>
      </c>
      <c r="B422" s="7" t="s">
        <v>10</v>
      </c>
      <c r="C422" s="5" t="s">
        <v>5862</v>
      </c>
      <c r="D422" s="7" t="s">
        <v>49</v>
      </c>
      <c r="E422" s="7" t="s">
        <v>50</v>
      </c>
      <c r="F422" s="7" t="s">
        <v>221</v>
      </c>
      <c r="G422" s="5" t="s">
        <v>307</v>
      </c>
      <c r="H422" s="7" t="s">
        <v>52</v>
      </c>
      <c r="I422" s="7" t="s">
        <v>53</v>
      </c>
      <c r="J422" s="5" t="s">
        <v>237</v>
      </c>
      <c r="K422" s="5" t="s">
        <v>45</v>
      </c>
      <c r="L422" s="5" t="s">
        <v>10</v>
      </c>
      <c r="M422" s="5" t="s">
        <v>10</v>
      </c>
      <c r="N422" s="5" t="s">
        <v>10</v>
      </c>
      <c r="O422" s="46" t="s">
        <v>46</v>
      </c>
      <c r="P422" s="101">
        <v>46236</v>
      </c>
      <c r="Q422" s="100">
        <f t="shared" si="77"/>
        <v>46420</v>
      </c>
      <c r="R422" s="5" t="s">
        <v>4926</v>
      </c>
      <c r="S422" s="5" t="s">
        <v>6006</v>
      </c>
      <c r="T422" s="7"/>
      <c r="U422" s="7" t="s">
        <v>10</v>
      </c>
      <c r="V422" s="7">
        <f t="shared" si="78"/>
        <v>0</v>
      </c>
      <c r="W422" s="7">
        <v>0.5</v>
      </c>
      <c r="X422" s="7" t="s">
        <v>55</v>
      </c>
      <c r="Y422" s="7" t="s">
        <v>56</v>
      </c>
      <c r="Z422" s="48" t="str">
        <f t="shared" si="79"/>
        <v>AGUARDANDO CERTIFICADO</v>
      </c>
      <c r="AA422" s="47">
        <v>11606609</v>
      </c>
      <c r="AB422" s="5" t="s">
        <v>4049</v>
      </c>
      <c r="AC422" s="5" t="s">
        <v>48</v>
      </c>
      <c r="AD422" s="5" t="s">
        <v>5632</v>
      </c>
      <c r="AE422" s="5" t="str">
        <f t="shared" ca="1" si="76"/>
        <v>NO PRAZO</v>
      </c>
      <c r="AF422" s="52" t="s">
        <v>5967</v>
      </c>
    </row>
    <row r="423" spans="1:32" ht="30" customHeight="1" x14ac:dyDescent="0.25">
      <c r="A423" s="9" t="s">
        <v>352</v>
      </c>
      <c r="B423" s="5" t="s">
        <v>10</v>
      </c>
      <c r="C423" s="5" t="s">
        <v>5862</v>
      </c>
      <c r="D423" s="7" t="s">
        <v>353</v>
      </c>
      <c r="E423" s="7" t="s">
        <v>40</v>
      </c>
      <c r="F423" s="7" t="s">
        <v>354</v>
      </c>
      <c r="G423" s="61" t="s">
        <v>355</v>
      </c>
      <c r="H423" s="61" t="s">
        <v>3458</v>
      </c>
      <c r="I423" s="5" t="s">
        <v>360</v>
      </c>
      <c r="J423" s="5" t="s">
        <v>357</v>
      </c>
      <c r="K423" s="5" t="s">
        <v>45</v>
      </c>
      <c r="L423" s="5" t="s">
        <v>10</v>
      </c>
      <c r="M423" s="5" t="s">
        <v>10</v>
      </c>
      <c r="N423" s="5" t="s">
        <v>10</v>
      </c>
      <c r="O423" s="46" t="s">
        <v>46</v>
      </c>
      <c r="P423" s="99">
        <v>46102</v>
      </c>
      <c r="Q423" s="100">
        <f t="shared" ref="Q423:Q456" si="80">IF(P423="","",P423+184)</f>
        <v>46286</v>
      </c>
      <c r="R423" s="63" t="s">
        <v>3443</v>
      </c>
      <c r="S423" s="63" t="s">
        <v>5088</v>
      </c>
      <c r="T423" s="7">
        <v>0.25800000000000001</v>
      </c>
      <c r="U423" s="5" t="s">
        <v>10</v>
      </c>
      <c r="V423" s="7">
        <f t="shared" si="78"/>
        <v>0.25800000000000001</v>
      </c>
      <c r="W423" s="5">
        <v>0.5</v>
      </c>
      <c r="X423" s="5" t="s">
        <v>55</v>
      </c>
      <c r="Y423" s="7" t="s">
        <v>56</v>
      </c>
      <c r="Z423" s="48" t="str">
        <f t="shared" si="79"/>
        <v>APROVADO</v>
      </c>
      <c r="AA423" s="47">
        <v>11597079</v>
      </c>
      <c r="AB423" s="5" t="s">
        <v>2592</v>
      </c>
      <c r="AC423" s="5" t="s">
        <v>48</v>
      </c>
      <c r="AD423" s="5" t="s">
        <v>5530</v>
      </c>
      <c r="AE423" s="5" t="str">
        <f t="shared" ca="1" si="76"/>
        <v>NO PRAZO</v>
      </c>
      <c r="AF423" s="49"/>
    </row>
    <row r="424" spans="1:32" ht="30" customHeight="1" x14ac:dyDescent="0.25">
      <c r="A424" s="9" t="s">
        <v>362</v>
      </c>
      <c r="B424" s="5" t="s">
        <v>10</v>
      </c>
      <c r="C424" s="5" t="s">
        <v>5862</v>
      </c>
      <c r="D424" s="7" t="s">
        <v>353</v>
      </c>
      <c r="E424" s="7" t="s">
        <v>40</v>
      </c>
      <c r="F424" s="7" t="s">
        <v>354</v>
      </c>
      <c r="G424" s="61" t="s">
        <v>355</v>
      </c>
      <c r="H424" s="61" t="s">
        <v>356</v>
      </c>
      <c r="I424" s="61" t="s">
        <v>360</v>
      </c>
      <c r="J424" s="5" t="s">
        <v>357</v>
      </c>
      <c r="K424" s="5" t="s">
        <v>45</v>
      </c>
      <c r="L424" s="5" t="s">
        <v>10</v>
      </c>
      <c r="M424" s="5" t="s">
        <v>10</v>
      </c>
      <c r="N424" s="5" t="s">
        <v>10</v>
      </c>
      <c r="O424" s="46" t="s">
        <v>46</v>
      </c>
      <c r="P424" s="99">
        <v>46102</v>
      </c>
      <c r="Q424" s="100">
        <f t="shared" si="80"/>
        <v>46286</v>
      </c>
      <c r="R424" s="63" t="s">
        <v>3444</v>
      </c>
      <c r="S424" s="63" t="s">
        <v>5089</v>
      </c>
      <c r="T424" s="7">
        <v>0.26300000000000001</v>
      </c>
      <c r="U424" s="5" t="s">
        <v>10</v>
      </c>
      <c r="V424" s="7">
        <f t="shared" si="78"/>
        <v>0.26300000000000001</v>
      </c>
      <c r="W424" s="5">
        <v>0.5</v>
      </c>
      <c r="X424" s="5" t="s">
        <v>55</v>
      </c>
      <c r="Y424" s="7" t="s">
        <v>56</v>
      </c>
      <c r="Z424" s="48" t="str">
        <f t="shared" si="79"/>
        <v>APROVADO</v>
      </c>
      <c r="AA424" s="47">
        <v>11597080</v>
      </c>
      <c r="AB424" s="5" t="s">
        <v>2594</v>
      </c>
      <c r="AC424" s="5" t="s">
        <v>48</v>
      </c>
      <c r="AD424" s="5" t="s">
        <v>5530</v>
      </c>
      <c r="AE424" s="5" t="str">
        <f t="shared" ca="1" si="76"/>
        <v>NO PRAZO</v>
      </c>
      <c r="AF424" s="49"/>
    </row>
    <row r="425" spans="1:32" ht="30" customHeight="1" x14ac:dyDescent="0.25">
      <c r="A425" s="9" t="s">
        <v>364</v>
      </c>
      <c r="B425" s="5" t="s">
        <v>10</v>
      </c>
      <c r="C425" s="5" t="s">
        <v>5862</v>
      </c>
      <c r="D425" s="7" t="s">
        <v>5700</v>
      </c>
      <c r="E425" s="7" t="s">
        <v>40</v>
      </c>
      <c r="F425" s="7" t="s">
        <v>354</v>
      </c>
      <c r="G425" s="61" t="s">
        <v>355</v>
      </c>
      <c r="H425" s="61" t="s">
        <v>374</v>
      </c>
      <c r="I425" s="5" t="s">
        <v>104</v>
      </c>
      <c r="J425" s="5" t="s">
        <v>357</v>
      </c>
      <c r="K425" s="5" t="s">
        <v>45</v>
      </c>
      <c r="L425" s="5" t="s">
        <v>10</v>
      </c>
      <c r="M425" s="5" t="s">
        <v>10</v>
      </c>
      <c r="N425" s="5" t="s">
        <v>10</v>
      </c>
      <c r="O425" s="46" t="s">
        <v>46</v>
      </c>
      <c r="P425" s="99">
        <v>46102</v>
      </c>
      <c r="Q425" s="100">
        <f t="shared" si="80"/>
        <v>46286</v>
      </c>
      <c r="R425" s="63" t="s">
        <v>3422</v>
      </c>
      <c r="S425" s="63" t="s">
        <v>5090</v>
      </c>
      <c r="T425" s="7">
        <v>0.31</v>
      </c>
      <c r="U425" s="5" t="s">
        <v>10</v>
      </c>
      <c r="V425" s="7">
        <f t="shared" si="78"/>
        <v>0.31</v>
      </c>
      <c r="W425" s="5">
        <v>0.5</v>
      </c>
      <c r="X425" s="5" t="s">
        <v>55</v>
      </c>
      <c r="Y425" s="7" t="s">
        <v>56</v>
      </c>
      <c r="Z425" s="48" t="str">
        <f t="shared" si="79"/>
        <v>APROVADO</v>
      </c>
      <c r="AA425" s="47">
        <v>11603050</v>
      </c>
      <c r="AB425" s="5" t="s">
        <v>2596</v>
      </c>
      <c r="AC425" s="5" t="s">
        <v>48</v>
      </c>
      <c r="AD425" s="5" t="s">
        <v>5530</v>
      </c>
      <c r="AE425" s="5" t="str">
        <f t="shared" ca="1" si="76"/>
        <v>NO PRAZO</v>
      </c>
      <c r="AF425" s="49"/>
    </row>
    <row r="426" spans="1:32" ht="30" customHeight="1" x14ac:dyDescent="0.25">
      <c r="A426" s="7" t="s">
        <v>1568</v>
      </c>
      <c r="B426" s="5" t="s">
        <v>10</v>
      </c>
      <c r="C426" s="5" t="s">
        <v>5863</v>
      </c>
      <c r="D426" s="7" t="s">
        <v>365</v>
      </c>
      <c r="E426" s="7" t="s">
        <v>40</v>
      </c>
      <c r="F426" s="7" t="s">
        <v>644</v>
      </c>
      <c r="G426" s="7" t="s">
        <v>1492</v>
      </c>
      <c r="H426" s="7" t="s">
        <v>92</v>
      </c>
      <c r="I426" s="7" t="s">
        <v>121</v>
      </c>
      <c r="J426" s="7" t="s">
        <v>587</v>
      </c>
      <c r="K426" s="5" t="s">
        <v>10</v>
      </c>
      <c r="L426" s="5" t="s">
        <v>10</v>
      </c>
      <c r="M426" s="5" t="s">
        <v>10</v>
      </c>
      <c r="N426" s="5" t="s">
        <v>45</v>
      </c>
      <c r="O426" s="46" t="s">
        <v>46</v>
      </c>
      <c r="P426" s="101">
        <v>46103</v>
      </c>
      <c r="Q426" s="100">
        <f t="shared" si="80"/>
        <v>46287</v>
      </c>
      <c r="R426" s="5" t="s">
        <v>3395</v>
      </c>
      <c r="S426" s="5" t="s">
        <v>5135</v>
      </c>
      <c r="T426" s="7">
        <v>0.34300000000000003</v>
      </c>
      <c r="U426" s="7" t="s">
        <v>10</v>
      </c>
      <c r="V426" s="7">
        <f t="shared" si="78"/>
        <v>0.34300000000000003</v>
      </c>
      <c r="W426" s="7">
        <v>0.5</v>
      </c>
      <c r="X426" s="7" t="s">
        <v>55</v>
      </c>
      <c r="Y426" s="7" t="s">
        <v>56</v>
      </c>
      <c r="Z426" s="48" t="str">
        <f t="shared" si="79"/>
        <v>APROVADO</v>
      </c>
      <c r="AA426" s="47">
        <v>11595553</v>
      </c>
      <c r="AB426" s="5" t="s">
        <v>2657</v>
      </c>
      <c r="AC426" s="5" t="s">
        <v>48</v>
      </c>
      <c r="AD426" s="5" t="s">
        <v>5530</v>
      </c>
      <c r="AE426" s="5" t="str">
        <f t="shared" ca="1" si="76"/>
        <v>NO PRAZO</v>
      </c>
      <c r="AF426" s="51"/>
    </row>
    <row r="427" spans="1:32" ht="30" customHeight="1" x14ac:dyDescent="0.25">
      <c r="A427" s="7" t="s">
        <v>1569</v>
      </c>
      <c r="B427" s="5" t="s">
        <v>10</v>
      </c>
      <c r="C427" s="5" t="s">
        <v>5863</v>
      </c>
      <c r="D427" s="7" t="s">
        <v>365</v>
      </c>
      <c r="E427" s="7" t="s">
        <v>40</v>
      </c>
      <c r="F427" s="7" t="s">
        <v>644</v>
      </c>
      <c r="G427" s="7" t="s">
        <v>1492</v>
      </c>
      <c r="H427" s="7" t="s">
        <v>92</v>
      </c>
      <c r="I427" s="7" t="s">
        <v>121</v>
      </c>
      <c r="J427" s="7" t="s">
        <v>587</v>
      </c>
      <c r="K427" s="5" t="s">
        <v>10</v>
      </c>
      <c r="L427" s="5" t="s">
        <v>10</v>
      </c>
      <c r="M427" s="5" t="s">
        <v>10</v>
      </c>
      <c r="N427" s="5" t="s">
        <v>45</v>
      </c>
      <c r="O427" s="46" t="s">
        <v>46</v>
      </c>
      <c r="P427" s="101">
        <v>46103</v>
      </c>
      <c r="Q427" s="100">
        <f t="shared" si="80"/>
        <v>46287</v>
      </c>
      <c r="R427" s="5" t="s">
        <v>3396</v>
      </c>
      <c r="S427" s="5" t="s">
        <v>5136</v>
      </c>
      <c r="T427" s="7">
        <v>0.33900000000000002</v>
      </c>
      <c r="U427" s="7" t="s">
        <v>10</v>
      </c>
      <c r="V427" s="7">
        <f t="shared" si="78"/>
        <v>0.33900000000000002</v>
      </c>
      <c r="W427" s="7">
        <v>0.5</v>
      </c>
      <c r="X427" s="7" t="s">
        <v>55</v>
      </c>
      <c r="Y427" s="7" t="s">
        <v>56</v>
      </c>
      <c r="Z427" s="48" t="str">
        <f t="shared" si="79"/>
        <v>APROVADO</v>
      </c>
      <c r="AA427" s="47">
        <v>11595554</v>
      </c>
      <c r="AB427" s="5" t="s">
        <v>2658</v>
      </c>
      <c r="AC427" s="5" t="s">
        <v>48</v>
      </c>
      <c r="AD427" s="5" t="s">
        <v>5530</v>
      </c>
      <c r="AE427" s="5" t="str">
        <f t="shared" ca="1" si="76"/>
        <v>NO PRAZO</v>
      </c>
      <c r="AF427" s="51"/>
    </row>
    <row r="428" spans="1:32" ht="30" customHeight="1" x14ac:dyDescent="0.25">
      <c r="A428" s="7" t="s">
        <v>1571</v>
      </c>
      <c r="B428" s="5" t="s">
        <v>10</v>
      </c>
      <c r="C428" s="5" t="s">
        <v>5863</v>
      </c>
      <c r="D428" s="7" t="s">
        <v>365</v>
      </c>
      <c r="E428" s="7" t="s">
        <v>40</v>
      </c>
      <c r="F428" s="7" t="s">
        <v>644</v>
      </c>
      <c r="G428" s="7" t="s">
        <v>1495</v>
      </c>
      <c r="H428" s="7" t="s">
        <v>92</v>
      </c>
      <c r="I428" s="7" t="s">
        <v>121</v>
      </c>
      <c r="J428" s="7" t="s">
        <v>587</v>
      </c>
      <c r="K428" s="5" t="s">
        <v>10</v>
      </c>
      <c r="L428" s="5" t="s">
        <v>10</v>
      </c>
      <c r="M428" s="5" t="s">
        <v>10</v>
      </c>
      <c r="N428" s="5" t="s">
        <v>45</v>
      </c>
      <c r="O428" s="46" t="s">
        <v>46</v>
      </c>
      <c r="P428" s="101">
        <v>46103</v>
      </c>
      <c r="Q428" s="100">
        <f t="shared" si="80"/>
        <v>46287</v>
      </c>
      <c r="R428" s="5" t="s">
        <v>3397</v>
      </c>
      <c r="S428" s="5" t="s">
        <v>5137</v>
      </c>
      <c r="T428" s="7">
        <v>0.27100000000000002</v>
      </c>
      <c r="U428" s="7" t="s">
        <v>10</v>
      </c>
      <c r="V428" s="7">
        <f t="shared" si="78"/>
        <v>0.27100000000000002</v>
      </c>
      <c r="W428" s="7">
        <v>0.5</v>
      </c>
      <c r="X428" s="7" t="s">
        <v>55</v>
      </c>
      <c r="Y428" s="7" t="s">
        <v>56</v>
      </c>
      <c r="Z428" s="48" t="str">
        <f t="shared" si="79"/>
        <v>APROVADO</v>
      </c>
      <c r="AA428" s="47">
        <v>11595555</v>
      </c>
      <c r="AB428" s="5" t="s">
        <v>2659</v>
      </c>
      <c r="AC428" s="5" t="s">
        <v>48</v>
      </c>
      <c r="AD428" s="5" t="s">
        <v>5530</v>
      </c>
      <c r="AE428" s="5" t="str">
        <f t="shared" ca="1" si="76"/>
        <v>NO PRAZO</v>
      </c>
      <c r="AF428" s="51"/>
    </row>
    <row r="429" spans="1:32" ht="30" customHeight="1" x14ac:dyDescent="0.25">
      <c r="A429" s="7" t="s">
        <v>1574</v>
      </c>
      <c r="B429" s="5" t="s">
        <v>10</v>
      </c>
      <c r="C429" s="5" t="s">
        <v>5863</v>
      </c>
      <c r="D429" s="7" t="s">
        <v>365</v>
      </c>
      <c r="E429" s="7" t="s">
        <v>40</v>
      </c>
      <c r="F429" s="7" t="s">
        <v>644</v>
      </c>
      <c r="G429" s="7" t="s">
        <v>1498</v>
      </c>
      <c r="H429" s="7" t="s">
        <v>92</v>
      </c>
      <c r="I429" s="7" t="s">
        <v>121</v>
      </c>
      <c r="J429" s="7" t="s">
        <v>587</v>
      </c>
      <c r="K429" s="5" t="s">
        <v>10</v>
      </c>
      <c r="L429" s="5" t="s">
        <v>10</v>
      </c>
      <c r="M429" s="5" t="s">
        <v>10</v>
      </c>
      <c r="N429" s="5" t="s">
        <v>45</v>
      </c>
      <c r="O429" s="46" t="s">
        <v>46</v>
      </c>
      <c r="P429" s="101">
        <v>46103</v>
      </c>
      <c r="Q429" s="100">
        <f t="shared" si="80"/>
        <v>46287</v>
      </c>
      <c r="R429" s="5" t="s">
        <v>3398</v>
      </c>
      <c r="S429" s="5" t="s">
        <v>5138</v>
      </c>
      <c r="T429" s="7">
        <v>0.313</v>
      </c>
      <c r="U429" s="7" t="s">
        <v>10</v>
      </c>
      <c r="V429" s="7">
        <f t="shared" si="78"/>
        <v>0.313</v>
      </c>
      <c r="W429" s="7">
        <v>0.5</v>
      </c>
      <c r="X429" s="7" t="s">
        <v>55</v>
      </c>
      <c r="Y429" s="7" t="s">
        <v>56</v>
      </c>
      <c r="Z429" s="48" t="str">
        <f t="shared" si="79"/>
        <v>APROVADO</v>
      </c>
      <c r="AA429" s="47">
        <v>11540928</v>
      </c>
      <c r="AB429" s="5" t="s">
        <v>2661</v>
      </c>
      <c r="AC429" s="5" t="s">
        <v>48</v>
      </c>
      <c r="AD429" s="5" t="s">
        <v>5530</v>
      </c>
      <c r="AE429" s="5" t="str">
        <f t="shared" ca="1" si="76"/>
        <v>NO PRAZO</v>
      </c>
      <c r="AF429" s="51"/>
    </row>
    <row r="430" spans="1:32" ht="30" customHeight="1" x14ac:dyDescent="0.25">
      <c r="A430" s="7" t="s">
        <v>1575</v>
      </c>
      <c r="B430" s="5" t="s">
        <v>10</v>
      </c>
      <c r="C430" s="5" t="s">
        <v>5863</v>
      </c>
      <c r="D430" s="7" t="s">
        <v>365</v>
      </c>
      <c r="E430" s="7" t="s">
        <v>40</v>
      </c>
      <c r="F430" s="7" t="s">
        <v>644</v>
      </c>
      <c r="G430" s="7" t="s">
        <v>1498</v>
      </c>
      <c r="H430" s="7" t="s">
        <v>92</v>
      </c>
      <c r="I430" s="7" t="s">
        <v>115</v>
      </c>
      <c r="J430" s="7" t="s">
        <v>587</v>
      </c>
      <c r="K430" s="5" t="s">
        <v>10</v>
      </c>
      <c r="L430" s="5" t="s">
        <v>10</v>
      </c>
      <c r="M430" s="5" t="s">
        <v>10</v>
      </c>
      <c r="N430" s="5" t="s">
        <v>45</v>
      </c>
      <c r="O430" s="46" t="s">
        <v>46</v>
      </c>
      <c r="P430" s="101">
        <v>46103</v>
      </c>
      <c r="Q430" s="100">
        <f t="shared" si="80"/>
        <v>46287</v>
      </c>
      <c r="R430" s="5" t="s">
        <v>3399</v>
      </c>
      <c r="S430" s="5" t="s">
        <v>5139</v>
      </c>
      <c r="T430" s="7">
        <v>0.22800000000000001</v>
      </c>
      <c r="U430" s="7" t="s">
        <v>10</v>
      </c>
      <c r="V430" s="7">
        <f t="shared" si="78"/>
        <v>0.22800000000000001</v>
      </c>
      <c r="W430" s="7">
        <v>0.5</v>
      </c>
      <c r="X430" s="7" t="s">
        <v>55</v>
      </c>
      <c r="Y430" s="7" t="s">
        <v>56</v>
      </c>
      <c r="Z430" s="48" t="str">
        <f t="shared" si="79"/>
        <v>APROVADO</v>
      </c>
      <c r="AA430" s="47">
        <v>11595557</v>
      </c>
      <c r="AB430" s="5" t="s">
        <v>2662</v>
      </c>
      <c r="AC430" s="5" t="s">
        <v>48</v>
      </c>
      <c r="AD430" s="5" t="s">
        <v>5530</v>
      </c>
      <c r="AE430" s="5" t="str">
        <f t="shared" ca="1" si="76"/>
        <v>NO PRAZO</v>
      </c>
      <c r="AF430" s="51"/>
    </row>
    <row r="431" spans="1:32" ht="30" customHeight="1" x14ac:dyDescent="0.25">
      <c r="A431" s="7" t="s">
        <v>1576</v>
      </c>
      <c r="B431" s="5" t="s">
        <v>10</v>
      </c>
      <c r="C431" s="5" t="s">
        <v>5863</v>
      </c>
      <c r="D431" s="7" t="s">
        <v>365</v>
      </c>
      <c r="E431" s="7" t="s">
        <v>40</v>
      </c>
      <c r="F431" s="7" t="s">
        <v>644</v>
      </c>
      <c r="G431" s="7" t="s">
        <v>1501</v>
      </c>
      <c r="H431" s="7" t="s">
        <v>92</v>
      </c>
      <c r="I431" s="7" t="s">
        <v>121</v>
      </c>
      <c r="J431" s="7" t="s">
        <v>587</v>
      </c>
      <c r="K431" s="5" t="s">
        <v>10</v>
      </c>
      <c r="L431" s="5" t="s">
        <v>10</v>
      </c>
      <c r="M431" s="5" t="s">
        <v>10</v>
      </c>
      <c r="N431" s="5" t="s">
        <v>45</v>
      </c>
      <c r="O431" s="46" t="s">
        <v>46</v>
      </c>
      <c r="P431" s="101">
        <v>46103</v>
      </c>
      <c r="Q431" s="100">
        <f t="shared" si="80"/>
        <v>46287</v>
      </c>
      <c r="R431" s="5" t="s">
        <v>3400</v>
      </c>
      <c r="S431" s="5" t="s">
        <v>5140</v>
      </c>
      <c r="T431" s="7">
        <v>0.31</v>
      </c>
      <c r="U431" s="7" t="s">
        <v>10</v>
      </c>
      <c r="V431" s="7">
        <f t="shared" si="78"/>
        <v>0.31</v>
      </c>
      <c r="W431" s="7">
        <v>0.5</v>
      </c>
      <c r="X431" s="7" t="s">
        <v>55</v>
      </c>
      <c r="Y431" s="7" t="s">
        <v>56</v>
      </c>
      <c r="Z431" s="48" t="str">
        <f t="shared" si="79"/>
        <v>APROVADO</v>
      </c>
      <c r="AA431" s="47">
        <v>11540926</v>
      </c>
      <c r="AB431" s="5" t="s">
        <v>2663</v>
      </c>
      <c r="AC431" s="5" t="s">
        <v>48</v>
      </c>
      <c r="AD431" s="5" t="s">
        <v>5530</v>
      </c>
      <c r="AE431" s="5" t="str">
        <f t="shared" ref="AE431:AE462" ca="1" si="81">IFERROR(IF(OR(AND(YEAR(Q431)=YEAR(TODAY()),MONTH(Q431)&gt;MONTH(TODAY())),(YEAR(Q431)&gt;YEAR(TODAY()))),$AK$4,IF(AND(YEAR(Q431)=YEAR(TODAY()),MONTH(Q431)=MONTH(TODAY())),$AK$5,IF(Q431="",$AK$6,$AK$7))),"-")</f>
        <v>NO PRAZO</v>
      </c>
      <c r="AF431" s="51"/>
    </row>
    <row r="432" spans="1:32" ht="30" customHeight="1" x14ac:dyDescent="0.25">
      <c r="A432" s="7" t="s">
        <v>1578</v>
      </c>
      <c r="B432" s="7" t="s">
        <v>10</v>
      </c>
      <c r="C432" s="5" t="s">
        <v>5863</v>
      </c>
      <c r="D432" s="7" t="s">
        <v>365</v>
      </c>
      <c r="E432" s="7" t="s">
        <v>40</v>
      </c>
      <c r="F432" s="7" t="s">
        <v>644</v>
      </c>
      <c r="G432" s="7" t="s">
        <v>1504</v>
      </c>
      <c r="H432" s="7" t="s">
        <v>92</v>
      </c>
      <c r="I432" s="7" t="s">
        <v>121</v>
      </c>
      <c r="J432" s="7" t="s">
        <v>587</v>
      </c>
      <c r="K432" s="5" t="s">
        <v>10</v>
      </c>
      <c r="L432" s="5" t="s">
        <v>10</v>
      </c>
      <c r="M432" s="5" t="s">
        <v>10</v>
      </c>
      <c r="N432" s="5" t="s">
        <v>45</v>
      </c>
      <c r="O432" s="46" t="s">
        <v>46</v>
      </c>
      <c r="P432" s="101">
        <v>46103</v>
      </c>
      <c r="Q432" s="100">
        <f t="shared" si="80"/>
        <v>46287</v>
      </c>
      <c r="R432" s="5" t="s">
        <v>3401</v>
      </c>
      <c r="S432" s="5" t="s">
        <v>5141</v>
      </c>
      <c r="T432" s="7">
        <v>0.27300000000000002</v>
      </c>
      <c r="U432" s="7" t="s">
        <v>10</v>
      </c>
      <c r="V432" s="7">
        <f t="shared" si="78"/>
        <v>0.27300000000000002</v>
      </c>
      <c r="W432" s="7">
        <v>0.5</v>
      </c>
      <c r="X432" s="7" t="s">
        <v>55</v>
      </c>
      <c r="Y432" s="7" t="s">
        <v>56</v>
      </c>
      <c r="Z432" s="48" t="str">
        <f t="shared" si="79"/>
        <v>APROVADO</v>
      </c>
      <c r="AA432" s="47">
        <v>11542305</v>
      </c>
      <c r="AB432" s="5" t="s">
        <v>2665</v>
      </c>
      <c r="AC432" s="5" t="s">
        <v>48</v>
      </c>
      <c r="AD432" s="5" t="s">
        <v>5530</v>
      </c>
      <c r="AE432" s="5" t="str">
        <f t="shared" ca="1" si="81"/>
        <v>NO PRAZO</v>
      </c>
      <c r="AF432" s="51"/>
    </row>
    <row r="433" spans="1:32" ht="30" customHeight="1" x14ac:dyDescent="0.25">
      <c r="A433" s="7" t="s">
        <v>1577</v>
      </c>
      <c r="B433" s="5" t="s">
        <v>10</v>
      </c>
      <c r="C433" s="5" t="s">
        <v>5863</v>
      </c>
      <c r="D433" s="7" t="s">
        <v>365</v>
      </c>
      <c r="E433" s="7" t="s">
        <v>40</v>
      </c>
      <c r="F433" s="7" t="s">
        <v>644</v>
      </c>
      <c r="G433" s="7" t="s">
        <v>1501</v>
      </c>
      <c r="H433" s="7" t="s">
        <v>92</v>
      </c>
      <c r="I433" s="7" t="s">
        <v>121</v>
      </c>
      <c r="J433" s="7" t="s">
        <v>587</v>
      </c>
      <c r="K433" s="5" t="s">
        <v>10</v>
      </c>
      <c r="L433" s="5" t="s">
        <v>10</v>
      </c>
      <c r="M433" s="5" t="s">
        <v>10</v>
      </c>
      <c r="N433" s="5" t="s">
        <v>45</v>
      </c>
      <c r="O433" s="46" t="s">
        <v>46</v>
      </c>
      <c r="P433" s="101">
        <v>46103</v>
      </c>
      <c r="Q433" s="100">
        <f t="shared" si="80"/>
        <v>46287</v>
      </c>
      <c r="R433" s="5" t="s">
        <v>3402</v>
      </c>
      <c r="S433" s="5" t="s">
        <v>5142</v>
      </c>
      <c r="T433" s="7">
        <v>0.26500000000000001</v>
      </c>
      <c r="U433" s="7" t="s">
        <v>10</v>
      </c>
      <c r="V433" s="7">
        <f t="shared" si="78"/>
        <v>0.26500000000000001</v>
      </c>
      <c r="W433" s="7">
        <v>0.5</v>
      </c>
      <c r="X433" s="7" t="s">
        <v>55</v>
      </c>
      <c r="Y433" s="7" t="s">
        <v>56</v>
      </c>
      <c r="Z433" s="48" t="str">
        <f t="shared" si="79"/>
        <v>APROVADO</v>
      </c>
      <c r="AA433" s="47">
        <v>11595558</v>
      </c>
      <c r="AB433" s="5" t="s">
        <v>2664</v>
      </c>
      <c r="AC433" s="5" t="s">
        <v>48</v>
      </c>
      <c r="AD433" s="5" t="s">
        <v>5530</v>
      </c>
      <c r="AE433" s="5" t="str">
        <f t="shared" ca="1" si="81"/>
        <v>NO PRAZO</v>
      </c>
      <c r="AF433" s="51"/>
    </row>
    <row r="434" spans="1:32" ht="30" customHeight="1" x14ac:dyDescent="0.25">
      <c r="A434" s="7" t="s">
        <v>1580</v>
      </c>
      <c r="B434" s="5" t="s">
        <v>10</v>
      </c>
      <c r="C434" s="5" t="s">
        <v>5863</v>
      </c>
      <c r="D434" s="7" t="s">
        <v>365</v>
      </c>
      <c r="E434" s="7" t="s">
        <v>40</v>
      </c>
      <c r="F434" s="7" t="s">
        <v>644</v>
      </c>
      <c r="G434" s="7" t="s">
        <v>1507</v>
      </c>
      <c r="H434" s="7" t="s">
        <v>92</v>
      </c>
      <c r="I434" s="7" t="s">
        <v>121</v>
      </c>
      <c r="J434" s="7" t="s">
        <v>587</v>
      </c>
      <c r="K434" s="5" t="s">
        <v>10</v>
      </c>
      <c r="L434" s="5" t="s">
        <v>10</v>
      </c>
      <c r="M434" s="5" t="s">
        <v>10</v>
      </c>
      <c r="N434" s="5" t="s">
        <v>45</v>
      </c>
      <c r="O434" s="46" t="s">
        <v>46</v>
      </c>
      <c r="P434" s="101">
        <v>46103</v>
      </c>
      <c r="Q434" s="100">
        <f t="shared" si="80"/>
        <v>46287</v>
      </c>
      <c r="R434" s="5" t="s">
        <v>3403</v>
      </c>
      <c r="S434" s="5" t="s">
        <v>5143</v>
      </c>
      <c r="T434" s="7">
        <v>0.27600000000000002</v>
      </c>
      <c r="U434" s="7" t="s">
        <v>10</v>
      </c>
      <c r="V434" s="7">
        <f t="shared" si="78"/>
        <v>0.27600000000000002</v>
      </c>
      <c r="W434" s="7">
        <v>0.5</v>
      </c>
      <c r="X434" s="7" t="s">
        <v>55</v>
      </c>
      <c r="Y434" s="7" t="s">
        <v>56</v>
      </c>
      <c r="Z434" s="48" t="str">
        <f t="shared" si="79"/>
        <v>APROVADO</v>
      </c>
      <c r="AA434" s="47">
        <v>11540929</v>
      </c>
      <c r="AB434" s="5" t="s">
        <v>2667</v>
      </c>
      <c r="AC434" s="5" t="s">
        <v>48</v>
      </c>
      <c r="AD434" s="5" t="s">
        <v>5530</v>
      </c>
      <c r="AE434" s="5" t="str">
        <f t="shared" ca="1" si="81"/>
        <v>NO PRAZO</v>
      </c>
      <c r="AF434" s="51"/>
    </row>
    <row r="435" spans="1:32" ht="30" customHeight="1" x14ac:dyDescent="0.25">
      <c r="A435" s="7" t="s">
        <v>1581</v>
      </c>
      <c r="B435" s="5" t="s">
        <v>10</v>
      </c>
      <c r="C435" s="5" t="s">
        <v>5863</v>
      </c>
      <c r="D435" s="7" t="s">
        <v>365</v>
      </c>
      <c r="E435" s="7" t="s">
        <v>40</v>
      </c>
      <c r="F435" s="7" t="s">
        <v>644</v>
      </c>
      <c r="G435" s="7" t="s">
        <v>1507</v>
      </c>
      <c r="H435" s="7" t="s">
        <v>92</v>
      </c>
      <c r="I435" s="7" t="s">
        <v>104</v>
      </c>
      <c r="J435" s="7" t="s">
        <v>587</v>
      </c>
      <c r="K435" s="5" t="s">
        <v>10</v>
      </c>
      <c r="L435" s="5" t="s">
        <v>10</v>
      </c>
      <c r="M435" s="5" t="s">
        <v>10</v>
      </c>
      <c r="N435" s="5" t="s">
        <v>45</v>
      </c>
      <c r="O435" s="46" t="s">
        <v>46</v>
      </c>
      <c r="P435" s="101">
        <v>46103</v>
      </c>
      <c r="Q435" s="100">
        <f t="shared" si="80"/>
        <v>46287</v>
      </c>
      <c r="R435" s="5" t="s">
        <v>3404</v>
      </c>
      <c r="S435" s="5" t="s">
        <v>5144</v>
      </c>
      <c r="T435" s="7">
        <v>0.29599999999999999</v>
      </c>
      <c r="U435" s="7" t="s">
        <v>10</v>
      </c>
      <c r="V435" s="7">
        <f t="shared" si="78"/>
        <v>0.29599999999999999</v>
      </c>
      <c r="W435" s="7">
        <v>0.5</v>
      </c>
      <c r="X435" s="7" t="s">
        <v>55</v>
      </c>
      <c r="Y435" s="7" t="s">
        <v>56</v>
      </c>
      <c r="Z435" s="48" t="str">
        <f t="shared" si="79"/>
        <v>APROVADO</v>
      </c>
      <c r="AA435" s="47">
        <v>11595561</v>
      </c>
      <c r="AB435" s="5" t="s">
        <v>2668</v>
      </c>
      <c r="AC435" s="5" t="s">
        <v>48</v>
      </c>
      <c r="AD435" s="5" t="s">
        <v>5530</v>
      </c>
      <c r="AE435" s="5" t="str">
        <f t="shared" ca="1" si="81"/>
        <v>NO PRAZO</v>
      </c>
      <c r="AF435" s="51"/>
    </row>
    <row r="436" spans="1:32" ht="30" customHeight="1" x14ac:dyDescent="0.25">
      <c r="A436" s="7" t="s">
        <v>1582</v>
      </c>
      <c r="B436" s="5" t="s">
        <v>10</v>
      </c>
      <c r="C436" s="5" t="s">
        <v>5863</v>
      </c>
      <c r="D436" s="7" t="s">
        <v>365</v>
      </c>
      <c r="E436" s="7" t="s">
        <v>40</v>
      </c>
      <c r="F436" s="7" t="s">
        <v>644</v>
      </c>
      <c r="G436" s="7" t="s">
        <v>1511</v>
      </c>
      <c r="H436" s="7" t="s">
        <v>92</v>
      </c>
      <c r="I436" s="7" t="s">
        <v>121</v>
      </c>
      <c r="J436" s="7" t="s">
        <v>587</v>
      </c>
      <c r="K436" s="5" t="s">
        <v>10</v>
      </c>
      <c r="L436" s="5" t="s">
        <v>10</v>
      </c>
      <c r="M436" s="5" t="s">
        <v>10</v>
      </c>
      <c r="N436" s="5" t="s">
        <v>45</v>
      </c>
      <c r="O436" s="46" t="s">
        <v>46</v>
      </c>
      <c r="P436" s="101">
        <v>46103</v>
      </c>
      <c r="Q436" s="100">
        <f t="shared" si="80"/>
        <v>46287</v>
      </c>
      <c r="R436" s="5" t="s">
        <v>3405</v>
      </c>
      <c r="S436" s="5" t="s">
        <v>5145</v>
      </c>
      <c r="T436" s="7">
        <v>0.246</v>
      </c>
      <c r="U436" s="7" t="s">
        <v>10</v>
      </c>
      <c r="V436" s="7">
        <f t="shared" si="78"/>
        <v>0.246</v>
      </c>
      <c r="W436" s="7">
        <v>0.5</v>
      </c>
      <c r="X436" s="7" t="s">
        <v>55</v>
      </c>
      <c r="Y436" s="7" t="s">
        <v>56</v>
      </c>
      <c r="Z436" s="48" t="str">
        <f t="shared" si="79"/>
        <v>APROVADO</v>
      </c>
      <c r="AA436" s="47">
        <v>11595562</v>
      </c>
      <c r="AB436" s="5" t="s">
        <v>2669</v>
      </c>
      <c r="AC436" s="5" t="s">
        <v>48</v>
      </c>
      <c r="AD436" s="5" t="s">
        <v>5530</v>
      </c>
      <c r="AE436" s="5" t="str">
        <f t="shared" ca="1" si="81"/>
        <v>NO PRAZO</v>
      </c>
      <c r="AF436" s="51"/>
    </row>
    <row r="437" spans="1:32" ht="30" customHeight="1" x14ac:dyDescent="0.25">
      <c r="A437" s="12" t="s">
        <v>1579</v>
      </c>
      <c r="B437" s="5" t="s">
        <v>10</v>
      </c>
      <c r="C437" s="5" t="s">
        <v>5863</v>
      </c>
      <c r="D437" s="12" t="s">
        <v>365</v>
      </c>
      <c r="E437" s="12" t="s">
        <v>40</v>
      </c>
      <c r="F437" s="12" t="s">
        <v>644</v>
      </c>
      <c r="G437" s="12" t="s">
        <v>1504</v>
      </c>
      <c r="H437" s="12" t="s">
        <v>92</v>
      </c>
      <c r="I437" s="12" t="s">
        <v>121</v>
      </c>
      <c r="J437" s="12" t="s">
        <v>587</v>
      </c>
      <c r="K437" s="5" t="s">
        <v>10</v>
      </c>
      <c r="L437" s="5" t="s">
        <v>10</v>
      </c>
      <c r="M437" s="13" t="s">
        <v>10</v>
      </c>
      <c r="N437" s="13" t="s">
        <v>45</v>
      </c>
      <c r="O437" s="46" t="s">
        <v>46</v>
      </c>
      <c r="P437" s="101">
        <v>46103</v>
      </c>
      <c r="Q437" s="100">
        <f t="shared" si="80"/>
        <v>46287</v>
      </c>
      <c r="R437" s="13" t="s">
        <v>3406</v>
      </c>
      <c r="S437" s="13" t="s">
        <v>5146</v>
      </c>
      <c r="T437" s="7">
        <v>0.27900000000000003</v>
      </c>
      <c r="U437" s="7" t="s">
        <v>10</v>
      </c>
      <c r="V437" s="7">
        <f t="shared" si="78"/>
        <v>0.27900000000000003</v>
      </c>
      <c r="W437" s="7">
        <v>0.5</v>
      </c>
      <c r="X437" s="7" t="s">
        <v>55</v>
      </c>
      <c r="Y437" s="7" t="s">
        <v>56</v>
      </c>
      <c r="Z437" s="48" t="str">
        <f t="shared" si="79"/>
        <v>APROVADO</v>
      </c>
      <c r="AA437" s="47">
        <v>11595559</v>
      </c>
      <c r="AB437" s="5" t="s">
        <v>2666</v>
      </c>
      <c r="AC437" s="5" t="s">
        <v>48</v>
      </c>
      <c r="AD437" s="5" t="s">
        <v>5530</v>
      </c>
      <c r="AE437" s="5" t="str">
        <f t="shared" ca="1" si="81"/>
        <v>NO PRAZO</v>
      </c>
      <c r="AF437" s="51"/>
    </row>
    <row r="438" spans="1:32" ht="30" customHeight="1" x14ac:dyDescent="0.25">
      <c r="A438" s="12" t="s">
        <v>1583</v>
      </c>
      <c r="B438" s="5" t="s">
        <v>10</v>
      </c>
      <c r="C438" s="5" t="s">
        <v>5863</v>
      </c>
      <c r="D438" s="12" t="s">
        <v>365</v>
      </c>
      <c r="E438" s="12" t="s">
        <v>40</v>
      </c>
      <c r="F438" s="12" t="s">
        <v>644</v>
      </c>
      <c r="G438" s="12" t="s">
        <v>1511</v>
      </c>
      <c r="H438" s="12" t="s">
        <v>92</v>
      </c>
      <c r="I438" s="12" t="s">
        <v>121</v>
      </c>
      <c r="J438" s="12" t="s">
        <v>587</v>
      </c>
      <c r="K438" s="5" t="s">
        <v>10</v>
      </c>
      <c r="L438" s="5" t="s">
        <v>10</v>
      </c>
      <c r="M438" s="13" t="s">
        <v>10</v>
      </c>
      <c r="N438" s="13" t="s">
        <v>45</v>
      </c>
      <c r="O438" s="46" t="s">
        <v>46</v>
      </c>
      <c r="P438" s="101">
        <v>46103</v>
      </c>
      <c r="Q438" s="100">
        <f t="shared" si="80"/>
        <v>46287</v>
      </c>
      <c r="R438" s="12" t="s">
        <v>3407</v>
      </c>
      <c r="S438" s="12" t="s">
        <v>5147</v>
      </c>
      <c r="T438" s="7">
        <v>0.23300000000000001</v>
      </c>
      <c r="U438" s="7" t="s">
        <v>10</v>
      </c>
      <c r="V438" s="7">
        <f t="shared" si="78"/>
        <v>0.23300000000000001</v>
      </c>
      <c r="W438" s="7">
        <v>0.5</v>
      </c>
      <c r="X438" s="7" t="s">
        <v>55</v>
      </c>
      <c r="Y438" s="7" t="s">
        <v>56</v>
      </c>
      <c r="Z438" s="48" t="str">
        <f t="shared" si="79"/>
        <v>APROVADO</v>
      </c>
      <c r="AA438" s="47">
        <v>11595563</v>
      </c>
      <c r="AB438" s="5" t="s">
        <v>2670</v>
      </c>
      <c r="AC438" s="5" t="s">
        <v>48</v>
      </c>
      <c r="AD438" s="5" t="s">
        <v>5530</v>
      </c>
      <c r="AE438" s="5" t="str">
        <f t="shared" ca="1" si="81"/>
        <v>NO PRAZO</v>
      </c>
      <c r="AF438" s="51"/>
    </row>
    <row r="439" spans="1:32" ht="30" customHeight="1" x14ac:dyDescent="0.25">
      <c r="A439" s="12" t="s">
        <v>1572</v>
      </c>
      <c r="B439" s="5" t="s">
        <v>10</v>
      </c>
      <c r="C439" s="5" t="s">
        <v>5863</v>
      </c>
      <c r="D439" s="12" t="s">
        <v>365</v>
      </c>
      <c r="E439" s="12" t="s">
        <v>40</v>
      </c>
      <c r="F439" s="12" t="s">
        <v>644</v>
      </c>
      <c r="G439" s="12" t="s">
        <v>1495</v>
      </c>
      <c r="H439" s="12" t="s">
        <v>92</v>
      </c>
      <c r="I439" s="12" t="s">
        <v>121</v>
      </c>
      <c r="J439" s="12" t="s">
        <v>587</v>
      </c>
      <c r="K439" s="5" t="s">
        <v>10</v>
      </c>
      <c r="L439" s="5" t="s">
        <v>10</v>
      </c>
      <c r="M439" s="13" t="s">
        <v>10</v>
      </c>
      <c r="N439" s="13" t="s">
        <v>45</v>
      </c>
      <c r="O439" s="46" t="s">
        <v>46</v>
      </c>
      <c r="P439" s="101">
        <v>46103</v>
      </c>
      <c r="Q439" s="100">
        <f t="shared" si="80"/>
        <v>46287</v>
      </c>
      <c r="R439" s="13" t="s">
        <v>3408</v>
      </c>
      <c r="S439" s="13" t="s">
        <v>5148</v>
      </c>
      <c r="T439" s="7">
        <v>0.33900000000000002</v>
      </c>
      <c r="U439" s="7" t="s">
        <v>10</v>
      </c>
      <c r="V439" s="7">
        <f t="shared" si="78"/>
        <v>0.33900000000000002</v>
      </c>
      <c r="W439" s="7">
        <v>0.5</v>
      </c>
      <c r="X439" s="7" t="s">
        <v>55</v>
      </c>
      <c r="Y439" s="7" t="s">
        <v>56</v>
      </c>
      <c r="Z439" s="48" t="str">
        <f t="shared" si="79"/>
        <v>APROVADO</v>
      </c>
      <c r="AA439" s="47">
        <v>11595556</v>
      </c>
      <c r="AB439" s="5" t="s">
        <v>2660</v>
      </c>
      <c r="AC439" s="5" t="s">
        <v>48</v>
      </c>
      <c r="AD439" s="5" t="s">
        <v>5530</v>
      </c>
      <c r="AE439" s="5" t="str">
        <f t="shared" ca="1" si="81"/>
        <v>NO PRAZO</v>
      </c>
      <c r="AF439" s="51"/>
    </row>
    <row r="440" spans="1:32" ht="30" customHeight="1" x14ac:dyDescent="0.25">
      <c r="A440" s="12" t="s">
        <v>1584</v>
      </c>
      <c r="B440" s="5" t="s">
        <v>10</v>
      </c>
      <c r="C440" s="5" t="s">
        <v>5863</v>
      </c>
      <c r="D440" s="12" t="s">
        <v>365</v>
      </c>
      <c r="E440" s="12" t="s">
        <v>40</v>
      </c>
      <c r="F440" s="12" t="s">
        <v>644</v>
      </c>
      <c r="G440" s="12" t="s">
        <v>1513</v>
      </c>
      <c r="H440" s="12" t="s">
        <v>92</v>
      </c>
      <c r="I440" s="12" t="s">
        <v>121</v>
      </c>
      <c r="J440" s="12" t="s">
        <v>587</v>
      </c>
      <c r="K440" s="7" t="s">
        <v>10</v>
      </c>
      <c r="L440" s="7" t="s">
        <v>10</v>
      </c>
      <c r="M440" s="12" t="s">
        <v>10</v>
      </c>
      <c r="N440" s="12" t="s">
        <v>45</v>
      </c>
      <c r="O440" s="46" t="s">
        <v>46</v>
      </c>
      <c r="P440" s="101">
        <v>46103</v>
      </c>
      <c r="Q440" s="100">
        <f t="shared" si="80"/>
        <v>46287</v>
      </c>
      <c r="R440" s="12" t="s">
        <v>3417</v>
      </c>
      <c r="S440" s="12" t="s">
        <v>5149</v>
      </c>
      <c r="T440" s="7">
        <v>0.28299999999999997</v>
      </c>
      <c r="U440" s="7" t="s">
        <v>10</v>
      </c>
      <c r="V440" s="7">
        <f t="shared" si="78"/>
        <v>0.28299999999999997</v>
      </c>
      <c r="W440" s="7">
        <v>0.5</v>
      </c>
      <c r="X440" s="7" t="s">
        <v>55</v>
      </c>
      <c r="Y440" s="7" t="s">
        <v>56</v>
      </c>
      <c r="Z440" s="48" t="str">
        <f t="shared" si="79"/>
        <v>APROVADO</v>
      </c>
      <c r="AA440" s="47">
        <v>11542269</v>
      </c>
      <c r="AB440" s="5" t="s">
        <v>2671</v>
      </c>
      <c r="AC440" s="5" t="s">
        <v>48</v>
      </c>
      <c r="AD440" s="5" t="s">
        <v>5530</v>
      </c>
      <c r="AE440" s="5" t="str">
        <f t="shared" ca="1" si="81"/>
        <v>NO PRAZO</v>
      </c>
      <c r="AF440" s="51"/>
    </row>
    <row r="441" spans="1:32" ht="30" customHeight="1" x14ac:dyDescent="0.25">
      <c r="A441" s="12" t="s">
        <v>1585</v>
      </c>
      <c r="B441" s="5" t="s">
        <v>10</v>
      </c>
      <c r="C441" s="5" t="s">
        <v>5863</v>
      </c>
      <c r="D441" s="12" t="s">
        <v>365</v>
      </c>
      <c r="E441" s="7" t="s">
        <v>40</v>
      </c>
      <c r="F441" s="12" t="s">
        <v>644</v>
      </c>
      <c r="G441" s="12" t="s">
        <v>1513</v>
      </c>
      <c r="H441" s="12" t="s">
        <v>92</v>
      </c>
      <c r="I441" s="12" t="s">
        <v>121</v>
      </c>
      <c r="J441" s="12" t="s">
        <v>587</v>
      </c>
      <c r="K441" s="7" t="s">
        <v>10</v>
      </c>
      <c r="L441" s="7" t="s">
        <v>10</v>
      </c>
      <c r="M441" s="12" t="s">
        <v>10</v>
      </c>
      <c r="N441" s="12" t="s">
        <v>45</v>
      </c>
      <c r="O441" s="46" t="s">
        <v>46</v>
      </c>
      <c r="P441" s="101">
        <v>46103</v>
      </c>
      <c r="Q441" s="100">
        <f t="shared" si="80"/>
        <v>46287</v>
      </c>
      <c r="R441" s="13" t="s">
        <v>3418</v>
      </c>
      <c r="S441" s="13" t="s">
        <v>5150</v>
      </c>
      <c r="T441" s="7">
        <v>0.29299999999999998</v>
      </c>
      <c r="U441" s="7" t="s">
        <v>10</v>
      </c>
      <c r="V441" s="7">
        <f t="shared" si="78"/>
        <v>0.29299999999999998</v>
      </c>
      <c r="W441" s="7">
        <v>0.5</v>
      </c>
      <c r="X441" s="7" t="s">
        <v>55</v>
      </c>
      <c r="Y441" s="7" t="s">
        <v>56</v>
      </c>
      <c r="Z441" s="48" t="str">
        <f t="shared" si="79"/>
        <v>APROVADO</v>
      </c>
      <c r="AA441" s="47">
        <v>11556584</v>
      </c>
      <c r="AB441" s="5" t="s">
        <v>2672</v>
      </c>
      <c r="AC441" s="5" t="s">
        <v>48</v>
      </c>
      <c r="AD441" s="5" t="s">
        <v>5530</v>
      </c>
      <c r="AE441" s="5" t="str">
        <f t="shared" ca="1" si="81"/>
        <v>NO PRAZO</v>
      </c>
      <c r="AF441" s="51"/>
    </row>
    <row r="442" spans="1:32" ht="30" customHeight="1" x14ac:dyDescent="0.25">
      <c r="A442" s="12" t="s">
        <v>1586</v>
      </c>
      <c r="B442" s="5" t="s">
        <v>10</v>
      </c>
      <c r="C442" s="5" t="s">
        <v>5863</v>
      </c>
      <c r="D442" s="12" t="s">
        <v>365</v>
      </c>
      <c r="E442" s="7" t="s">
        <v>40</v>
      </c>
      <c r="F442" s="12" t="s">
        <v>644</v>
      </c>
      <c r="G442" s="12" t="s">
        <v>1516</v>
      </c>
      <c r="H442" s="12" t="s">
        <v>92</v>
      </c>
      <c r="I442" s="12" t="s">
        <v>121</v>
      </c>
      <c r="J442" s="12" t="s">
        <v>587</v>
      </c>
      <c r="K442" s="7" t="s">
        <v>10</v>
      </c>
      <c r="L442" s="7" t="s">
        <v>10</v>
      </c>
      <c r="M442" s="12" t="s">
        <v>10</v>
      </c>
      <c r="N442" s="12" t="s">
        <v>45</v>
      </c>
      <c r="O442" s="46" t="s">
        <v>46</v>
      </c>
      <c r="P442" s="101">
        <v>46103</v>
      </c>
      <c r="Q442" s="100">
        <f t="shared" si="80"/>
        <v>46287</v>
      </c>
      <c r="R442" s="13" t="s">
        <v>3419</v>
      </c>
      <c r="S442" s="13" t="s">
        <v>5151</v>
      </c>
      <c r="T442" s="7">
        <v>0.27100000000000002</v>
      </c>
      <c r="U442" s="7" t="s">
        <v>10</v>
      </c>
      <c r="V442" s="7">
        <f t="shared" si="78"/>
        <v>0.27100000000000002</v>
      </c>
      <c r="W442" s="7">
        <v>0.5</v>
      </c>
      <c r="X442" s="7" t="s">
        <v>55</v>
      </c>
      <c r="Y442" s="7" t="s">
        <v>56</v>
      </c>
      <c r="Z442" s="48" t="str">
        <f t="shared" si="79"/>
        <v>APROVADO</v>
      </c>
      <c r="AA442" s="47">
        <v>11542271</v>
      </c>
      <c r="AB442" s="5" t="s">
        <v>2673</v>
      </c>
      <c r="AC442" s="5" t="s">
        <v>48</v>
      </c>
      <c r="AD442" s="5" t="s">
        <v>5530</v>
      </c>
      <c r="AE442" s="5" t="str">
        <f t="shared" ca="1" si="81"/>
        <v>NO PRAZO</v>
      </c>
      <c r="AF442" s="51"/>
    </row>
    <row r="443" spans="1:32" ht="30" customHeight="1" x14ac:dyDescent="0.25">
      <c r="A443" s="12" t="s">
        <v>1587</v>
      </c>
      <c r="B443" s="5" t="s">
        <v>10</v>
      </c>
      <c r="C443" s="5" t="s">
        <v>5863</v>
      </c>
      <c r="D443" s="12" t="s">
        <v>365</v>
      </c>
      <c r="E443" s="7" t="s">
        <v>40</v>
      </c>
      <c r="F443" s="12" t="s">
        <v>644</v>
      </c>
      <c r="G443" s="12" t="s">
        <v>1516</v>
      </c>
      <c r="H443" s="12" t="s">
        <v>92</v>
      </c>
      <c r="I443" s="12" t="s">
        <v>121</v>
      </c>
      <c r="J443" s="12" t="s">
        <v>587</v>
      </c>
      <c r="K443" s="7" t="s">
        <v>10</v>
      </c>
      <c r="L443" s="7" t="s">
        <v>10</v>
      </c>
      <c r="M443" s="12" t="s">
        <v>10</v>
      </c>
      <c r="N443" s="12" t="s">
        <v>45</v>
      </c>
      <c r="O443" s="46" t="s">
        <v>46</v>
      </c>
      <c r="P443" s="101">
        <v>46103</v>
      </c>
      <c r="Q443" s="100">
        <f t="shared" si="80"/>
        <v>46287</v>
      </c>
      <c r="R443" s="13" t="s">
        <v>3420</v>
      </c>
      <c r="S443" s="13" t="s">
        <v>5152</v>
      </c>
      <c r="T443" s="7">
        <v>0.23699999999999999</v>
      </c>
      <c r="U443" s="7" t="s">
        <v>10</v>
      </c>
      <c r="V443" s="7">
        <f t="shared" si="78"/>
        <v>0.23699999999999999</v>
      </c>
      <c r="W443" s="7">
        <v>0.5</v>
      </c>
      <c r="X443" s="7" t="s">
        <v>55</v>
      </c>
      <c r="Y443" s="7" t="s">
        <v>56</v>
      </c>
      <c r="Z443" s="48" t="str">
        <f t="shared" si="79"/>
        <v>APROVADO</v>
      </c>
      <c r="AA443" s="47">
        <v>11556536</v>
      </c>
      <c r="AB443" s="5" t="s">
        <v>2674</v>
      </c>
      <c r="AC443" s="5" t="s">
        <v>48</v>
      </c>
      <c r="AD443" s="5" t="s">
        <v>5530</v>
      </c>
      <c r="AE443" s="5" t="str">
        <f t="shared" ca="1" si="81"/>
        <v>NO PRAZO</v>
      </c>
      <c r="AF443" s="51"/>
    </row>
    <row r="444" spans="1:32" ht="30" customHeight="1" x14ac:dyDescent="0.25">
      <c r="A444" s="12" t="s">
        <v>1588</v>
      </c>
      <c r="B444" s="5" t="s">
        <v>10</v>
      </c>
      <c r="C444" s="5" t="s">
        <v>5863</v>
      </c>
      <c r="D444" s="12" t="s">
        <v>365</v>
      </c>
      <c r="E444" s="7" t="s">
        <v>40</v>
      </c>
      <c r="F444" s="12" t="s">
        <v>644</v>
      </c>
      <c r="G444" s="12" t="s">
        <v>1519</v>
      </c>
      <c r="H444" s="12" t="s">
        <v>92</v>
      </c>
      <c r="I444" s="12" t="s">
        <v>121</v>
      </c>
      <c r="J444" s="12" t="s">
        <v>587</v>
      </c>
      <c r="K444" s="7" t="s">
        <v>10</v>
      </c>
      <c r="L444" s="7" t="s">
        <v>10</v>
      </c>
      <c r="M444" s="12" t="s">
        <v>10</v>
      </c>
      <c r="N444" s="12" t="s">
        <v>45</v>
      </c>
      <c r="O444" s="46" t="s">
        <v>46</v>
      </c>
      <c r="P444" s="101">
        <v>46103</v>
      </c>
      <c r="Q444" s="100">
        <f t="shared" si="80"/>
        <v>46287</v>
      </c>
      <c r="R444" s="13" t="s">
        <v>3168</v>
      </c>
      <c r="S444" s="13" t="s">
        <v>5085</v>
      </c>
      <c r="T444" s="7">
        <v>0.28399999999999997</v>
      </c>
      <c r="U444" s="7" t="s">
        <v>10</v>
      </c>
      <c r="V444" s="7">
        <f t="shared" si="78"/>
        <v>0.28399999999999997</v>
      </c>
      <c r="W444" s="7">
        <v>0.5</v>
      </c>
      <c r="X444" s="7" t="s">
        <v>55</v>
      </c>
      <c r="Y444" s="7" t="s">
        <v>56</v>
      </c>
      <c r="Z444" s="48" t="str">
        <f t="shared" si="79"/>
        <v>APROVADO</v>
      </c>
      <c r="AA444" s="47">
        <v>11542273</v>
      </c>
      <c r="AB444" s="5" t="s">
        <v>2675</v>
      </c>
      <c r="AC444" s="5" t="s">
        <v>48</v>
      </c>
      <c r="AD444" s="5" t="s">
        <v>5530</v>
      </c>
      <c r="AE444" s="5" t="str">
        <f t="shared" ca="1" si="81"/>
        <v>NO PRAZO</v>
      </c>
      <c r="AF444" s="51"/>
    </row>
    <row r="445" spans="1:32" ht="30" customHeight="1" x14ac:dyDescent="0.25">
      <c r="A445" s="12" t="s">
        <v>1589</v>
      </c>
      <c r="B445" s="5" t="s">
        <v>10</v>
      </c>
      <c r="C445" s="5" t="s">
        <v>5863</v>
      </c>
      <c r="D445" s="12" t="s">
        <v>365</v>
      </c>
      <c r="E445" s="7" t="s">
        <v>40</v>
      </c>
      <c r="F445" s="12" t="s">
        <v>644</v>
      </c>
      <c r="G445" s="12" t="s">
        <v>1519</v>
      </c>
      <c r="H445" s="12" t="s">
        <v>92</v>
      </c>
      <c r="I445" s="12" t="s">
        <v>121</v>
      </c>
      <c r="J445" s="12" t="s">
        <v>587</v>
      </c>
      <c r="K445" s="7" t="s">
        <v>10</v>
      </c>
      <c r="L445" s="7" t="s">
        <v>10</v>
      </c>
      <c r="M445" s="12" t="s">
        <v>10</v>
      </c>
      <c r="N445" s="12" t="s">
        <v>45</v>
      </c>
      <c r="O445" s="46" t="s">
        <v>46</v>
      </c>
      <c r="P445" s="101">
        <v>46103</v>
      </c>
      <c r="Q445" s="100">
        <f t="shared" si="80"/>
        <v>46287</v>
      </c>
      <c r="R445" s="13" t="s">
        <v>3169</v>
      </c>
      <c r="S445" s="13" t="s">
        <v>5153</v>
      </c>
      <c r="T445" s="7">
        <v>0.23499999999999999</v>
      </c>
      <c r="U445" s="7" t="s">
        <v>10</v>
      </c>
      <c r="V445" s="7">
        <f t="shared" si="78"/>
        <v>0.23499999999999999</v>
      </c>
      <c r="W445" s="7">
        <v>0.5</v>
      </c>
      <c r="X445" s="7" t="s">
        <v>55</v>
      </c>
      <c r="Y445" s="7" t="s">
        <v>56</v>
      </c>
      <c r="Z445" s="48" t="str">
        <f t="shared" si="79"/>
        <v>APROVADO</v>
      </c>
      <c r="AA445" s="47">
        <v>11556538</v>
      </c>
      <c r="AB445" s="5" t="s">
        <v>2676</v>
      </c>
      <c r="AC445" s="5" t="s">
        <v>48</v>
      </c>
      <c r="AD445" s="5" t="s">
        <v>5530</v>
      </c>
      <c r="AE445" s="5" t="str">
        <f t="shared" ca="1" si="81"/>
        <v>NO PRAZO</v>
      </c>
      <c r="AF445" s="51"/>
    </row>
    <row r="446" spans="1:32" ht="30" customHeight="1" x14ac:dyDescent="0.25">
      <c r="A446" s="12" t="s">
        <v>1590</v>
      </c>
      <c r="B446" s="5" t="s">
        <v>10</v>
      </c>
      <c r="C446" s="5" t="s">
        <v>5863</v>
      </c>
      <c r="D446" s="12" t="s">
        <v>365</v>
      </c>
      <c r="E446" s="7" t="s">
        <v>40</v>
      </c>
      <c r="F446" s="12" t="s">
        <v>644</v>
      </c>
      <c r="G446" s="12" t="s">
        <v>1522</v>
      </c>
      <c r="H446" s="12" t="s">
        <v>92</v>
      </c>
      <c r="I446" s="12" t="s">
        <v>121</v>
      </c>
      <c r="J446" s="12" t="s">
        <v>587</v>
      </c>
      <c r="K446" s="7" t="s">
        <v>10</v>
      </c>
      <c r="L446" s="7" t="s">
        <v>10</v>
      </c>
      <c r="M446" s="12" t="s">
        <v>10</v>
      </c>
      <c r="N446" s="12" t="s">
        <v>45</v>
      </c>
      <c r="O446" s="46" t="s">
        <v>46</v>
      </c>
      <c r="P446" s="101">
        <v>46103</v>
      </c>
      <c r="Q446" s="100">
        <f t="shared" si="80"/>
        <v>46287</v>
      </c>
      <c r="R446" s="13" t="s">
        <v>3170</v>
      </c>
      <c r="S446" s="13" t="s">
        <v>5154</v>
      </c>
      <c r="T446" s="7">
        <v>0.25600000000000001</v>
      </c>
      <c r="U446" s="7" t="s">
        <v>10</v>
      </c>
      <c r="V446" s="7">
        <f t="shared" si="78"/>
        <v>0.25600000000000001</v>
      </c>
      <c r="W446" s="7">
        <v>0.5</v>
      </c>
      <c r="X446" s="7" t="s">
        <v>55</v>
      </c>
      <c r="Y446" s="7" t="s">
        <v>56</v>
      </c>
      <c r="Z446" s="48" t="str">
        <f t="shared" si="79"/>
        <v>APROVADO</v>
      </c>
      <c r="AA446" s="47">
        <v>11542281</v>
      </c>
      <c r="AB446" s="5" t="s">
        <v>2677</v>
      </c>
      <c r="AC446" s="5" t="s">
        <v>48</v>
      </c>
      <c r="AD446" s="5" t="s">
        <v>5530</v>
      </c>
      <c r="AE446" s="5" t="str">
        <f t="shared" ca="1" si="81"/>
        <v>NO PRAZO</v>
      </c>
      <c r="AF446" s="51"/>
    </row>
    <row r="447" spans="1:32" ht="30" customHeight="1" x14ac:dyDescent="0.25">
      <c r="A447" s="7" t="s">
        <v>1591</v>
      </c>
      <c r="B447" s="7" t="s">
        <v>10</v>
      </c>
      <c r="C447" s="5" t="s">
        <v>5863</v>
      </c>
      <c r="D447" s="7" t="s">
        <v>365</v>
      </c>
      <c r="E447" s="7" t="s">
        <v>40</v>
      </c>
      <c r="F447" s="7" t="s">
        <v>644</v>
      </c>
      <c r="G447" s="12" t="s">
        <v>1522</v>
      </c>
      <c r="H447" s="12" t="s">
        <v>92</v>
      </c>
      <c r="I447" s="12" t="s">
        <v>121</v>
      </c>
      <c r="J447" s="12" t="s">
        <v>587</v>
      </c>
      <c r="K447" s="7" t="s">
        <v>10</v>
      </c>
      <c r="L447" s="7" t="s">
        <v>10</v>
      </c>
      <c r="M447" s="7" t="s">
        <v>10</v>
      </c>
      <c r="N447" s="7" t="s">
        <v>45</v>
      </c>
      <c r="O447" s="46" t="s">
        <v>46</v>
      </c>
      <c r="P447" s="101">
        <v>46103</v>
      </c>
      <c r="Q447" s="100">
        <f t="shared" si="80"/>
        <v>46287</v>
      </c>
      <c r="R447" s="5" t="s">
        <v>3171</v>
      </c>
      <c r="S447" s="5" t="s">
        <v>5155</v>
      </c>
      <c r="T447" s="7">
        <v>0.33700000000000002</v>
      </c>
      <c r="U447" s="7" t="s">
        <v>10</v>
      </c>
      <c r="V447" s="7">
        <f t="shared" si="78"/>
        <v>0.33700000000000002</v>
      </c>
      <c r="W447" s="7">
        <v>0.5</v>
      </c>
      <c r="X447" s="7" t="s">
        <v>55</v>
      </c>
      <c r="Y447" s="7" t="s">
        <v>56</v>
      </c>
      <c r="Z447" s="48" t="str">
        <f t="shared" si="79"/>
        <v>APROVADO</v>
      </c>
      <c r="AA447" s="47">
        <v>11556561</v>
      </c>
      <c r="AB447" s="5" t="s">
        <v>2678</v>
      </c>
      <c r="AC447" s="5" t="s">
        <v>48</v>
      </c>
      <c r="AD447" s="5" t="s">
        <v>5530</v>
      </c>
      <c r="AE447" s="5" t="str">
        <f t="shared" ca="1" si="81"/>
        <v>NO PRAZO</v>
      </c>
      <c r="AF447" s="51"/>
    </row>
    <row r="448" spans="1:32" ht="30" customHeight="1" x14ac:dyDescent="0.25">
      <c r="A448" s="7" t="s">
        <v>1592</v>
      </c>
      <c r="B448" s="5" t="s">
        <v>10</v>
      </c>
      <c r="C448" s="5" t="s">
        <v>5863</v>
      </c>
      <c r="D448" s="7" t="s">
        <v>365</v>
      </c>
      <c r="E448" s="7" t="s">
        <v>40</v>
      </c>
      <c r="F448" s="7" t="s">
        <v>644</v>
      </c>
      <c r="G448" s="7" t="s">
        <v>1525</v>
      </c>
      <c r="H448" s="7" t="s">
        <v>92</v>
      </c>
      <c r="I448" s="7" t="s">
        <v>121</v>
      </c>
      <c r="J448" s="7" t="s">
        <v>587</v>
      </c>
      <c r="K448" s="7" t="s">
        <v>10</v>
      </c>
      <c r="L448" s="7" t="s">
        <v>10</v>
      </c>
      <c r="M448" s="7" t="s">
        <v>10</v>
      </c>
      <c r="N448" s="7" t="s">
        <v>45</v>
      </c>
      <c r="O448" s="46" t="s">
        <v>46</v>
      </c>
      <c r="P448" s="101">
        <v>46103</v>
      </c>
      <c r="Q448" s="100">
        <f t="shared" si="80"/>
        <v>46287</v>
      </c>
      <c r="R448" s="5" t="s">
        <v>3172</v>
      </c>
      <c r="S448" s="5" t="s">
        <v>5000</v>
      </c>
      <c r="T448" s="7">
        <v>0.26800000000000002</v>
      </c>
      <c r="U448" s="7" t="s">
        <v>10</v>
      </c>
      <c r="V448" s="7">
        <f t="shared" si="78"/>
        <v>0.26800000000000002</v>
      </c>
      <c r="W448" s="7">
        <v>0.5</v>
      </c>
      <c r="X448" s="7" t="s">
        <v>55</v>
      </c>
      <c r="Y448" s="7" t="s">
        <v>56</v>
      </c>
      <c r="Z448" s="48" t="str">
        <f t="shared" si="79"/>
        <v>APROVADO</v>
      </c>
      <c r="AA448" s="47">
        <v>11542283</v>
      </c>
      <c r="AB448" s="5" t="s">
        <v>2679</v>
      </c>
      <c r="AC448" s="5" t="s">
        <v>48</v>
      </c>
      <c r="AD448" s="5" t="s">
        <v>5530</v>
      </c>
      <c r="AE448" s="5" t="str">
        <f t="shared" ca="1" si="81"/>
        <v>NO PRAZO</v>
      </c>
      <c r="AF448" s="51"/>
    </row>
    <row r="449" spans="1:32" ht="30" customHeight="1" x14ac:dyDescent="0.25">
      <c r="A449" s="12" t="s">
        <v>1593</v>
      </c>
      <c r="B449" s="13" t="s">
        <v>10</v>
      </c>
      <c r="C449" s="5" t="s">
        <v>5863</v>
      </c>
      <c r="D449" s="7" t="s">
        <v>365</v>
      </c>
      <c r="E449" s="12" t="s">
        <v>40</v>
      </c>
      <c r="F449" s="12" t="s">
        <v>644</v>
      </c>
      <c r="G449" s="12" t="s">
        <v>1525</v>
      </c>
      <c r="H449" s="12" t="s">
        <v>92</v>
      </c>
      <c r="I449" s="12" t="s">
        <v>121</v>
      </c>
      <c r="J449" s="12" t="s">
        <v>587</v>
      </c>
      <c r="K449" s="12" t="s">
        <v>10</v>
      </c>
      <c r="L449" s="12" t="s">
        <v>10</v>
      </c>
      <c r="M449" s="12" t="s">
        <v>10</v>
      </c>
      <c r="N449" s="12" t="s">
        <v>45</v>
      </c>
      <c r="O449" s="94" t="s">
        <v>46</v>
      </c>
      <c r="P449" s="101">
        <v>46103</v>
      </c>
      <c r="Q449" s="100">
        <f t="shared" si="80"/>
        <v>46287</v>
      </c>
      <c r="R449" s="5" t="s">
        <v>3173</v>
      </c>
      <c r="S449" s="5" t="s">
        <v>5156</v>
      </c>
      <c r="T449" s="7">
        <v>0.34100000000000003</v>
      </c>
      <c r="U449" s="7" t="s">
        <v>10</v>
      </c>
      <c r="V449" s="7">
        <f t="shared" si="78"/>
        <v>0.34100000000000003</v>
      </c>
      <c r="W449" s="7">
        <v>0.5</v>
      </c>
      <c r="X449" s="7" t="s">
        <v>55</v>
      </c>
      <c r="Y449" s="7" t="s">
        <v>56</v>
      </c>
      <c r="Z449" s="48" t="str">
        <f t="shared" si="79"/>
        <v>APROVADO</v>
      </c>
      <c r="AA449" s="47">
        <v>11556565</v>
      </c>
      <c r="AB449" s="5" t="s">
        <v>2680</v>
      </c>
      <c r="AC449" s="5" t="s">
        <v>48</v>
      </c>
      <c r="AD449" s="5" t="s">
        <v>5530</v>
      </c>
      <c r="AE449" s="5" t="str">
        <f t="shared" ca="1" si="81"/>
        <v>NO PRAZO</v>
      </c>
      <c r="AF449" s="51"/>
    </row>
    <row r="450" spans="1:32" ht="30" customHeight="1" x14ac:dyDescent="0.25">
      <c r="A450" s="13" t="s">
        <v>1594</v>
      </c>
      <c r="B450" s="13" t="s">
        <v>10</v>
      </c>
      <c r="C450" s="5" t="s">
        <v>5863</v>
      </c>
      <c r="D450" s="12" t="s">
        <v>365</v>
      </c>
      <c r="E450" s="12" t="s">
        <v>40</v>
      </c>
      <c r="F450" s="12" t="s">
        <v>644</v>
      </c>
      <c r="G450" s="12" t="s">
        <v>1528</v>
      </c>
      <c r="H450" s="12" t="s">
        <v>92</v>
      </c>
      <c r="I450" s="12" t="s">
        <v>121</v>
      </c>
      <c r="J450" s="12" t="s">
        <v>587</v>
      </c>
      <c r="K450" s="13" t="s">
        <v>10</v>
      </c>
      <c r="L450" s="13" t="s">
        <v>10</v>
      </c>
      <c r="M450" s="13" t="s">
        <v>10</v>
      </c>
      <c r="N450" s="13" t="s">
        <v>45</v>
      </c>
      <c r="O450" s="94" t="s">
        <v>46</v>
      </c>
      <c r="P450" s="101">
        <v>46103</v>
      </c>
      <c r="Q450" s="100">
        <f t="shared" si="80"/>
        <v>46287</v>
      </c>
      <c r="R450" s="5" t="s">
        <v>3175</v>
      </c>
      <c r="S450" s="5" t="s">
        <v>5157</v>
      </c>
      <c r="T450" s="7">
        <v>0.23100000000000001</v>
      </c>
      <c r="U450" s="7" t="s">
        <v>10</v>
      </c>
      <c r="V450" s="7">
        <f t="shared" si="78"/>
        <v>0.23100000000000001</v>
      </c>
      <c r="W450" s="7">
        <v>0.5</v>
      </c>
      <c r="X450" s="7" t="s">
        <v>55</v>
      </c>
      <c r="Y450" s="7" t="s">
        <v>56</v>
      </c>
      <c r="Z450" s="48" t="str">
        <f t="shared" si="79"/>
        <v>APROVADO</v>
      </c>
      <c r="AA450" s="47">
        <v>11542289</v>
      </c>
      <c r="AB450" s="5" t="s">
        <v>2681</v>
      </c>
      <c r="AC450" s="5" t="s">
        <v>48</v>
      </c>
      <c r="AD450" s="5" t="s">
        <v>5530</v>
      </c>
      <c r="AE450" s="5" t="str">
        <f t="shared" ca="1" si="81"/>
        <v>NO PRAZO</v>
      </c>
      <c r="AF450" s="51"/>
    </row>
    <row r="451" spans="1:32" ht="30" customHeight="1" x14ac:dyDescent="0.25">
      <c r="A451" s="13" t="s">
        <v>1595</v>
      </c>
      <c r="B451" s="13" t="s">
        <v>10</v>
      </c>
      <c r="C451" s="5" t="s">
        <v>5863</v>
      </c>
      <c r="D451" s="12" t="s">
        <v>365</v>
      </c>
      <c r="E451" s="12" t="s">
        <v>40</v>
      </c>
      <c r="F451" s="12" t="s">
        <v>644</v>
      </c>
      <c r="G451" s="12" t="s">
        <v>1528</v>
      </c>
      <c r="H451" s="12" t="s">
        <v>92</v>
      </c>
      <c r="I451" s="12" t="s">
        <v>121</v>
      </c>
      <c r="J451" s="12" t="s">
        <v>587</v>
      </c>
      <c r="K451" s="13" t="s">
        <v>10</v>
      </c>
      <c r="L451" s="13" t="s">
        <v>10</v>
      </c>
      <c r="M451" s="13" t="s">
        <v>10</v>
      </c>
      <c r="N451" s="13" t="s">
        <v>45</v>
      </c>
      <c r="O451" s="94" t="s">
        <v>46</v>
      </c>
      <c r="P451" s="101">
        <v>46103</v>
      </c>
      <c r="Q451" s="100">
        <f t="shared" si="80"/>
        <v>46287</v>
      </c>
      <c r="R451" s="5" t="s">
        <v>3174</v>
      </c>
      <c r="S451" s="5" t="s">
        <v>5158</v>
      </c>
      <c r="T451" s="7">
        <v>0.33600000000000002</v>
      </c>
      <c r="U451" s="7" t="s">
        <v>10</v>
      </c>
      <c r="V451" s="7">
        <f t="shared" si="78"/>
        <v>0.33600000000000002</v>
      </c>
      <c r="W451" s="7">
        <v>0.5</v>
      </c>
      <c r="X451" s="7" t="s">
        <v>55</v>
      </c>
      <c r="Y451" s="7" t="s">
        <v>56</v>
      </c>
      <c r="Z451" s="48" t="str">
        <f t="shared" si="79"/>
        <v>APROVADO</v>
      </c>
      <c r="AA451" s="47">
        <v>11556588</v>
      </c>
      <c r="AB451" s="5" t="s">
        <v>2682</v>
      </c>
      <c r="AC451" s="5" t="s">
        <v>48</v>
      </c>
      <c r="AD451" s="5" t="s">
        <v>5530</v>
      </c>
      <c r="AE451" s="5" t="str">
        <f t="shared" ca="1" si="81"/>
        <v>NO PRAZO</v>
      </c>
      <c r="AF451" s="51"/>
    </row>
    <row r="452" spans="1:32" ht="30" customHeight="1" x14ac:dyDescent="0.25">
      <c r="A452" s="13" t="s">
        <v>1596</v>
      </c>
      <c r="B452" s="13" t="s">
        <v>10</v>
      </c>
      <c r="C452" s="5" t="s">
        <v>5863</v>
      </c>
      <c r="D452" s="12" t="s">
        <v>365</v>
      </c>
      <c r="E452" s="12" t="s">
        <v>40</v>
      </c>
      <c r="F452" s="12" t="s">
        <v>644</v>
      </c>
      <c r="G452" s="12" t="s">
        <v>1531</v>
      </c>
      <c r="H452" s="12" t="s">
        <v>92</v>
      </c>
      <c r="I452" s="12" t="s">
        <v>121</v>
      </c>
      <c r="J452" s="12" t="s">
        <v>587</v>
      </c>
      <c r="K452" s="13" t="s">
        <v>10</v>
      </c>
      <c r="L452" s="13" t="s">
        <v>10</v>
      </c>
      <c r="M452" s="13" t="s">
        <v>10</v>
      </c>
      <c r="N452" s="13" t="s">
        <v>45</v>
      </c>
      <c r="O452" s="94" t="s">
        <v>46</v>
      </c>
      <c r="P452" s="101">
        <v>46103</v>
      </c>
      <c r="Q452" s="100">
        <f t="shared" si="80"/>
        <v>46287</v>
      </c>
      <c r="R452" s="5" t="s">
        <v>3176</v>
      </c>
      <c r="S452" s="5" t="s">
        <v>5197</v>
      </c>
      <c r="T452" s="7">
        <v>0.23699999999999999</v>
      </c>
      <c r="U452" s="7" t="s">
        <v>10</v>
      </c>
      <c r="V452" s="7">
        <f t="shared" si="78"/>
        <v>0.23699999999999999</v>
      </c>
      <c r="W452" s="7">
        <v>0.5</v>
      </c>
      <c r="X452" s="7" t="s">
        <v>55</v>
      </c>
      <c r="Y452" s="7" t="s">
        <v>56</v>
      </c>
      <c r="Z452" s="48" t="str">
        <f t="shared" si="79"/>
        <v>APROVADO</v>
      </c>
      <c r="AA452" s="47">
        <v>11542291</v>
      </c>
      <c r="AB452" s="5" t="s">
        <v>2683</v>
      </c>
      <c r="AC452" s="5" t="s">
        <v>48</v>
      </c>
      <c r="AD452" s="5" t="s">
        <v>5530</v>
      </c>
      <c r="AE452" s="5" t="str">
        <f t="shared" ca="1" si="81"/>
        <v>NO PRAZO</v>
      </c>
      <c r="AF452" s="51"/>
    </row>
    <row r="453" spans="1:32" ht="30" customHeight="1" x14ac:dyDescent="0.25">
      <c r="A453" s="13" t="s">
        <v>1597</v>
      </c>
      <c r="B453" s="13" t="s">
        <v>10</v>
      </c>
      <c r="C453" s="5" t="s">
        <v>5863</v>
      </c>
      <c r="D453" s="12" t="s">
        <v>365</v>
      </c>
      <c r="E453" s="12" t="s">
        <v>40</v>
      </c>
      <c r="F453" s="12" t="s">
        <v>644</v>
      </c>
      <c r="G453" s="12" t="s">
        <v>1531</v>
      </c>
      <c r="H453" s="12" t="s">
        <v>92</v>
      </c>
      <c r="I453" s="12" t="s">
        <v>121</v>
      </c>
      <c r="J453" s="12" t="s">
        <v>587</v>
      </c>
      <c r="K453" s="13" t="s">
        <v>10</v>
      </c>
      <c r="L453" s="13" t="s">
        <v>10</v>
      </c>
      <c r="M453" s="13" t="s">
        <v>10</v>
      </c>
      <c r="N453" s="13" t="s">
        <v>45</v>
      </c>
      <c r="O453" s="94" t="s">
        <v>46</v>
      </c>
      <c r="P453" s="104">
        <v>46103</v>
      </c>
      <c r="Q453" s="100">
        <f t="shared" si="80"/>
        <v>46287</v>
      </c>
      <c r="R453" s="5" t="s">
        <v>3177</v>
      </c>
      <c r="S453" s="5" t="s">
        <v>5159</v>
      </c>
      <c r="T453" s="7">
        <v>0.34599999999999997</v>
      </c>
      <c r="U453" s="7" t="s">
        <v>10</v>
      </c>
      <c r="V453" s="7">
        <f t="shared" si="78"/>
        <v>0.34599999999999997</v>
      </c>
      <c r="W453" s="7">
        <v>0.5</v>
      </c>
      <c r="X453" s="7" t="s">
        <v>55</v>
      </c>
      <c r="Y453" s="7" t="s">
        <v>56</v>
      </c>
      <c r="Z453" s="48" t="str">
        <f t="shared" si="79"/>
        <v>APROVADO</v>
      </c>
      <c r="AA453" s="47">
        <v>11556590</v>
      </c>
      <c r="AB453" s="5" t="s">
        <v>2684</v>
      </c>
      <c r="AC453" s="5" t="s">
        <v>48</v>
      </c>
      <c r="AD453" s="5" t="s">
        <v>5530</v>
      </c>
      <c r="AE453" s="5" t="str">
        <f t="shared" ca="1" si="81"/>
        <v>NO PRAZO</v>
      </c>
      <c r="AF453" s="51"/>
    </row>
    <row r="454" spans="1:32" ht="30" customHeight="1" x14ac:dyDescent="0.25">
      <c r="A454" s="12" t="s">
        <v>88</v>
      </c>
      <c r="B454" s="12" t="s">
        <v>10</v>
      </c>
      <c r="C454" s="5" t="s">
        <v>5862</v>
      </c>
      <c r="D454" s="12" t="s">
        <v>365</v>
      </c>
      <c r="E454" s="12" t="s">
        <v>40</v>
      </c>
      <c r="F454" s="12" t="s">
        <v>90</v>
      </c>
      <c r="G454" s="12" t="s">
        <v>91</v>
      </c>
      <c r="H454" s="12" t="s">
        <v>92</v>
      </c>
      <c r="I454" s="12" t="s">
        <v>93</v>
      </c>
      <c r="J454" s="13" t="s">
        <v>94</v>
      </c>
      <c r="K454" s="13" t="s">
        <v>45</v>
      </c>
      <c r="L454" s="13" t="s">
        <v>10</v>
      </c>
      <c r="M454" s="13" t="s">
        <v>10</v>
      </c>
      <c r="N454" s="13" t="s">
        <v>10</v>
      </c>
      <c r="O454" s="94" t="s">
        <v>46</v>
      </c>
      <c r="P454" s="106">
        <v>46089</v>
      </c>
      <c r="Q454" s="100">
        <f t="shared" si="80"/>
        <v>46273</v>
      </c>
      <c r="R454" s="10" t="s">
        <v>3361</v>
      </c>
      <c r="S454" s="10" t="s">
        <v>5010</v>
      </c>
      <c r="T454" s="7">
        <v>0.47499999999999998</v>
      </c>
      <c r="U454" s="7"/>
      <c r="V454" s="7">
        <f t="shared" si="78"/>
        <v>0.47499999999999998</v>
      </c>
      <c r="W454" s="7">
        <v>0.5</v>
      </c>
      <c r="X454" s="7" t="s">
        <v>55</v>
      </c>
      <c r="Y454" s="7" t="s">
        <v>56</v>
      </c>
      <c r="Z454" s="48" t="str">
        <f t="shared" si="79"/>
        <v>APROVADO</v>
      </c>
      <c r="AA454" s="47">
        <v>11542236</v>
      </c>
      <c r="AB454" s="5" t="s">
        <v>2584</v>
      </c>
      <c r="AC454" s="5" t="s">
        <v>48</v>
      </c>
      <c r="AD454" s="5" t="s">
        <v>5530</v>
      </c>
      <c r="AE454" s="5" t="str">
        <f t="shared" ca="1" si="81"/>
        <v>NO PRAZO</v>
      </c>
      <c r="AF454" s="87"/>
    </row>
    <row r="455" spans="1:32" ht="30" customHeight="1" x14ac:dyDescent="0.25">
      <c r="A455" s="12" t="s">
        <v>4442</v>
      </c>
      <c r="B455" s="12" t="s">
        <v>10</v>
      </c>
      <c r="C455" s="5" t="s">
        <v>5862</v>
      </c>
      <c r="D455" s="12" t="s">
        <v>365</v>
      </c>
      <c r="E455" s="12" t="s">
        <v>40</v>
      </c>
      <c r="F455" s="12" t="s">
        <v>90</v>
      </c>
      <c r="G455" s="12" t="s">
        <v>97</v>
      </c>
      <c r="H455" s="12" t="s">
        <v>92</v>
      </c>
      <c r="I455" s="12" t="s">
        <v>3374</v>
      </c>
      <c r="J455" s="13" t="s">
        <v>94</v>
      </c>
      <c r="K455" s="13" t="s">
        <v>45</v>
      </c>
      <c r="L455" s="13" t="s">
        <v>10</v>
      </c>
      <c r="M455" s="13" t="s">
        <v>10</v>
      </c>
      <c r="N455" s="13" t="s">
        <v>10</v>
      </c>
      <c r="O455" s="94" t="s">
        <v>46</v>
      </c>
      <c r="P455" s="106">
        <v>46158</v>
      </c>
      <c r="Q455" s="100">
        <f t="shared" si="80"/>
        <v>46342</v>
      </c>
      <c r="R455" s="54" t="s">
        <v>4444</v>
      </c>
      <c r="S455" s="54" t="s">
        <v>5515</v>
      </c>
      <c r="T455" s="7">
        <v>0.26300000000000001</v>
      </c>
      <c r="U455" s="7" t="s">
        <v>10</v>
      </c>
      <c r="V455" s="7">
        <f t="shared" si="78"/>
        <v>0.26300000000000001</v>
      </c>
      <c r="W455" s="7">
        <v>0.5</v>
      </c>
      <c r="X455" s="7" t="s">
        <v>55</v>
      </c>
      <c r="Y455" s="7" t="s">
        <v>56</v>
      </c>
      <c r="Z455" s="48" t="str">
        <f t="shared" si="79"/>
        <v>APROVADO</v>
      </c>
      <c r="AA455" s="47">
        <v>11540665</v>
      </c>
      <c r="AB455" s="47" t="s">
        <v>4533</v>
      </c>
      <c r="AC455" s="5" t="s">
        <v>48</v>
      </c>
      <c r="AD455" s="5" t="s">
        <v>5530</v>
      </c>
      <c r="AE455" s="5" t="str">
        <f t="shared" ca="1" si="81"/>
        <v>NO PRAZO</v>
      </c>
      <c r="AF455" s="52"/>
    </row>
    <row r="456" spans="1:32" ht="30" customHeight="1" x14ac:dyDescent="0.25">
      <c r="A456" s="12" t="s">
        <v>4443</v>
      </c>
      <c r="B456" s="12" t="s">
        <v>10</v>
      </c>
      <c r="C456" s="5" t="s">
        <v>5862</v>
      </c>
      <c r="D456" s="12" t="s">
        <v>365</v>
      </c>
      <c r="E456" s="12" t="s">
        <v>40</v>
      </c>
      <c r="F456" s="12" t="s">
        <v>90</v>
      </c>
      <c r="G456" s="12" t="s">
        <v>97</v>
      </c>
      <c r="H456" s="12" t="s">
        <v>92</v>
      </c>
      <c r="I456" s="12" t="s">
        <v>3374</v>
      </c>
      <c r="J456" s="13" t="s">
        <v>94</v>
      </c>
      <c r="K456" s="13" t="s">
        <v>45</v>
      </c>
      <c r="L456" s="13" t="s">
        <v>10</v>
      </c>
      <c r="M456" s="13" t="s">
        <v>10</v>
      </c>
      <c r="N456" s="13" t="s">
        <v>10</v>
      </c>
      <c r="O456" s="94" t="s">
        <v>46</v>
      </c>
      <c r="P456" s="106">
        <v>46158</v>
      </c>
      <c r="Q456" s="100">
        <f t="shared" si="80"/>
        <v>46342</v>
      </c>
      <c r="R456" s="54" t="s">
        <v>4445</v>
      </c>
      <c r="S456" s="54" t="s">
        <v>5516</v>
      </c>
      <c r="T456" s="7">
        <v>0.245</v>
      </c>
      <c r="U456" s="7" t="s">
        <v>10</v>
      </c>
      <c r="V456" s="7">
        <f t="shared" si="78"/>
        <v>0.245</v>
      </c>
      <c r="W456" s="7">
        <v>0.5</v>
      </c>
      <c r="X456" s="7" t="s">
        <v>55</v>
      </c>
      <c r="Y456" s="7" t="s">
        <v>56</v>
      </c>
      <c r="Z456" s="48" t="str">
        <f t="shared" si="79"/>
        <v>APROVADO</v>
      </c>
      <c r="AA456" s="47">
        <v>11607330</v>
      </c>
      <c r="AB456" s="47" t="s">
        <v>4534</v>
      </c>
      <c r="AC456" s="5" t="s">
        <v>48</v>
      </c>
      <c r="AD456" s="5" t="s">
        <v>5530</v>
      </c>
      <c r="AE456" s="5" t="str">
        <f t="shared" ca="1" si="81"/>
        <v>NO PRAZO</v>
      </c>
      <c r="AF456" s="52"/>
    </row>
    <row r="457" spans="1:32" ht="30.6" customHeight="1" x14ac:dyDescent="0.25">
      <c r="A457" s="12" t="s">
        <v>3042</v>
      </c>
      <c r="B457" s="12" t="s">
        <v>10</v>
      </c>
      <c r="C457" s="5" t="s">
        <v>5862</v>
      </c>
      <c r="D457" s="12" t="s">
        <v>353</v>
      </c>
      <c r="E457" s="12" t="s">
        <v>40</v>
      </c>
      <c r="F457" s="12" t="s">
        <v>90</v>
      </c>
      <c r="G457" s="12" t="s">
        <v>99</v>
      </c>
      <c r="H457" s="12" t="s">
        <v>100</v>
      </c>
      <c r="I457" s="12" t="s">
        <v>93</v>
      </c>
      <c r="J457" s="13" t="s">
        <v>102</v>
      </c>
      <c r="K457" s="13" t="s">
        <v>45</v>
      </c>
      <c r="L457" s="13" t="s">
        <v>10</v>
      </c>
      <c r="M457" s="13" t="s">
        <v>10</v>
      </c>
      <c r="N457" s="13" t="s">
        <v>10</v>
      </c>
      <c r="O457" s="94" t="s">
        <v>46</v>
      </c>
      <c r="P457" s="100">
        <v>46208</v>
      </c>
      <c r="Q457" s="100">
        <f>IF(P457="","",P457+184)</f>
        <v>46392</v>
      </c>
      <c r="R457" s="10" t="s">
        <v>4573</v>
      </c>
      <c r="S457" s="10" t="s">
        <v>5778</v>
      </c>
      <c r="T457" s="7">
        <v>0.318</v>
      </c>
      <c r="U457" s="7" t="s">
        <v>10</v>
      </c>
      <c r="V457" s="7">
        <f t="shared" si="78"/>
        <v>0.318</v>
      </c>
      <c r="W457" s="7">
        <v>0.5</v>
      </c>
      <c r="X457" s="7" t="s">
        <v>55</v>
      </c>
      <c r="Y457" s="7" t="s">
        <v>56</v>
      </c>
      <c r="Z457" s="48" t="str">
        <f t="shared" si="79"/>
        <v>APROVADO</v>
      </c>
      <c r="AA457" s="47">
        <v>11540917</v>
      </c>
      <c r="AB457" s="5" t="s">
        <v>3256</v>
      </c>
      <c r="AC457" s="5" t="s">
        <v>48</v>
      </c>
      <c r="AD457" s="5" t="s">
        <v>5632</v>
      </c>
      <c r="AE457" s="5" t="str">
        <f t="shared" ca="1" si="81"/>
        <v>NO PRAZO</v>
      </c>
      <c r="AF457" s="51"/>
    </row>
    <row r="458" spans="1:32" ht="30" customHeight="1" x14ac:dyDescent="0.25">
      <c r="A458" s="12" t="s">
        <v>3043</v>
      </c>
      <c r="B458" s="12" t="s">
        <v>10</v>
      </c>
      <c r="C458" s="5" t="s">
        <v>5862</v>
      </c>
      <c r="D458" s="12" t="s">
        <v>353</v>
      </c>
      <c r="E458" s="12" t="s">
        <v>40</v>
      </c>
      <c r="F458" s="12" t="s">
        <v>90</v>
      </c>
      <c r="G458" s="12" t="s">
        <v>99</v>
      </c>
      <c r="H458" s="12" t="s">
        <v>100</v>
      </c>
      <c r="I458" s="12" t="s">
        <v>93</v>
      </c>
      <c r="J458" s="13" t="s">
        <v>102</v>
      </c>
      <c r="K458" s="13" t="s">
        <v>45</v>
      </c>
      <c r="L458" s="13" t="s">
        <v>10</v>
      </c>
      <c r="M458" s="13" t="s">
        <v>10</v>
      </c>
      <c r="N458" s="13" t="s">
        <v>10</v>
      </c>
      <c r="O458" s="94" t="s">
        <v>46</v>
      </c>
      <c r="P458" s="100">
        <v>46208</v>
      </c>
      <c r="Q458" s="100">
        <f>IF(P458="","",P458+184)</f>
        <v>46392</v>
      </c>
      <c r="R458" s="10" t="s">
        <v>4574</v>
      </c>
      <c r="S458" s="10" t="s">
        <v>5779</v>
      </c>
      <c r="T458" s="7">
        <v>0.38600000000000001</v>
      </c>
      <c r="U458" s="7" t="s">
        <v>10</v>
      </c>
      <c r="V458" s="7">
        <f t="shared" si="78"/>
        <v>0.38600000000000001</v>
      </c>
      <c r="W458" s="7">
        <v>0.5</v>
      </c>
      <c r="X458" s="7" t="s">
        <v>55</v>
      </c>
      <c r="Y458" s="7" t="s">
        <v>56</v>
      </c>
      <c r="Z458" s="48" t="str">
        <f t="shared" si="79"/>
        <v>APROVADO</v>
      </c>
      <c r="AA458" s="47">
        <v>11594772</v>
      </c>
      <c r="AB458" s="5" t="s">
        <v>3257</v>
      </c>
      <c r="AC458" s="5" t="s">
        <v>48</v>
      </c>
      <c r="AD458" s="5" t="s">
        <v>5632</v>
      </c>
      <c r="AE458" s="5" t="str">
        <f t="shared" ca="1" si="81"/>
        <v>NO PRAZO</v>
      </c>
      <c r="AF458" s="51"/>
    </row>
    <row r="459" spans="1:32" ht="30" customHeight="1" x14ac:dyDescent="0.25">
      <c r="A459" s="12" t="s">
        <v>4446</v>
      </c>
      <c r="B459" s="12" t="s">
        <v>10</v>
      </c>
      <c r="C459" s="5" t="s">
        <v>5862</v>
      </c>
      <c r="D459" s="12" t="s">
        <v>365</v>
      </c>
      <c r="E459" s="12" t="s">
        <v>40</v>
      </c>
      <c r="F459" s="12" t="s">
        <v>90</v>
      </c>
      <c r="G459" s="12" t="s">
        <v>103</v>
      </c>
      <c r="H459" s="12" t="s">
        <v>92</v>
      </c>
      <c r="I459" s="12" t="s">
        <v>3374</v>
      </c>
      <c r="J459" s="13" t="s">
        <v>94</v>
      </c>
      <c r="K459" s="13" t="s">
        <v>45</v>
      </c>
      <c r="L459" s="13" t="s">
        <v>10</v>
      </c>
      <c r="M459" s="13" t="s">
        <v>10</v>
      </c>
      <c r="N459" s="13" t="s">
        <v>10</v>
      </c>
      <c r="O459" s="94" t="s">
        <v>46</v>
      </c>
      <c r="P459" s="106">
        <v>46158</v>
      </c>
      <c r="Q459" s="100">
        <f t="shared" ref="Q459:Q466" si="82">IF(P459="","",P459+184)</f>
        <v>46342</v>
      </c>
      <c r="R459" s="10" t="s">
        <v>4448</v>
      </c>
      <c r="S459" s="10" t="s">
        <v>5517</v>
      </c>
      <c r="T459" s="7">
        <v>0.27300000000000002</v>
      </c>
      <c r="U459" s="7" t="s">
        <v>10</v>
      </c>
      <c r="V459" s="7">
        <f t="shared" si="78"/>
        <v>0.27300000000000002</v>
      </c>
      <c r="W459" s="7">
        <v>0.5</v>
      </c>
      <c r="X459" s="7" t="s">
        <v>55</v>
      </c>
      <c r="Y459" s="7" t="s">
        <v>56</v>
      </c>
      <c r="Z459" s="48" t="str">
        <f t="shared" si="79"/>
        <v>APROVADO</v>
      </c>
      <c r="AA459" s="47">
        <v>11542242</v>
      </c>
      <c r="AB459" s="47" t="s">
        <v>4535</v>
      </c>
      <c r="AC459" s="5" t="s">
        <v>48</v>
      </c>
      <c r="AD459" s="5" t="s">
        <v>5530</v>
      </c>
      <c r="AE459" s="5" t="str">
        <f t="shared" ca="1" si="81"/>
        <v>NO PRAZO</v>
      </c>
      <c r="AF459" s="52"/>
    </row>
    <row r="460" spans="1:32" ht="30" customHeight="1" x14ac:dyDescent="0.25">
      <c r="A460" s="12" t="s">
        <v>4447</v>
      </c>
      <c r="B460" s="12" t="s">
        <v>10</v>
      </c>
      <c r="C460" s="5" t="s">
        <v>5862</v>
      </c>
      <c r="D460" s="12" t="s">
        <v>365</v>
      </c>
      <c r="E460" s="12" t="s">
        <v>40</v>
      </c>
      <c r="F460" s="12" t="s">
        <v>90</v>
      </c>
      <c r="G460" s="12" t="s">
        <v>103</v>
      </c>
      <c r="H460" s="12" t="s">
        <v>92</v>
      </c>
      <c r="I460" s="12" t="s">
        <v>3374</v>
      </c>
      <c r="J460" s="13" t="s">
        <v>94</v>
      </c>
      <c r="K460" s="13" t="s">
        <v>45</v>
      </c>
      <c r="L460" s="13" t="s">
        <v>10</v>
      </c>
      <c r="M460" s="13" t="s">
        <v>10</v>
      </c>
      <c r="N460" s="13" t="s">
        <v>10</v>
      </c>
      <c r="O460" s="94" t="s">
        <v>46</v>
      </c>
      <c r="P460" s="106">
        <v>46158</v>
      </c>
      <c r="Q460" s="100">
        <f t="shared" si="82"/>
        <v>46342</v>
      </c>
      <c r="R460" s="10" t="s">
        <v>4449</v>
      </c>
      <c r="S460" s="10" t="s">
        <v>5551</v>
      </c>
      <c r="T460" s="7">
        <v>0.27200000000000002</v>
      </c>
      <c r="U460" s="7" t="s">
        <v>10</v>
      </c>
      <c r="V460" s="7">
        <f t="shared" si="78"/>
        <v>0.27200000000000002</v>
      </c>
      <c r="W460" s="7">
        <v>0.5</v>
      </c>
      <c r="X460" s="7" t="s">
        <v>55</v>
      </c>
      <c r="Y460" s="7" t="s">
        <v>56</v>
      </c>
      <c r="Z460" s="48" t="str">
        <f t="shared" si="79"/>
        <v>APROVADO</v>
      </c>
      <c r="AA460" s="47">
        <v>11607331</v>
      </c>
      <c r="AB460" s="47" t="s">
        <v>4536</v>
      </c>
      <c r="AC460" s="5" t="s">
        <v>48</v>
      </c>
      <c r="AD460" s="5" t="s">
        <v>5530</v>
      </c>
      <c r="AE460" s="5" t="str">
        <f t="shared" ca="1" si="81"/>
        <v>NO PRAZO</v>
      </c>
      <c r="AF460" s="52"/>
    </row>
    <row r="461" spans="1:32" ht="30" customHeight="1" x14ac:dyDescent="0.25">
      <c r="A461" s="12" t="s">
        <v>3188</v>
      </c>
      <c r="B461" s="12" t="s">
        <v>10</v>
      </c>
      <c r="C461" s="5" t="s">
        <v>5862</v>
      </c>
      <c r="D461" s="12" t="s">
        <v>365</v>
      </c>
      <c r="E461" s="12" t="s">
        <v>40</v>
      </c>
      <c r="F461" s="12" t="s">
        <v>90</v>
      </c>
      <c r="G461" s="12" t="s">
        <v>105</v>
      </c>
      <c r="H461" s="12" t="s">
        <v>92</v>
      </c>
      <c r="I461" s="12" t="s">
        <v>93</v>
      </c>
      <c r="J461" s="13" t="s">
        <v>94</v>
      </c>
      <c r="K461" s="13" t="s">
        <v>45</v>
      </c>
      <c r="L461" s="13" t="s">
        <v>10</v>
      </c>
      <c r="M461" s="13" t="s">
        <v>10</v>
      </c>
      <c r="N461" s="13" t="s">
        <v>10</v>
      </c>
      <c r="O461" s="94" t="s">
        <v>46</v>
      </c>
      <c r="P461" s="106">
        <v>46089</v>
      </c>
      <c r="Q461" s="100">
        <f t="shared" si="82"/>
        <v>46273</v>
      </c>
      <c r="R461" s="10" t="s">
        <v>3453</v>
      </c>
      <c r="S461" s="10" t="s">
        <v>5166</v>
      </c>
      <c r="T461" s="7">
        <v>0.432</v>
      </c>
      <c r="U461" s="7" t="s">
        <v>10</v>
      </c>
      <c r="V461" s="7">
        <f t="shared" si="78"/>
        <v>0.432</v>
      </c>
      <c r="W461" s="7">
        <v>0.5</v>
      </c>
      <c r="X461" s="7" t="s">
        <v>55</v>
      </c>
      <c r="Y461" s="7" t="s">
        <v>56</v>
      </c>
      <c r="Z461" s="48" t="str">
        <f t="shared" si="79"/>
        <v>APROVADO</v>
      </c>
      <c r="AA461" s="47">
        <v>11542244</v>
      </c>
      <c r="AB461" s="5" t="s">
        <v>2586</v>
      </c>
      <c r="AC461" s="5" t="s">
        <v>48</v>
      </c>
      <c r="AD461" s="5" t="s">
        <v>5530</v>
      </c>
      <c r="AE461" s="5" t="str">
        <f t="shared" ca="1" si="81"/>
        <v>NO PRAZO</v>
      </c>
      <c r="AF461" s="87"/>
    </row>
    <row r="462" spans="1:32" ht="30" customHeight="1" x14ac:dyDescent="0.25">
      <c r="A462" s="12" t="s">
        <v>4450</v>
      </c>
      <c r="B462" s="12" t="s">
        <v>10</v>
      </c>
      <c r="C462" s="5" t="s">
        <v>5862</v>
      </c>
      <c r="D462" s="12" t="s">
        <v>365</v>
      </c>
      <c r="E462" s="12" t="s">
        <v>40</v>
      </c>
      <c r="F462" s="12" t="s">
        <v>90</v>
      </c>
      <c r="G462" s="12" t="s">
        <v>107</v>
      </c>
      <c r="H462" s="12" t="s">
        <v>92</v>
      </c>
      <c r="I462" s="12" t="s">
        <v>3374</v>
      </c>
      <c r="J462" s="13" t="s">
        <v>94</v>
      </c>
      <c r="K462" s="13" t="s">
        <v>45</v>
      </c>
      <c r="L462" s="13" t="s">
        <v>10</v>
      </c>
      <c r="M462" s="13" t="s">
        <v>10</v>
      </c>
      <c r="N462" s="13" t="s">
        <v>10</v>
      </c>
      <c r="O462" s="94" t="s">
        <v>46</v>
      </c>
      <c r="P462" s="106">
        <v>46158</v>
      </c>
      <c r="Q462" s="100">
        <f t="shared" si="82"/>
        <v>46342</v>
      </c>
      <c r="R462" s="10" t="s">
        <v>4452</v>
      </c>
      <c r="S462" s="10" t="s">
        <v>5518</v>
      </c>
      <c r="T462" s="7">
        <v>0.27200000000000002</v>
      </c>
      <c r="U462" s="7" t="s">
        <v>10</v>
      </c>
      <c r="V462" s="7">
        <f t="shared" si="78"/>
        <v>0.27200000000000002</v>
      </c>
      <c r="W462" s="7">
        <v>0.5</v>
      </c>
      <c r="X462" s="7" t="s">
        <v>55</v>
      </c>
      <c r="Y462" s="7" t="s">
        <v>56</v>
      </c>
      <c r="Z462" s="48" t="str">
        <f t="shared" si="79"/>
        <v>APROVADO</v>
      </c>
      <c r="AA462" s="47">
        <v>11556319</v>
      </c>
      <c r="AB462" s="47" t="s">
        <v>4537</v>
      </c>
      <c r="AC462" s="5" t="s">
        <v>48</v>
      </c>
      <c r="AD462" s="5" t="s">
        <v>5530</v>
      </c>
      <c r="AE462" s="5" t="str">
        <f t="shared" ca="1" si="81"/>
        <v>NO PRAZO</v>
      </c>
      <c r="AF462" s="123"/>
    </row>
    <row r="463" spans="1:32" ht="30" customHeight="1" x14ac:dyDescent="0.25">
      <c r="A463" s="12" t="s">
        <v>4451</v>
      </c>
      <c r="B463" s="12" t="s">
        <v>10</v>
      </c>
      <c r="C463" s="5" t="s">
        <v>5862</v>
      </c>
      <c r="D463" s="12" t="s">
        <v>365</v>
      </c>
      <c r="E463" s="12" t="s">
        <v>40</v>
      </c>
      <c r="F463" s="12" t="s">
        <v>90</v>
      </c>
      <c r="G463" s="12" t="s">
        <v>107</v>
      </c>
      <c r="H463" s="12" t="s">
        <v>92</v>
      </c>
      <c r="I463" s="12" t="s">
        <v>3374</v>
      </c>
      <c r="J463" s="13" t="s">
        <v>94</v>
      </c>
      <c r="K463" s="13" t="s">
        <v>45</v>
      </c>
      <c r="L463" s="13" t="s">
        <v>10</v>
      </c>
      <c r="M463" s="13" t="s">
        <v>10</v>
      </c>
      <c r="N463" s="13" t="s">
        <v>10</v>
      </c>
      <c r="O463" s="94" t="s">
        <v>46</v>
      </c>
      <c r="P463" s="106">
        <v>46158</v>
      </c>
      <c r="Q463" s="100">
        <f t="shared" si="82"/>
        <v>46342</v>
      </c>
      <c r="R463" s="10" t="s">
        <v>4453</v>
      </c>
      <c r="S463" s="10" t="s">
        <v>5519</v>
      </c>
      <c r="T463" s="7">
        <v>0.26</v>
      </c>
      <c r="U463" s="7" t="s">
        <v>10</v>
      </c>
      <c r="V463" s="7">
        <f t="shared" si="78"/>
        <v>0.26</v>
      </c>
      <c r="W463" s="7">
        <v>0.5</v>
      </c>
      <c r="X463" s="7" t="s">
        <v>55</v>
      </c>
      <c r="Y463" s="7" t="s">
        <v>56</v>
      </c>
      <c r="Z463" s="48" t="str">
        <f t="shared" si="79"/>
        <v>APROVADO</v>
      </c>
      <c r="AA463" s="47">
        <v>11607332</v>
      </c>
      <c r="AB463" s="47" t="s">
        <v>4538</v>
      </c>
      <c r="AC463" s="5" t="s">
        <v>48</v>
      </c>
      <c r="AD463" s="5" t="s">
        <v>5530</v>
      </c>
      <c r="AE463" s="5" t="str">
        <f t="shared" ref="AE463:AE494" ca="1" si="83">IFERROR(IF(OR(AND(YEAR(Q463)=YEAR(TODAY()),MONTH(Q463)&gt;MONTH(TODAY())),(YEAR(Q463)&gt;YEAR(TODAY()))),$AK$4,IF(AND(YEAR(Q463)=YEAR(TODAY()),MONTH(Q463)=MONTH(TODAY())),$AK$5,IF(Q463="",$AK$6,$AK$7))),"-")</f>
        <v>NO PRAZO</v>
      </c>
      <c r="AF463" s="53"/>
    </row>
    <row r="464" spans="1:32" ht="30" customHeight="1" x14ac:dyDescent="0.25">
      <c r="A464" s="12" t="s">
        <v>108</v>
      </c>
      <c r="B464" s="12" t="s">
        <v>10</v>
      </c>
      <c r="C464" s="5" t="s">
        <v>5862</v>
      </c>
      <c r="D464" s="12" t="s">
        <v>365</v>
      </c>
      <c r="E464" s="12" t="s">
        <v>40</v>
      </c>
      <c r="F464" s="12" t="s">
        <v>90</v>
      </c>
      <c r="G464" s="12" t="s">
        <v>109</v>
      </c>
      <c r="H464" s="12" t="s">
        <v>100</v>
      </c>
      <c r="I464" s="12" t="s">
        <v>3433</v>
      </c>
      <c r="J464" s="13" t="s">
        <v>102</v>
      </c>
      <c r="K464" s="13" t="s">
        <v>45</v>
      </c>
      <c r="L464" s="13" t="s">
        <v>10</v>
      </c>
      <c r="M464" s="13" t="s">
        <v>10</v>
      </c>
      <c r="N464" s="13" t="s">
        <v>10</v>
      </c>
      <c r="O464" s="94" t="s">
        <v>46</v>
      </c>
      <c r="P464" s="106">
        <v>46102</v>
      </c>
      <c r="Q464" s="100">
        <f t="shared" si="82"/>
        <v>46286</v>
      </c>
      <c r="R464" s="10" t="s">
        <v>3362</v>
      </c>
      <c r="S464" s="10" t="s">
        <v>5091</v>
      </c>
      <c r="T464" s="7">
        <v>0.36699999999999999</v>
      </c>
      <c r="U464" s="7" t="s">
        <v>10</v>
      </c>
      <c r="V464" s="7">
        <f t="shared" si="78"/>
        <v>0.36699999999999999</v>
      </c>
      <c r="W464" s="7">
        <v>0.5</v>
      </c>
      <c r="X464" s="7" t="s">
        <v>55</v>
      </c>
      <c r="Y464" s="7" t="s">
        <v>56</v>
      </c>
      <c r="Z464" s="48" t="str">
        <f t="shared" si="79"/>
        <v>APROVADO</v>
      </c>
      <c r="AA464" s="47">
        <v>11542246</v>
      </c>
      <c r="AB464" s="5" t="s">
        <v>2587</v>
      </c>
      <c r="AC464" s="5" t="s">
        <v>48</v>
      </c>
      <c r="AD464" s="5" t="s">
        <v>5530</v>
      </c>
      <c r="AE464" s="5" t="str">
        <f t="shared" ca="1" si="83"/>
        <v>NO PRAZO</v>
      </c>
      <c r="AF464" s="49"/>
    </row>
    <row r="465" spans="1:41" ht="30" customHeight="1" x14ac:dyDescent="0.25">
      <c r="A465" s="146" t="s">
        <v>5011</v>
      </c>
      <c r="B465" s="12" t="s">
        <v>10</v>
      </c>
      <c r="C465" s="5" t="s">
        <v>5862</v>
      </c>
      <c r="D465" s="12" t="s">
        <v>365</v>
      </c>
      <c r="E465" s="12" t="s">
        <v>40</v>
      </c>
      <c r="F465" s="12" t="s">
        <v>90</v>
      </c>
      <c r="G465" s="12" t="s">
        <v>111</v>
      </c>
      <c r="H465" s="12" t="s">
        <v>92</v>
      </c>
      <c r="I465" s="12" t="s">
        <v>3374</v>
      </c>
      <c r="J465" s="13" t="s">
        <v>94</v>
      </c>
      <c r="K465" s="13" t="s">
        <v>45</v>
      </c>
      <c r="L465" s="13" t="s">
        <v>10</v>
      </c>
      <c r="M465" s="13" t="s">
        <v>10</v>
      </c>
      <c r="N465" s="13" t="s">
        <v>10</v>
      </c>
      <c r="O465" s="94" t="s">
        <v>46</v>
      </c>
      <c r="P465" s="106">
        <v>46089</v>
      </c>
      <c r="Q465" s="100">
        <f t="shared" si="82"/>
        <v>46273</v>
      </c>
      <c r="R465" s="54" t="s">
        <v>10</v>
      </c>
      <c r="S465" s="54" t="s">
        <v>5012</v>
      </c>
      <c r="T465" s="7">
        <v>0.46899999999999997</v>
      </c>
      <c r="U465" s="7" t="s">
        <v>10</v>
      </c>
      <c r="V465" s="7">
        <f t="shared" si="78"/>
        <v>0.46899999999999997</v>
      </c>
      <c r="W465" s="7">
        <v>0.5</v>
      </c>
      <c r="X465" s="7" t="s">
        <v>55</v>
      </c>
      <c r="Y465" s="7" t="s">
        <v>56</v>
      </c>
      <c r="Z465" s="48" t="str">
        <f t="shared" si="79"/>
        <v>APROVADO</v>
      </c>
      <c r="AA465" s="47">
        <v>11542247</v>
      </c>
      <c r="AB465" s="5" t="s">
        <v>2589</v>
      </c>
      <c r="AC465" s="5" t="s">
        <v>48</v>
      </c>
      <c r="AD465" s="5" t="s">
        <v>5530</v>
      </c>
      <c r="AE465" s="5" t="str">
        <f t="shared" ca="1" si="83"/>
        <v>NO PRAZO</v>
      </c>
      <c r="AF465" s="87"/>
    </row>
    <row r="466" spans="1:41" ht="30" customHeight="1" x14ac:dyDescent="0.25">
      <c r="A466" s="12" t="s">
        <v>4467</v>
      </c>
      <c r="B466" s="12" t="s">
        <v>10</v>
      </c>
      <c r="C466" s="5" t="s">
        <v>5862</v>
      </c>
      <c r="D466" s="12" t="s">
        <v>365</v>
      </c>
      <c r="E466" s="12" t="s">
        <v>40</v>
      </c>
      <c r="F466" s="12" t="s">
        <v>90</v>
      </c>
      <c r="G466" s="12" t="s">
        <v>4476</v>
      </c>
      <c r="H466" s="12" t="s">
        <v>92</v>
      </c>
      <c r="I466" s="12" t="s">
        <v>3374</v>
      </c>
      <c r="J466" s="13" t="s">
        <v>94</v>
      </c>
      <c r="K466" s="13" t="s">
        <v>45</v>
      </c>
      <c r="L466" s="13" t="s">
        <v>10</v>
      </c>
      <c r="M466" s="13" t="s">
        <v>10</v>
      </c>
      <c r="N466" s="13" t="s">
        <v>10</v>
      </c>
      <c r="O466" s="94" t="s">
        <v>46</v>
      </c>
      <c r="P466" s="106">
        <v>46158</v>
      </c>
      <c r="Q466" s="100">
        <f t="shared" si="82"/>
        <v>46342</v>
      </c>
      <c r="R466" s="10" t="s">
        <v>4468</v>
      </c>
      <c r="S466" s="10" t="s">
        <v>5520</v>
      </c>
      <c r="T466" s="7">
        <v>0.35299999999999998</v>
      </c>
      <c r="U466" s="7"/>
      <c r="V466" s="7">
        <f t="shared" si="78"/>
        <v>0.35299999999999998</v>
      </c>
      <c r="W466" s="7">
        <v>0.5</v>
      </c>
      <c r="X466" s="7" t="s">
        <v>55</v>
      </c>
      <c r="Y466" s="7" t="s">
        <v>56</v>
      </c>
      <c r="Z466" s="48" t="str">
        <f t="shared" si="79"/>
        <v>APROVADO</v>
      </c>
      <c r="AA466" s="47">
        <v>11607334</v>
      </c>
      <c r="AB466" s="47" t="s">
        <v>4540</v>
      </c>
      <c r="AC466" s="5" t="s">
        <v>48</v>
      </c>
      <c r="AD466" s="5" t="s">
        <v>5530</v>
      </c>
      <c r="AE466" s="5" t="str">
        <f t="shared" ca="1" si="83"/>
        <v>NO PRAZO</v>
      </c>
      <c r="AF466" s="124"/>
    </row>
    <row r="467" spans="1:41" ht="30" customHeight="1" x14ac:dyDescent="0.25">
      <c r="A467" s="12" t="s">
        <v>3370</v>
      </c>
      <c r="B467" s="12" t="s">
        <v>10</v>
      </c>
      <c r="C467" s="5" t="s">
        <v>5862</v>
      </c>
      <c r="D467" s="12" t="s">
        <v>353</v>
      </c>
      <c r="E467" s="12" t="s">
        <v>40</v>
      </c>
      <c r="F467" s="12" t="s">
        <v>90</v>
      </c>
      <c r="G467" s="12" t="s">
        <v>112</v>
      </c>
      <c r="H467" s="12" t="s">
        <v>92</v>
      </c>
      <c r="I467" s="12" t="s">
        <v>3374</v>
      </c>
      <c r="J467" s="13" t="s">
        <v>94</v>
      </c>
      <c r="K467" s="13" t="s">
        <v>45</v>
      </c>
      <c r="L467" s="13" t="s">
        <v>10</v>
      </c>
      <c r="M467" s="13" t="s">
        <v>10</v>
      </c>
      <c r="N467" s="13" t="s">
        <v>10</v>
      </c>
      <c r="O467" s="94" t="s">
        <v>46</v>
      </c>
      <c r="P467" s="100">
        <v>46208</v>
      </c>
      <c r="Q467" s="100">
        <f t="shared" ref="Q467:Q472" si="84">IF(P467="","",P467+184)</f>
        <v>46392</v>
      </c>
      <c r="R467" s="10" t="s">
        <v>4575</v>
      </c>
      <c r="S467" s="10" t="s">
        <v>5780</v>
      </c>
      <c r="T467" s="7">
        <v>0.376</v>
      </c>
      <c r="U467" s="7"/>
      <c r="V467" s="7">
        <f t="shared" si="78"/>
        <v>0.376</v>
      </c>
      <c r="W467" s="7">
        <v>0.5</v>
      </c>
      <c r="X467" s="7" t="s">
        <v>55</v>
      </c>
      <c r="Y467" s="7" t="s">
        <v>56</v>
      </c>
      <c r="Z467" s="48" t="str">
        <f t="shared" si="79"/>
        <v>APROVADO</v>
      </c>
      <c r="AA467" s="47">
        <v>11606610</v>
      </c>
      <c r="AB467" s="5" t="s">
        <v>4050</v>
      </c>
      <c r="AC467" s="5" t="s">
        <v>48</v>
      </c>
      <c r="AD467" s="5" t="s">
        <v>5632</v>
      </c>
      <c r="AE467" s="5" t="str">
        <f t="shared" ca="1" si="83"/>
        <v>NO PRAZO</v>
      </c>
      <c r="AF467" s="51"/>
    </row>
    <row r="468" spans="1:41" ht="30" customHeight="1" x14ac:dyDescent="0.25">
      <c r="A468" s="12" t="s">
        <v>3371</v>
      </c>
      <c r="B468" s="12" t="s">
        <v>10</v>
      </c>
      <c r="C468" s="5" t="s">
        <v>5862</v>
      </c>
      <c r="D468" s="12" t="s">
        <v>353</v>
      </c>
      <c r="E468" s="12" t="s">
        <v>40</v>
      </c>
      <c r="F468" s="12" t="s">
        <v>90</v>
      </c>
      <c r="G468" s="12" t="s">
        <v>112</v>
      </c>
      <c r="H468" s="12" t="s">
        <v>92</v>
      </c>
      <c r="I468" s="12" t="s">
        <v>3374</v>
      </c>
      <c r="J468" s="13" t="s">
        <v>94</v>
      </c>
      <c r="K468" s="13" t="s">
        <v>45</v>
      </c>
      <c r="L468" s="13" t="s">
        <v>10</v>
      </c>
      <c r="M468" s="13" t="s">
        <v>10</v>
      </c>
      <c r="N468" s="13" t="s">
        <v>10</v>
      </c>
      <c r="O468" s="94" t="s">
        <v>46</v>
      </c>
      <c r="P468" s="100">
        <v>46208</v>
      </c>
      <c r="Q468" s="100">
        <f t="shared" si="84"/>
        <v>46392</v>
      </c>
      <c r="R468" s="10" t="s">
        <v>4576</v>
      </c>
      <c r="S468" s="10" t="s">
        <v>5781</v>
      </c>
      <c r="T468" s="7">
        <v>0.37</v>
      </c>
      <c r="U468" s="7" t="s">
        <v>10</v>
      </c>
      <c r="V468" s="7">
        <f t="shared" si="78"/>
        <v>0.37</v>
      </c>
      <c r="W468" s="7">
        <v>0.5</v>
      </c>
      <c r="X468" s="7" t="s">
        <v>55</v>
      </c>
      <c r="Y468" s="7" t="s">
        <v>56</v>
      </c>
      <c r="Z468" s="48" t="str">
        <f t="shared" si="79"/>
        <v>APROVADO</v>
      </c>
      <c r="AA468" s="47">
        <v>11606611</v>
      </c>
      <c r="AB468" s="5" t="s">
        <v>4051</v>
      </c>
      <c r="AC468" s="5" t="s">
        <v>48</v>
      </c>
      <c r="AD468" s="5" t="s">
        <v>5632</v>
      </c>
      <c r="AE468" s="5" t="str">
        <f t="shared" ca="1" si="83"/>
        <v>NO PRAZO</v>
      </c>
      <c r="AF468" s="51"/>
    </row>
    <row r="469" spans="1:41" ht="30" customHeight="1" x14ac:dyDescent="0.25">
      <c r="A469" s="12" t="s">
        <v>3366</v>
      </c>
      <c r="B469" s="12" t="s">
        <v>10</v>
      </c>
      <c r="C469" s="5" t="s">
        <v>5862</v>
      </c>
      <c r="D469" s="12" t="s">
        <v>353</v>
      </c>
      <c r="E469" s="12" t="s">
        <v>40</v>
      </c>
      <c r="F469" s="12" t="s">
        <v>90</v>
      </c>
      <c r="G469" s="12" t="s">
        <v>113</v>
      </c>
      <c r="H469" s="12" t="s">
        <v>100</v>
      </c>
      <c r="I469" s="12" t="s">
        <v>93</v>
      </c>
      <c r="J469" s="13" t="s">
        <v>102</v>
      </c>
      <c r="K469" s="13" t="s">
        <v>45</v>
      </c>
      <c r="L469" s="13" t="s">
        <v>10</v>
      </c>
      <c r="M469" s="13" t="s">
        <v>10</v>
      </c>
      <c r="N469" s="13" t="s">
        <v>10</v>
      </c>
      <c r="O469" s="94" t="s">
        <v>46</v>
      </c>
      <c r="P469" s="100">
        <v>46208</v>
      </c>
      <c r="Q469" s="100">
        <f t="shared" si="84"/>
        <v>46392</v>
      </c>
      <c r="R469" s="54" t="s">
        <v>5039</v>
      </c>
      <c r="S469" s="54" t="s">
        <v>5782</v>
      </c>
      <c r="T469" s="7">
        <v>0.311</v>
      </c>
      <c r="U469" s="7"/>
      <c r="V469" s="7">
        <f t="shared" si="78"/>
        <v>0.311</v>
      </c>
      <c r="W469" s="7">
        <v>0.5</v>
      </c>
      <c r="X469" s="7" t="s">
        <v>55</v>
      </c>
      <c r="Y469" s="7" t="s">
        <v>56</v>
      </c>
      <c r="Z469" s="48" t="str">
        <f t="shared" si="79"/>
        <v>APROVADO</v>
      </c>
      <c r="AA469" s="47">
        <v>11542251</v>
      </c>
      <c r="AB469" s="5" t="s">
        <v>2590</v>
      </c>
      <c r="AC469" s="5" t="s">
        <v>48</v>
      </c>
      <c r="AD469" s="5" t="s">
        <v>5632</v>
      </c>
      <c r="AE469" s="5" t="str">
        <f t="shared" ca="1" si="83"/>
        <v>NO PRAZO</v>
      </c>
      <c r="AF469" s="51"/>
    </row>
    <row r="470" spans="1:41" ht="30" customHeight="1" x14ac:dyDescent="0.25">
      <c r="A470" s="12" t="s">
        <v>3367</v>
      </c>
      <c r="B470" s="12" t="s">
        <v>10</v>
      </c>
      <c r="C470" s="5" t="s">
        <v>5862</v>
      </c>
      <c r="D470" s="12" t="s">
        <v>353</v>
      </c>
      <c r="E470" s="12" t="s">
        <v>40</v>
      </c>
      <c r="F470" s="12" t="s">
        <v>90</v>
      </c>
      <c r="G470" s="12" t="s">
        <v>113</v>
      </c>
      <c r="H470" s="12" t="s">
        <v>100</v>
      </c>
      <c r="I470" s="12" t="s">
        <v>93</v>
      </c>
      <c r="J470" s="13" t="s">
        <v>102</v>
      </c>
      <c r="K470" s="13" t="s">
        <v>45</v>
      </c>
      <c r="L470" s="13" t="s">
        <v>10</v>
      </c>
      <c r="M470" s="13" t="s">
        <v>10</v>
      </c>
      <c r="N470" s="13" t="s">
        <v>10</v>
      </c>
      <c r="O470" s="94" t="s">
        <v>46</v>
      </c>
      <c r="P470" s="100">
        <v>46208</v>
      </c>
      <c r="Q470" s="100">
        <f t="shared" si="84"/>
        <v>46392</v>
      </c>
      <c r="R470" s="54" t="s">
        <v>5040</v>
      </c>
      <c r="S470" s="54" t="s">
        <v>5783</v>
      </c>
      <c r="T470" s="7">
        <v>0.377</v>
      </c>
      <c r="U470" s="7" t="s">
        <v>10</v>
      </c>
      <c r="V470" s="7">
        <f t="shared" si="78"/>
        <v>0.377</v>
      </c>
      <c r="W470" s="7">
        <v>0.5</v>
      </c>
      <c r="X470" s="7" t="s">
        <v>55</v>
      </c>
      <c r="Y470" s="7" t="s">
        <v>56</v>
      </c>
      <c r="Z470" s="48" t="str">
        <f t="shared" si="79"/>
        <v>APROVADO</v>
      </c>
      <c r="AA470" s="47">
        <v>11606612</v>
      </c>
      <c r="AB470" s="5" t="s">
        <v>4052</v>
      </c>
      <c r="AC470" s="5" t="s">
        <v>48</v>
      </c>
      <c r="AD470" s="5" t="s">
        <v>5632</v>
      </c>
      <c r="AE470" s="5" t="str">
        <f t="shared" ca="1" si="83"/>
        <v>NO PRAZO</v>
      </c>
      <c r="AF470" s="51"/>
    </row>
    <row r="471" spans="1:41" ht="30" customHeight="1" x14ac:dyDescent="0.25">
      <c r="A471" s="12" t="s">
        <v>3040</v>
      </c>
      <c r="B471" s="12" t="s">
        <v>10</v>
      </c>
      <c r="C471" s="5" t="s">
        <v>5862</v>
      </c>
      <c r="D471" s="12" t="s">
        <v>353</v>
      </c>
      <c r="E471" s="12" t="s">
        <v>40</v>
      </c>
      <c r="F471" s="12" t="s">
        <v>90</v>
      </c>
      <c r="G471" s="12" t="s">
        <v>114</v>
      </c>
      <c r="H471" s="12" t="s">
        <v>92</v>
      </c>
      <c r="I471" s="12" t="s">
        <v>93</v>
      </c>
      <c r="J471" s="13" t="s">
        <v>94</v>
      </c>
      <c r="K471" s="13" t="s">
        <v>45</v>
      </c>
      <c r="L471" s="13" t="s">
        <v>10</v>
      </c>
      <c r="M471" s="13" t="s">
        <v>10</v>
      </c>
      <c r="N471" s="13" t="s">
        <v>10</v>
      </c>
      <c r="O471" s="94" t="s">
        <v>46</v>
      </c>
      <c r="P471" s="100">
        <v>46208</v>
      </c>
      <c r="Q471" s="100">
        <f t="shared" si="84"/>
        <v>46392</v>
      </c>
      <c r="R471" s="12" t="s">
        <v>4577</v>
      </c>
      <c r="S471" s="12" t="s">
        <v>5784</v>
      </c>
      <c r="T471" s="7">
        <v>0.36599999999999999</v>
      </c>
      <c r="U471" s="7" t="s">
        <v>10</v>
      </c>
      <c r="V471" s="7">
        <f t="shared" si="78"/>
        <v>0.36599999999999999</v>
      </c>
      <c r="W471" s="7">
        <v>0.5</v>
      </c>
      <c r="X471" s="7" t="s">
        <v>55</v>
      </c>
      <c r="Y471" s="7" t="s">
        <v>56</v>
      </c>
      <c r="Z471" s="48" t="str">
        <f t="shared" si="79"/>
        <v>APROVADO</v>
      </c>
      <c r="AA471" s="47">
        <v>11606613</v>
      </c>
      <c r="AB471" s="5" t="s">
        <v>4053</v>
      </c>
      <c r="AC471" s="5" t="s">
        <v>48</v>
      </c>
      <c r="AD471" s="5" t="s">
        <v>5632</v>
      </c>
      <c r="AE471" s="5" t="str">
        <f t="shared" ca="1" si="83"/>
        <v>NO PRAZO</v>
      </c>
      <c r="AF471" s="51"/>
    </row>
    <row r="472" spans="1:41" s="112" customFormat="1" ht="30" customHeight="1" x14ac:dyDescent="0.25">
      <c r="A472" s="12" t="s">
        <v>3041</v>
      </c>
      <c r="B472" s="12" t="s">
        <v>10</v>
      </c>
      <c r="C472" s="5" t="s">
        <v>5862</v>
      </c>
      <c r="D472" s="12" t="s">
        <v>353</v>
      </c>
      <c r="E472" s="12" t="s">
        <v>40</v>
      </c>
      <c r="F472" s="12" t="s">
        <v>90</v>
      </c>
      <c r="G472" s="12" t="s">
        <v>114</v>
      </c>
      <c r="H472" s="12" t="s">
        <v>92</v>
      </c>
      <c r="I472" s="12" t="s">
        <v>93</v>
      </c>
      <c r="J472" s="13" t="s">
        <v>94</v>
      </c>
      <c r="K472" s="13" t="s">
        <v>45</v>
      </c>
      <c r="L472" s="13" t="s">
        <v>10</v>
      </c>
      <c r="M472" s="13" t="s">
        <v>10</v>
      </c>
      <c r="N472" s="13" t="s">
        <v>10</v>
      </c>
      <c r="O472" s="94" t="s">
        <v>46</v>
      </c>
      <c r="P472" s="100">
        <v>46208</v>
      </c>
      <c r="Q472" s="100">
        <f t="shared" si="84"/>
        <v>46392</v>
      </c>
      <c r="R472" s="12" t="s">
        <v>4578</v>
      </c>
      <c r="S472" s="12" t="s">
        <v>5785</v>
      </c>
      <c r="T472" s="7">
        <v>0.35699999999999998</v>
      </c>
      <c r="U472" s="7" t="s">
        <v>10</v>
      </c>
      <c r="V472" s="7">
        <f t="shared" si="78"/>
        <v>0.35699999999999998</v>
      </c>
      <c r="W472" s="7">
        <v>0.5</v>
      </c>
      <c r="X472" s="7" t="s">
        <v>55</v>
      </c>
      <c r="Y472" s="7" t="s">
        <v>56</v>
      </c>
      <c r="Z472" s="48" t="str">
        <f t="shared" si="79"/>
        <v>APROVADO</v>
      </c>
      <c r="AA472" s="47">
        <v>11606614</v>
      </c>
      <c r="AB472" s="5" t="s">
        <v>4054</v>
      </c>
      <c r="AC472" s="5" t="s">
        <v>48</v>
      </c>
      <c r="AD472" s="5" t="s">
        <v>5632</v>
      </c>
      <c r="AE472" s="5" t="str">
        <f t="shared" ca="1" si="83"/>
        <v>NO PRAZO</v>
      </c>
      <c r="AF472" s="51"/>
      <c r="AK472"/>
      <c r="AL472"/>
      <c r="AM472"/>
      <c r="AN472"/>
      <c r="AO472"/>
    </row>
    <row r="473" spans="1:41" s="112" customFormat="1" ht="30" customHeight="1" x14ac:dyDescent="0.25">
      <c r="A473" s="12" t="s">
        <v>4454</v>
      </c>
      <c r="B473" s="12" t="s">
        <v>10</v>
      </c>
      <c r="C473" s="5" t="s">
        <v>5862</v>
      </c>
      <c r="D473" s="12" t="s">
        <v>365</v>
      </c>
      <c r="E473" s="12" t="s">
        <v>40</v>
      </c>
      <c r="F473" s="12" t="s">
        <v>90</v>
      </c>
      <c r="G473" s="12" t="s">
        <v>116</v>
      </c>
      <c r="H473" s="12" t="s">
        <v>92</v>
      </c>
      <c r="I473" s="12" t="s">
        <v>3374</v>
      </c>
      <c r="J473" s="13" t="s">
        <v>94</v>
      </c>
      <c r="K473" s="13" t="s">
        <v>45</v>
      </c>
      <c r="L473" s="13" t="s">
        <v>10</v>
      </c>
      <c r="M473" s="13" t="s">
        <v>10</v>
      </c>
      <c r="N473" s="13" t="s">
        <v>10</v>
      </c>
      <c r="O473" s="94" t="s">
        <v>46</v>
      </c>
      <c r="P473" s="106">
        <v>46158</v>
      </c>
      <c r="Q473" s="100">
        <f t="shared" ref="Q473:Q479" si="85">IF(P473="","",P473+184)</f>
        <v>46342</v>
      </c>
      <c r="R473" s="12" t="s">
        <v>4456</v>
      </c>
      <c r="S473" s="12" t="s">
        <v>5521</v>
      </c>
      <c r="T473" s="7">
        <v>0.35199999999999998</v>
      </c>
      <c r="U473" s="7" t="s">
        <v>10</v>
      </c>
      <c r="V473" s="7">
        <f t="shared" si="78"/>
        <v>0.35199999999999998</v>
      </c>
      <c r="W473" s="7">
        <v>0.5</v>
      </c>
      <c r="X473" s="7" t="s">
        <v>55</v>
      </c>
      <c r="Y473" s="7" t="s">
        <v>56</v>
      </c>
      <c r="Z473" s="48" t="str">
        <f t="shared" si="79"/>
        <v>APROVADO</v>
      </c>
      <c r="AA473" s="47">
        <v>11542254</v>
      </c>
      <c r="AB473" s="47" t="s">
        <v>4541</v>
      </c>
      <c r="AC473" s="5" t="s">
        <v>48</v>
      </c>
      <c r="AD473" s="5" t="s">
        <v>5530</v>
      </c>
      <c r="AE473" s="5" t="str">
        <f t="shared" ca="1" si="83"/>
        <v>NO PRAZO</v>
      </c>
      <c r="AF473" s="52"/>
      <c r="AK473"/>
      <c r="AL473"/>
      <c r="AM473"/>
      <c r="AN473"/>
      <c r="AO473"/>
    </row>
    <row r="474" spans="1:41" ht="30" customHeight="1" x14ac:dyDescent="0.25">
      <c r="A474" s="12" t="s">
        <v>4455</v>
      </c>
      <c r="B474" s="12" t="s">
        <v>10</v>
      </c>
      <c r="C474" s="5" t="s">
        <v>5862</v>
      </c>
      <c r="D474" s="12" t="s">
        <v>365</v>
      </c>
      <c r="E474" s="12" t="s">
        <v>40</v>
      </c>
      <c r="F474" s="12" t="s">
        <v>90</v>
      </c>
      <c r="G474" s="12" t="s">
        <v>116</v>
      </c>
      <c r="H474" s="12" t="s">
        <v>92</v>
      </c>
      <c r="I474" s="12" t="s">
        <v>3374</v>
      </c>
      <c r="J474" s="13" t="s">
        <v>94</v>
      </c>
      <c r="K474" s="13" t="s">
        <v>45</v>
      </c>
      <c r="L474" s="13" t="s">
        <v>10</v>
      </c>
      <c r="M474" s="13" t="s">
        <v>10</v>
      </c>
      <c r="N474" s="13" t="s">
        <v>10</v>
      </c>
      <c r="O474" s="94" t="s">
        <v>46</v>
      </c>
      <c r="P474" s="106">
        <v>46158</v>
      </c>
      <c r="Q474" s="100">
        <f t="shared" si="85"/>
        <v>46342</v>
      </c>
      <c r="R474" s="12" t="s">
        <v>4460</v>
      </c>
      <c r="S474" s="12" t="s">
        <v>5522</v>
      </c>
      <c r="T474" s="7">
        <v>0.22</v>
      </c>
      <c r="U474" s="7" t="s">
        <v>10</v>
      </c>
      <c r="V474" s="7">
        <f t="shared" si="78"/>
        <v>0.22</v>
      </c>
      <c r="W474" s="7">
        <v>0.5</v>
      </c>
      <c r="X474" s="7" t="s">
        <v>55</v>
      </c>
      <c r="Y474" s="7" t="s">
        <v>56</v>
      </c>
      <c r="Z474" s="48" t="str">
        <f t="shared" si="79"/>
        <v>APROVADO</v>
      </c>
      <c r="AA474" s="47">
        <v>11607335</v>
      </c>
      <c r="AB474" s="47" t="s">
        <v>4542</v>
      </c>
      <c r="AC474" s="5" t="s">
        <v>48</v>
      </c>
      <c r="AD474" s="5" t="s">
        <v>5530</v>
      </c>
      <c r="AE474" s="5" t="str">
        <f t="shared" ca="1" si="83"/>
        <v>NO PRAZO</v>
      </c>
      <c r="AF474" s="52"/>
    </row>
    <row r="475" spans="1:41" ht="30" customHeight="1" x14ac:dyDescent="0.25">
      <c r="A475" s="12" t="s">
        <v>4466</v>
      </c>
      <c r="B475" s="12" t="s">
        <v>10</v>
      </c>
      <c r="C475" s="5" t="s">
        <v>5862</v>
      </c>
      <c r="D475" s="12" t="s">
        <v>365</v>
      </c>
      <c r="E475" s="12" t="s">
        <v>40</v>
      </c>
      <c r="F475" s="12" t="s">
        <v>90</v>
      </c>
      <c r="G475" s="12" t="s">
        <v>4476</v>
      </c>
      <c r="H475" s="12" t="s">
        <v>92</v>
      </c>
      <c r="I475" s="12" t="s">
        <v>93</v>
      </c>
      <c r="J475" s="13" t="s">
        <v>94</v>
      </c>
      <c r="K475" s="13" t="s">
        <v>45</v>
      </c>
      <c r="L475" s="13" t="s">
        <v>10</v>
      </c>
      <c r="M475" s="13" t="s">
        <v>10</v>
      </c>
      <c r="N475" s="13" t="s">
        <v>10</v>
      </c>
      <c r="O475" s="94" t="s">
        <v>46</v>
      </c>
      <c r="P475" s="106">
        <v>46158</v>
      </c>
      <c r="Q475" s="100">
        <f t="shared" si="85"/>
        <v>46342</v>
      </c>
      <c r="R475" s="60" t="s">
        <v>5013</v>
      </c>
      <c r="S475" s="60" t="s">
        <v>5523</v>
      </c>
      <c r="T475" s="7">
        <v>0.27900000000000003</v>
      </c>
      <c r="U475" s="7" t="s">
        <v>10</v>
      </c>
      <c r="V475" s="7">
        <f t="shared" si="78"/>
        <v>0.27900000000000003</v>
      </c>
      <c r="W475" s="7">
        <v>0.5</v>
      </c>
      <c r="X475" s="7" t="s">
        <v>55</v>
      </c>
      <c r="Y475" s="7" t="s">
        <v>56</v>
      </c>
      <c r="Z475" s="48" t="str">
        <f t="shared" si="79"/>
        <v>APROVADO</v>
      </c>
      <c r="AA475" s="47">
        <v>11607333</v>
      </c>
      <c r="AB475" s="47" t="s">
        <v>4539</v>
      </c>
      <c r="AC475" s="5" t="s">
        <v>48</v>
      </c>
      <c r="AD475" s="5" t="s">
        <v>5530</v>
      </c>
      <c r="AE475" s="5" t="str">
        <f t="shared" ca="1" si="83"/>
        <v>NO PRAZO</v>
      </c>
      <c r="AF475" s="87"/>
    </row>
    <row r="476" spans="1:41" ht="30" customHeight="1" x14ac:dyDescent="0.25">
      <c r="A476" s="12" t="s">
        <v>4457</v>
      </c>
      <c r="B476" s="12" t="s">
        <v>10</v>
      </c>
      <c r="C476" s="5" t="s">
        <v>5862</v>
      </c>
      <c r="D476" s="12" t="s">
        <v>365</v>
      </c>
      <c r="E476" s="12" t="s">
        <v>40</v>
      </c>
      <c r="F476" s="12" t="s">
        <v>90</v>
      </c>
      <c r="G476" s="12" t="s">
        <v>117</v>
      </c>
      <c r="H476" s="12" t="s">
        <v>100</v>
      </c>
      <c r="I476" s="12" t="s">
        <v>3374</v>
      </c>
      <c r="J476" s="13" t="s">
        <v>102</v>
      </c>
      <c r="K476" s="13" t="s">
        <v>45</v>
      </c>
      <c r="L476" s="13" t="s">
        <v>10</v>
      </c>
      <c r="M476" s="13" t="s">
        <v>10</v>
      </c>
      <c r="N476" s="13" t="s">
        <v>10</v>
      </c>
      <c r="O476" s="94" t="s">
        <v>46</v>
      </c>
      <c r="P476" s="106">
        <v>46158</v>
      </c>
      <c r="Q476" s="100">
        <f t="shared" si="85"/>
        <v>46342</v>
      </c>
      <c r="R476" s="13" t="s">
        <v>4459</v>
      </c>
      <c r="S476" s="13" t="s">
        <v>5524</v>
      </c>
      <c r="T476" s="7">
        <v>0.307</v>
      </c>
      <c r="U476" s="7" t="s">
        <v>10</v>
      </c>
      <c r="V476" s="7">
        <f t="shared" si="78"/>
        <v>0.307</v>
      </c>
      <c r="W476" s="7">
        <v>0.5</v>
      </c>
      <c r="X476" s="7" t="s">
        <v>55</v>
      </c>
      <c r="Y476" s="7" t="s">
        <v>56</v>
      </c>
      <c r="Z476" s="48" t="str">
        <f t="shared" si="79"/>
        <v>APROVADO</v>
      </c>
      <c r="AA476" s="47">
        <v>11542041</v>
      </c>
      <c r="AB476" s="47" t="s">
        <v>4543</v>
      </c>
      <c r="AC476" s="5" t="s">
        <v>48</v>
      </c>
      <c r="AD476" s="5" t="s">
        <v>5530</v>
      </c>
      <c r="AE476" s="5" t="str">
        <f t="shared" ca="1" si="83"/>
        <v>NO PRAZO</v>
      </c>
      <c r="AF476" s="52"/>
    </row>
    <row r="477" spans="1:41" ht="30" customHeight="1" x14ac:dyDescent="0.25">
      <c r="A477" s="12" t="s">
        <v>4458</v>
      </c>
      <c r="B477" s="12" t="s">
        <v>10</v>
      </c>
      <c r="C477" s="5" t="s">
        <v>5862</v>
      </c>
      <c r="D477" s="12" t="s">
        <v>365</v>
      </c>
      <c r="E477" s="12" t="s">
        <v>40</v>
      </c>
      <c r="F477" s="12" t="s">
        <v>90</v>
      </c>
      <c r="G477" s="12" t="s">
        <v>117</v>
      </c>
      <c r="H477" s="12" t="s">
        <v>100</v>
      </c>
      <c r="I477" s="12" t="s">
        <v>3374</v>
      </c>
      <c r="J477" s="13" t="s">
        <v>102</v>
      </c>
      <c r="K477" s="13" t="s">
        <v>45</v>
      </c>
      <c r="L477" s="13" t="s">
        <v>10</v>
      </c>
      <c r="M477" s="13" t="s">
        <v>10</v>
      </c>
      <c r="N477" s="13" t="s">
        <v>10</v>
      </c>
      <c r="O477" s="94" t="s">
        <v>46</v>
      </c>
      <c r="P477" s="106">
        <v>46158</v>
      </c>
      <c r="Q477" s="100">
        <f t="shared" si="85"/>
        <v>46342</v>
      </c>
      <c r="R477" s="13" t="s">
        <v>4465</v>
      </c>
      <c r="S477" s="13" t="s">
        <v>5525</v>
      </c>
      <c r="T477" s="7">
        <v>0.311</v>
      </c>
      <c r="U477" s="7" t="s">
        <v>10</v>
      </c>
      <c r="V477" s="7">
        <f t="shared" si="78"/>
        <v>0.311</v>
      </c>
      <c r="W477" s="7">
        <v>0.5</v>
      </c>
      <c r="X477" s="7" t="s">
        <v>55</v>
      </c>
      <c r="Y477" s="7" t="s">
        <v>56</v>
      </c>
      <c r="Z477" s="48" t="str">
        <f t="shared" si="79"/>
        <v>APROVADO</v>
      </c>
      <c r="AA477" s="47">
        <v>11607336</v>
      </c>
      <c r="AB477" s="47" t="s">
        <v>4544</v>
      </c>
      <c r="AC477" s="5" t="s">
        <v>48</v>
      </c>
      <c r="AD477" s="5" t="s">
        <v>5530</v>
      </c>
      <c r="AE477" s="5" t="str">
        <f t="shared" ca="1" si="83"/>
        <v>NO PRAZO</v>
      </c>
      <c r="AF477" s="52"/>
    </row>
    <row r="478" spans="1:41" ht="30" customHeight="1" x14ac:dyDescent="0.25">
      <c r="A478" s="12" t="s">
        <v>3360</v>
      </c>
      <c r="B478" s="12"/>
      <c r="C478" s="5" t="s">
        <v>5862</v>
      </c>
      <c r="D478" s="12" t="s">
        <v>365</v>
      </c>
      <c r="E478" s="12" t="s">
        <v>40</v>
      </c>
      <c r="F478" s="12" t="s">
        <v>90</v>
      </c>
      <c r="G478" s="12" t="s">
        <v>118</v>
      </c>
      <c r="H478" s="12" t="s">
        <v>92</v>
      </c>
      <c r="I478" s="12" t="s">
        <v>93</v>
      </c>
      <c r="J478" s="13" t="s">
        <v>94</v>
      </c>
      <c r="K478" s="13" t="s">
        <v>45</v>
      </c>
      <c r="L478" s="13" t="s">
        <v>10</v>
      </c>
      <c r="M478" s="13" t="s">
        <v>10</v>
      </c>
      <c r="N478" s="13" t="s">
        <v>10</v>
      </c>
      <c r="O478" s="94" t="s">
        <v>46</v>
      </c>
      <c r="P478" s="106">
        <v>46103</v>
      </c>
      <c r="Q478" s="100">
        <f t="shared" si="85"/>
        <v>46287</v>
      </c>
      <c r="R478" s="60" t="s">
        <v>3457</v>
      </c>
      <c r="S478" s="60" t="s">
        <v>5092</v>
      </c>
      <c r="T478" s="7">
        <v>0.34899999999999998</v>
      </c>
      <c r="U478" s="7"/>
      <c r="V478" s="7">
        <f t="shared" si="78"/>
        <v>0.34899999999999998</v>
      </c>
      <c r="W478" s="7">
        <v>0.5</v>
      </c>
      <c r="X478" s="7" t="s">
        <v>55</v>
      </c>
      <c r="Y478" s="7" t="s">
        <v>56</v>
      </c>
      <c r="Z478" s="48" t="str">
        <f t="shared" si="79"/>
        <v>APROVADO</v>
      </c>
      <c r="AA478" s="47">
        <v>11606615</v>
      </c>
      <c r="AB478" s="5" t="s">
        <v>4055</v>
      </c>
      <c r="AC478" s="5" t="s">
        <v>48</v>
      </c>
      <c r="AD478" s="5" t="s">
        <v>5530</v>
      </c>
      <c r="AE478" s="5" t="str">
        <f t="shared" ca="1" si="83"/>
        <v>NO PRAZO</v>
      </c>
      <c r="AF478" s="49"/>
    </row>
    <row r="479" spans="1:41" ht="30" customHeight="1" x14ac:dyDescent="0.25">
      <c r="A479" s="7" t="s">
        <v>3375</v>
      </c>
      <c r="B479" s="7"/>
      <c r="C479" s="5" t="s">
        <v>5862</v>
      </c>
      <c r="D479" s="12" t="s">
        <v>365</v>
      </c>
      <c r="E479" s="7" t="s">
        <v>40</v>
      </c>
      <c r="F479" s="7" t="s">
        <v>90</v>
      </c>
      <c r="G479" s="7" t="s">
        <v>118</v>
      </c>
      <c r="H479" s="7" t="s">
        <v>92</v>
      </c>
      <c r="I479" s="7" t="s">
        <v>93</v>
      </c>
      <c r="J479" s="5" t="s">
        <v>94</v>
      </c>
      <c r="K479" s="5" t="s">
        <v>45</v>
      </c>
      <c r="L479" s="5" t="s">
        <v>10</v>
      </c>
      <c r="M479" s="5" t="s">
        <v>10</v>
      </c>
      <c r="N479" s="5" t="s">
        <v>10</v>
      </c>
      <c r="O479" s="46" t="s">
        <v>46</v>
      </c>
      <c r="P479" s="100">
        <v>46102</v>
      </c>
      <c r="Q479" s="100">
        <f t="shared" si="85"/>
        <v>46286</v>
      </c>
      <c r="R479" s="54" t="s">
        <v>3460</v>
      </c>
      <c r="S479" s="54" t="s">
        <v>5093</v>
      </c>
      <c r="T479" s="7">
        <v>0.34899999999999998</v>
      </c>
      <c r="U479" s="7" t="s">
        <v>10</v>
      </c>
      <c r="V479" s="7">
        <f t="shared" si="78"/>
        <v>0.34899999999999998</v>
      </c>
      <c r="W479" s="7">
        <v>0.5</v>
      </c>
      <c r="X479" s="7" t="s">
        <v>55</v>
      </c>
      <c r="Y479" s="7" t="s">
        <v>56</v>
      </c>
      <c r="Z479" s="48" t="str">
        <f t="shared" si="79"/>
        <v>APROVADO</v>
      </c>
      <c r="AA479" s="47">
        <v>11606616</v>
      </c>
      <c r="AB479" s="5" t="s">
        <v>4056</v>
      </c>
      <c r="AC479" s="5" t="s">
        <v>48</v>
      </c>
      <c r="AD479" s="5" t="s">
        <v>5530</v>
      </c>
      <c r="AE479" s="5" t="str">
        <f t="shared" ca="1" si="83"/>
        <v>NO PRAZO</v>
      </c>
      <c r="AF479" s="49"/>
    </row>
    <row r="480" spans="1:41" ht="30" customHeight="1" x14ac:dyDescent="0.25">
      <c r="A480" s="7" t="s">
        <v>2965</v>
      </c>
      <c r="B480" s="7" t="s">
        <v>10</v>
      </c>
      <c r="C480" s="5" t="s">
        <v>5862</v>
      </c>
      <c r="D480" s="12" t="s">
        <v>365</v>
      </c>
      <c r="E480" s="7" t="s">
        <v>40</v>
      </c>
      <c r="F480" s="7" t="s">
        <v>90</v>
      </c>
      <c r="G480" s="7" t="s">
        <v>119</v>
      </c>
      <c r="H480" s="7" t="s">
        <v>92</v>
      </c>
      <c r="I480" s="7" t="s">
        <v>93</v>
      </c>
      <c r="J480" s="5" t="s">
        <v>94</v>
      </c>
      <c r="K480" s="5" t="s">
        <v>45</v>
      </c>
      <c r="L480" s="5" t="s">
        <v>10</v>
      </c>
      <c r="M480" s="5" t="s">
        <v>10</v>
      </c>
      <c r="N480" s="5" t="s">
        <v>10</v>
      </c>
      <c r="O480" s="46" t="s">
        <v>46</v>
      </c>
      <c r="P480" s="100">
        <v>46176</v>
      </c>
      <c r="Q480" s="100">
        <f t="shared" ref="Q480:Q485" si="86">IF(P480="","",P480+183)</f>
        <v>46359</v>
      </c>
      <c r="R480" s="10" t="s">
        <v>4395</v>
      </c>
      <c r="S480" s="10" t="s">
        <v>5613</v>
      </c>
      <c r="T480" s="7">
        <v>0.376</v>
      </c>
      <c r="U480" s="55" t="s">
        <v>10</v>
      </c>
      <c r="V480" s="7">
        <f t="shared" ref="V480:V543" si="87">IFERROR(IF(U480&gt;0,T480*100/U480,T480),T480)</f>
        <v>0.376</v>
      </c>
      <c r="W480" s="7">
        <v>0.5</v>
      </c>
      <c r="X480" s="7" t="s">
        <v>55</v>
      </c>
      <c r="Y480" s="7" t="s">
        <v>56</v>
      </c>
      <c r="Z480" s="48" t="str">
        <f t="shared" ref="Z480:Z545" si="88">IFERROR(IF(W480="-",$AL$6,CHOOSE(IF(T480="",1,2),$AL$7,IF(V480&gt;W480,$AL$5,$AL$4))),"-")</f>
        <v>APROVADO</v>
      </c>
      <c r="AA480" s="47">
        <v>11606617</v>
      </c>
      <c r="AB480" s="5" t="s">
        <v>4057</v>
      </c>
      <c r="AC480" s="5" t="s">
        <v>48</v>
      </c>
      <c r="AD480" s="5" t="s">
        <v>5632</v>
      </c>
      <c r="AE480" s="5" t="str">
        <f t="shared" ca="1" si="83"/>
        <v>NO PRAZO</v>
      </c>
      <c r="AF480" s="52"/>
    </row>
    <row r="481" spans="1:32" ht="30" customHeight="1" x14ac:dyDescent="0.25">
      <c r="A481" s="7" t="s">
        <v>2966</v>
      </c>
      <c r="B481" s="7" t="s">
        <v>10</v>
      </c>
      <c r="C481" s="5" t="s">
        <v>5862</v>
      </c>
      <c r="D481" s="12" t="s">
        <v>365</v>
      </c>
      <c r="E481" s="7" t="s">
        <v>40</v>
      </c>
      <c r="F481" s="7" t="s">
        <v>90</v>
      </c>
      <c r="G481" s="7" t="s">
        <v>119</v>
      </c>
      <c r="H481" s="7" t="s">
        <v>92</v>
      </c>
      <c r="I481" s="7" t="s">
        <v>93</v>
      </c>
      <c r="J481" s="5" t="s">
        <v>94</v>
      </c>
      <c r="K481" s="5" t="s">
        <v>45</v>
      </c>
      <c r="L481" s="5" t="s">
        <v>10</v>
      </c>
      <c r="M481" s="5" t="s">
        <v>10</v>
      </c>
      <c r="N481" s="5" t="s">
        <v>10</v>
      </c>
      <c r="O481" s="46" t="s">
        <v>46</v>
      </c>
      <c r="P481" s="100">
        <v>46176</v>
      </c>
      <c r="Q481" s="100">
        <f t="shared" si="86"/>
        <v>46359</v>
      </c>
      <c r="R481" s="10" t="s">
        <v>4397</v>
      </c>
      <c r="S481" s="10" t="s">
        <v>5614</v>
      </c>
      <c r="T481" s="7">
        <v>0.376</v>
      </c>
      <c r="U481" s="55" t="s">
        <v>10</v>
      </c>
      <c r="V481" s="7">
        <f t="shared" si="87"/>
        <v>0.376</v>
      </c>
      <c r="W481" s="7">
        <v>0.5</v>
      </c>
      <c r="X481" s="7" t="s">
        <v>55</v>
      </c>
      <c r="Y481" s="7" t="s">
        <v>56</v>
      </c>
      <c r="Z481" s="48" t="str">
        <f t="shared" si="88"/>
        <v>APROVADO</v>
      </c>
      <c r="AA481" s="47">
        <v>11606618</v>
      </c>
      <c r="AB481" s="5" t="s">
        <v>4058</v>
      </c>
      <c r="AC481" s="5" t="s">
        <v>48</v>
      </c>
      <c r="AD481" s="5" t="s">
        <v>5632</v>
      </c>
      <c r="AE481" s="5" t="str">
        <f t="shared" ca="1" si="83"/>
        <v>NO PRAZO</v>
      </c>
      <c r="AF481" s="52"/>
    </row>
    <row r="482" spans="1:32" ht="30" customHeight="1" x14ac:dyDescent="0.25">
      <c r="A482" s="7" t="s">
        <v>2967</v>
      </c>
      <c r="B482" s="7" t="s">
        <v>10</v>
      </c>
      <c r="C482" s="5" t="s">
        <v>5862</v>
      </c>
      <c r="D482" s="12" t="s">
        <v>365</v>
      </c>
      <c r="E482" s="7" t="s">
        <v>40</v>
      </c>
      <c r="F482" s="7" t="s">
        <v>90</v>
      </c>
      <c r="G482" s="7" t="s">
        <v>120</v>
      </c>
      <c r="H482" s="7" t="s">
        <v>100</v>
      </c>
      <c r="I482" s="7" t="s">
        <v>93</v>
      </c>
      <c r="J482" s="5" t="s">
        <v>102</v>
      </c>
      <c r="K482" s="5" t="s">
        <v>45</v>
      </c>
      <c r="L482" s="5" t="s">
        <v>10</v>
      </c>
      <c r="M482" s="5" t="s">
        <v>10</v>
      </c>
      <c r="N482" s="5" t="s">
        <v>10</v>
      </c>
      <c r="O482" s="46" t="s">
        <v>46</v>
      </c>
      <c r="P482" s="100">
        <v>46194</v>
      </c>
      <c r="Q482" s="100">
        <f t="shared" si="86"/>
        <v>46377</v>
      </c>
      <c r="R482" s="54" t="s">
        <v>4396</v>
      </c>
      <c r="S482" s="54" t="s">
        <v>5675</v>
      </c>
      <c r="T482" s="7">
        <v>0.35099999999999998</v>
      </c>
      <c r="U482" s="7" t="s">
        <v>10</v>
      </c>
      <c r="V482" s="7">
        <f t="shared" si="87"/>
        <v>0.35099999999999998</v>
      </c>
      <c r="W482" s="7">
        <v>0.5</v>
      </c>
      <c r="X482" s="7" t="s">
        <v>55</v>
      </c>
      <c r="Y482" s="7" t="s">
        <v>56</v>
      </c>
      <c r="Z482" s="48" t="str">
        <f t="shared" si="88"/>
        <v>APROVADO</v>
      </c>
      <c r="AA482" s="47">
        <v>11606619</v>
      </c>
      <c r="AB482" s="5" t="s">
        <v>4059</v>
      </c>
      <c r="AC482" s="5" t="s">
        <v>48</v>
      </c>
      <c r="AD482" s="5" t="s">
        <v>5632</v>
      </c>
      <c r="AE482" s="5" t="str">
        <f t="shared" ca="1" si="83"/>
        <v>NO PRAZO</v>
      </c>
      <c r="AF482" s="52"/>
    </row>
    <row r="483" spans="1:32" ht="30" customHeight="1" x14ac:dyDescent="0.25">
      <c r="A483" s="7" t="s">
        <v>2968</v>
      </c>
      <c r="B483" s="7" t="s">
        <v>10</v>
      </c>
      <c r="C483" s="5" t="s">
        <v>5862</v>
      </c>
      <c r="D483" s="12" t="s">
        <v>365</v>
      </c>
      <c r="E483" s="7" t="s">
        <v>40</v>
      </c>
      <c r="F483" s="7" t="s">
        <v>90</v>
      </c>
      <c r="G483" s="7" t="s">
        <v>120</v>
      </c>
      <c r="H483" s="7" t="s">
        <v>100</v>
      </c>
      <c r="I483" s="7" t="s">
        <v>93</v>
      </c>
      <c r="J483" s="5" t="s">
        <v>102</v>
      </c>
      <c r="K483" s="5" t="s">
        <v>45</v>
      </c>
      <c r="L483" s="5" t="s">
        <v>10</v>
      </c>
      <c r="M483" s="5" t="s">
        <v>10</v>
      </c>
      <c r="N483" s="5" t="s">
        <v>10</v>
      </c>
      <c r="O483" s="46" t="s">
        <v>46</v>
      </c>
      <c r="P483" s="100">
        <v>46176</v>
      </c>
      <c r="Q483" s="100">
        <f t="shared" si="86"/>
        <v>46359</v>
      </c>
      <c r="R483" s="54" t="s">
        <v>4398</v>
      </c>
      <c r="S483" s="54" t="s">
        <v>5615</v>
      </c>
      <c r="T483" s="7">
        <v>0.376</v>
      </c>
      <c r="U483" s="7" t="s">
        <v>10</v>
      </c>
      <c r="V483" s="7">
        <f t="shared" si="87"/>
        <v>0.376</v>
      </c>
      <c r="W483" s="7">
        <v>0.5</v>
      </c>
      <c r="X483" s="7" t="s">
        <v>55</v>
      </c>
      <c r="Y483" s="7" t="s">
        <v>56</v>
      </c>
      <c r="Z483" s="48" t="str">
        <f t="shared" si="88"/>
        <v>APROVADO</v>
      </c>
      <c r="AA483" s="47">
        <v>11606620</v>
      </c>
      <c r="AB483" s="5" t="s">
        <v>4060</v>
      </c>
      <c r="AC483" s="5" t="s">
        <v>48</v>
      </c>
      <c r="AD483" s="5" t="s">
        <v>5632</v>
      </c>
      <c r="AE483" s="5" t="str">
        <f t="shared" ca="1" si="83"/>
        <v>NO PRAZO</v>
      </c>
      <c r="AF483" s="52"/>
    </row>
    <row r="484" spans="1:32" ht="30" customHeight="1" x14ac:dyDescent="0.25">
      <c r="A484" s="7" t="s">
        <v>2969</v>
      </c>
      <c r="B484" s="7" t="s">
        <v>10</v>
      </c>
      <c r="C484" s="5" t="s">
        <v>5862</v>
      </c>
      <c r="D484" s="12" t="s">
        <v>365</v>
      </c>
      <c r="E484" s="7" t="s">
        <v>40</v>
      </c>
      <c r="F484" s="7" t="s">
        <v>90</v>
      </c>
      <c r="G484" s="7" t="s">
        <v>122</v>
      </c>
      <c r="H484" s="7" t="s">
        <v>92</v>
      </c>
      <c r="I484" s="7" t="s">
        <v>93</v>
      </c>
      <c r="J484" s="5" t="s">
        <v>94</v>
      </c>
      <c r="K484" s="5" t="s">
        <v>45</v>
      </c>
      <c r="L484" s="5" t="s">
        <v>10</v>
      </c>
      <c r="M484" s="5" t="s">
        <v>10</v>
      </c>
      <c r="N484" s="5" t="s">
        <v>10</v>
      </c>
      <c r="O484" s="46" t="s">
        <v>46</v>
      </c>
      <c r="P484" s="100">
        <v>46176</v>
      </c>
      <c r="Q484" s="100">
        <f t="shared" si="86"/>
        <v>46359</v>
      </c>
      <c r="R484" s="54" t="s">
        <v>4399</v>
      </c>
      <c r="S484" s="54" t="s">
        <v>5616</v>
      </c>
      <c r="T484" s="7">
        <v>0.38400000000000001</v>
      </c>
      <c r="U484" s="7" t="s">
        <v>10</v>
      </c>
      <c r="V484" s="7">
        <f t="shared" si="87"/>
        <v>0.38400000000000001</v>
      </c>
      <c r="W484" s="7">
        <v>0.5</v>
      </c>
      <c r="X484" s="7" t="s">
        <v>55</v>
      </c>
      <c r="Y484" s="7" t="s">
        <v>56</v>
      </c>
      <c r="Z484" s="48" t="str">
        <f t="shared" si="88"/>
        <v>APROVADO</v>
      </c>
      <c r="AA484" s="47">
        <v>11606621</v>
      </c>
      <c r="AB484" s="5" t="s">
        <v>4061</v>
      </c>
      <c r="AC484" s="5" t="s">
        <v>48</v>
      </c>
      <c r="AD484" s="5" t="s">
        <v>5632</v>
      </c>
      <c r="AE484" s="5" t="str">
        <f t="shared" ca="1" si="83"/>
        <v>NO PRAZO</v>
      </c>
      <c r="AF484" s="52"/>
    </row>
    <row r="485" spans="1:32" ht="30" customHeight="1" x14ac:dyDescent="0.25">
      <c r="A485" s="7" t="s">
        <v>2970</v>
      </c>
      <c r="B485" s="7" t="s">
        <v>10</v>
      </c>
      <c r="C485" s="5" t="s">
        <v>5862</v>
      </c>
      <c r="D485" s="12" t="s">
        <v>365</v>
      </c>
      <c r="E485" s="7" t="s">
        <v>40</v>
      </c>
      <c r="F485" s="7" t="s">
        <v>90</v>
      </c>
      <c r="G485" s="7" t="s">
        <v>122</v>
      </c>
      <c r="H485" s="7" t="s">
        <v>92</v>
      </c>
      <c r="I485" s="7" t="s">
        <v>93</v>
      </c>
      <c r="J485" s="5" t="s">
        <v>94</v>
      </c>
      <c r="K485" s="5" t="s">
        <v>45</v>
      </c>
      <c r="L485" s="5" t="s">
        <v>10</v>
      </c>
      <c r="M485" s="5" t="s">
        <v>10</v>
      </c>
      <c r="N485" s="5" t="s">
        <v>10</v>
      </c>
      <c r="O485" s="46" t="s">
        <v>46</v>
      </c>
      <c r="P485" s="100">
        <v>46176</v>
      </c>
      <c r="Q485" s="100">
        <f t="shared" si="86"/>
        <v>46359</v>
      </c>
      <c r="R485" s="54" t="s">
        <v>4401</v>
      </c>
      <c r="S485" s="54" t="s">
        <v>5617</v>
      </c>
      <c r="T485" s="7">
        <v>0.376</v>
      </c>
      <c r="U485" s="7" t="s">
        <v>10</v>
      </c>
      <c r="V485" s="7">
        <f t="shared" si="87"/>
        <v>0.376</v>
      </c>
      <c r="W485" s="7">
        <v>0.5</v>
      </c>
      <c r="X485" s="7" t="s">
        <v>55</v>
      </c>
      <c r="Y485" s="7" t="s">
        <v>56</v>
      </c>
      <c r="Z485" s="48" t="str">
        <f t="shared" si="88"/>
        <v>APROVADO</v>
      </c>
      <c r="AA485" s="47">
        <v>11606622</v>
      </c>
      <c r="AB485" s="5" t="s">
        <v>4062</v>
      </c>
      <c r="AC485" s="5" t="s">
        <v>48</v>
      </c>
      <c r="AD485" s="5" t="s">
        <v>5632</v>
      </c>
      <c r="AE485" s="5" t="str">
        <f t="shared" ca="1" si="83"/>
        <v>NO PRAZO</v>
      </c>
      <c r="AF485" s="52"/>
    </row>
    <row r="486" spans="1:32" ht="30" customHeight="1" x14ac:dyDescent="0.25">
      <c r="A486" s="7" t="s">
        <v>4461</v>
      </c>
      <c r="B486" s="7" t="s">
        <v>10</v>
      </c>
      <c r="C486" s="5" t="s">
        <v>5862</v>
      </c>
      <c r="D486" s="12" t="s">
        <v>365</v>
      </c>
      <c r="E486" s="7" t="s">
        <v>40</v>
      </c>
      <c r="F486" s="7" t="s">
        <v>90</v>
      </c>
      <c r="G486" s="7" t="s">
        <v>123</v>
      </c>
      <c r="H486" s="7" t="s">
        <v>92</v>
      </c>
      <c r="I486" s="7" t="s">
        <v>3374</v>
      </c>
      <c r="J486" s="5" t="s">
        <v>94</v>
      </c>
      <c r="K486" s="5" t="s">
        <v>45</v>
      </c>
      <c r="L486" s="5" t="s">
        <v>10</v>
      </c>
      <c r="M486" s="5" t="s">
        <v>10</v>
      </c>
      <c r="N486" s="5" t="s">
        <v>10</v>
      </c>
      <c r="O486" s="46" t="s">
        <v>46</v>
      </c>
      <c r="P486" s="100">
        <v>46158</v>
      </c>
      <c r="Q486" s="100">
        <f>IF(P486="","",P486+184)</f>
        <v>46342</v>
      </c>
      <c r="R486" s="54" t="s">
        <v>4463</v>
      </c>
      <c r="S486" s="54" t="s">
        <v>5526</v>
      </c>
      <c r="T486" s="7">
        <v>0.35299999999999998</v>
      </c>
      <c r="U486" s="7" t="s">
        <v>10</v>
      </c>
      <c r="V486" s="7">
        <f t="shared" si="87"/>
        <v>0.35299999999999998</v>
      </c>
      <c r="W486" s="7">
        <v>0.5</v>
      </c>
      <c r="X486" s="7" t="s">
        <v>55</v>
      </c>
      <c r="Y486" s="7" t="s">
        <v>56</v>
      </c>
      <c r="Z486" s="48" t="str">
        <f t="shared" si="88"/>
        <v>APROVADO</v>
      </c>
      <c r="AA486" s="47">
        <v>11542240</v>
      </c>
      <c r="AB486" s="47" t="s">
        <v>4545</v>
      </c>
      <c r="AC486" s="5" t="s">
        <v>48</v>
      </c>
      <c r="AD486" s="5" t="s">
        <v>5530</v>
      </c>
      <c r="AE486" s="5" t="str">
        <f t="shared" ca="1" si="83"/>
        <v>NO PRAZO</v>
      </c>
      <c r="AF486" s="51"/>
    </row>
    <row r="487" spans="1:32" ht="30" customHeight="1" x14ac:dyDescent="0.25">
      <c r="A487" s="7" t="s">
        <v>4462</v>
      </c>
      <c r="B487" s="7" t="s">
        <v>10</v>
      </c>
      <c r="C487" s="5" t="s">
        <v>5862</v>
      </c>
      <c r="D487" s="12" t="s">
        <v>365</v>
      </c>
      <c r="E487" s="7" t="s">
        <v>40</v>
      </c>
      <c r="F487" s="7" t="s">
        <v>90</v>
      </c>
      <c r="G487" s="7" t="s">
        <v>123</v>
      </c>
      <c r="H487" s="7" t="s">
        <v>92</v>
      </c>
      <c r="I487" s="7" t="s">
        <v>3374</v>
      </c>
      <c r="J487" s="5" t="s">
        <v>94</v>
      </c>
      <c r="K487" s="5" t="s">
        <v>45</v>
      </c>
      <c r="L487" s="5" t="s">
        <v>10</v>
      </c>
      <c r="M487" s="5" t="s">
        <v>10</v>
      </c>
      <c r="N487" s="5" t="s">
        <v>10</v>
      </c>
      <c r="O487" s="46" t="s">
        <v>46</v>
      </c>
      <c r="P487" s="100">
        <v>46158</v>
      </c>
      <c r="Q487" s="100">
        <f>IF(P487="","",P487+184)</f>
        <v>46342</v>
      </c>
      <c r="R487" s="54" t="s">
        <v>4464</v>
      </c>
      <c r="S487" s="54" t="s">
        <v>5514</v>
      </c>
      <c r="T487" s="7">
        <v>0.246</v>
      </c>
      <c r="U487" s="7" t="s">
        <v>10</v>
      </c>
      <c r="V487" s="7">
        <f t="shared" si="87"/>
        <v>0.246</v>
      </c>
      <c r="W487" s="7">
        <v>0.5</v>
      </c>
      <c r="X487" s="7" t="s">
        <v>55</v>
      </c>
      <c r="Y487" s="7" t="s">
        <v>56</v>
      </c>
      <c r="Z487" s="48" t="str">
        <f t="shared" si="88"/>
        <v>APROVADO</v>
      </c>
      <c r="AA487" s="47">
        <v>11607337</v>
      </c>
      <c r="AB487" s="47" t="s">
        <v>4546</v>
      </c>
      <c r="AC487" s="5" t="s">
        <v>48</v>
      </c>
      <c r="AD487" s="5" t="s">
        <v>5530</v>
      </c>
      <c r="AE487" s="5" t="str">
        <f t="shared" ca="1" si="83"/>
        <v>NO PRAZO</v>
      </c>
      <c r="AF487" s="51"/>
    </row>
    <row r="488" spans="1:32" ht="30" customHeight="1" x14ac:dyDescent="0.25">
      <c r="A488" s="7" t="s">
        <v>2971</v>
      </c>
      <c r="B488" s="7" t="s">
        <v>10</v>
      </c>
      <c r="C488" s="5" t="s">
        <v>5862</v>
      </c>
      <c r="D488" s="12" t="s">
        <v>365</v>
      </c>
      <c r="E488" s="7" t="s">
        <v>40</v>
      </c>
      <c r="F488" s="7" t="s">
        <v>90</v>
      </c>
      <c r="G488" s="7" t="s">
        <v>124</v>
      </c>
      <c r="H488" s="7" t="s">
        <v>100</v>
      </c>
      <c r="I488" s="7" t="s">
        <v>93</v>
      </c>
      <c r="J488" s="5" t="s">
        <v>102</v>
      </c>
      <c r="K488" s="5" t="s">
        <v>45</v>
      </c>
      <c r="L488" s="5" t="s">
        <v>10</v>
      </c>
      <c r="M488" s="5" t="s">
        <v>10</v>
      </c>
      <c r="N488" s="5" t="s">
        <v>10</v>
      </c>
      <c r="O488" s="46" t="s">
        <v>46</v>
      </c>
      <c r="P488" s="100">
        <v>46176</v>
      </c>
      <c r="Q488" s="100">
        <f>IF(P488="","",P488+183)</f>
        <v>46359</v>
      </c>
      <c r="R488" s="54" t="s">
        <v>4400</v>
      </c>
      <c r="S488" s="54" t="s">
        <v>5618</v>
      </c>
      <c r="T488" s="7">
        <v>0.376</v>
      </c>
      <c r="U488" s="7" t="s">
        <v>10</v>
      </c>
      <c r="V488" s="7">
        <f t="shared" si="87"/>
        <v>0.376</v>
      </c>
      <c r="W488" s="7">
        <v>0.5</v>
      </c>
      <c r="X488" s="7" t="s">
        <v>55</v>
      </c>
      <c r="Y488" s="7" t="s">
        <v>56</v>
      </c>
      <c r="Z488" s="48" t="str">
        <f t="shared" si="88"/>
        <v>APROVADO</v>
      </c>
      <c r="AA488" s="47">
        <v>11606623</v>
      </c>
      <c r="AB488" s="5" t="s">
        <v>4063</v>
      </c>
      <c r="AC488" s="5" t="s">
        <v>48</v>
      </c>
      <c r="AD488" s="5" t="s">
        <v>5632</v>
      </c>
      <c r="AE488" s="5" t="str">
        <f t="shared" ca="1" si="83"/>
        <v>NO PRAZO</v>
      </c>
      <c r="AF488" s="52"/>
    </row>
    <row r="489" spans="1:32" ht="30" customHeight="1" x14ac:dyDescent="0.25">
      <c r="A489" s="7" t="s">
        <v>2972</v>
      </c>
      <c r="B489" s="7" t="s">
        <v>10</v>
      </c>
      <c r="C489" s="5" t="s">
        <v>5862</v>
      </c>
      <c r="D489" s="12" t="s">
        <v>365</v>
      </c>
      <c r="E489" s="7" t="s">
        <v>40</v>
      </c>
      <c r="F489" s="7" t="s">
        <v>90</v>
      </c>
      <c r="G489" s="7" t="s">
        <v>124</v>
      </c>
      <c r="H489" s="7" t="s">
        <v>100</v>
      </c>
      <c r="I489" s="7" t="s">
        <v>93</v>
      </c>
      <c r="J489" s="5" t="s">
        <v>102</v>
      </c>
      <c r="K489" s="5" t="s">
        <v>45</v>
      </c>
      <c r="L489" s="5" t="s">
        <v>10</v>
      </c>
      <c r="M489" s="5" t="s">
        <v>10</v>
      </c>
      <c r="N489" s="5" t="s">
        <v>10</v>
      </c>
      <c r="O489" s="46" t="s">
        <v>46</v>
      </c>
      <c r="P489" s="100">
        <v>46176</v>
      </c>
      <c r="Q489" s="100">
        <f>IF(P489="","",P489+183)</f>
        <v>46359</v>
      </c>
      <c r="R489" s="54" t="s">
        <v>4402</v>
      </c>
      <c r="S489" s="54" t="s">
        <v>5619</v>
      </c>
      <c r="T489" s="7">
        <v>0.376</v>
      </c>
      <c r="U489" s="7" t="s">
        <v>10</v>
      </c>
      <c r="V489" s="7">
        <f t="shared" si="87"/>
        <v>0.376</v>
      </c>
      <c r="W489" s="7">
        <v>0.5</v>
      </c>
      <c r="X489" s="7" t="s">
        <v>55</v>
      </c>
      <c r="Y489" s="7" t="s">
        <v>56</v>
      </c>
      <c r="Z489" s="48" t="str">
        <f t="shared" si="88"/>
        <v>APROVADO</v>
      </c>
      <c r="AA489" s="47">
        <v>11606624</v>
      </c>
      <c r="AB489" s="5" t="s">
        <v>4064</v>
      </c>
      <c r="AC489" s="5" t="s">
        <v>48</v>
      </c>
      <c r="AD489" s="5" t="s">
        <v>5632</v>
      </c>
      <c r="AE489" s="5" t="str">
        <f t="shared" ca="1" si="83"/>
        <v>NO PRAZO</v>
      </c>
      <c r="AF489" s="52"/>
    </row>
    <row r="490" spans="1:32" ht="30" customHeight="1" x14ac:dyDescent="0.25">
      <c r="A490" s="7" t="s">
        <v>125</v>
      </c>
      <c r="B490" s="7" t="s">
        <v>10</v>
      </c>
      <c r="C490" s="5" t="s">
        <v>5862</v>
      </c>
      <c r="D490" s="12" t="s">
        <v>353</v>
      </c>
      <c r="E490" s="7" t="s">
        <v>40</v>
      </c>
      <c r="F490" s="7" t="s">
        <v>90</v>
      </c>
      <c r="G490" s="7" t="s">
        <v>126</v>
      </c>
      <c r="H490" s="7" t="s">
        <v>92</v>
      </c>
      <c r="I490" s="7" t="s">
        <v>98</v>
      </c>
      <c r="J490" s="5" t="s">
        <v>94</v>
      </c>
      <c r="K490" s="5" t="s">
        <v>45</v>
      </c>
      <c r="L490" s="5" t="s">
        <v>10</v>
      </c>
      <c r="M490" s="5" t="s">
        <v>10</v>
      </c>
      <c r="N490" s="5" t="s">
        <v>10</v>
      </c>
      <c r="O490" s="46" t="s">
        <v>46</v>
      </c>
      <c r="P490" s="100">
        <v>46208</v>
      </c>
      <c r="Q490" s="100">
        <f t="shared" ref="Q490:Q497" si="89">IF(P490="","",P490+184)</f>
        <v>46392</v>
      </c>
      <c r="R490" s="7" t="s">
        <v>4600</v>
      </c>
      <c r="S490" s="7" t="s">
        <v>5786</v>
      </c>
      <c r="T490" s="7">
        <v>0.30599999999999999</v>
      </c>
      <c r="U490" s="7" t="s">
        <v>10</v>
      </c>
      <c r="V490" s="7">
        <f t="shared" si="87"/>
        <v>0.30599999999999999</v>
      </c>
      <c r="W490" s="7">
        <v>0.5</v>
      </c>
      <c r="X490" s="7" t="s">
        <v>55</v>
      </c>
      <c r="Y490" s="7" t="s">
        <v>56</v>
      </c>
      <c r="Z490" s="48" t="str">
        <f t="shared" si="88"/>
        <v>APROVADO</v>
      </c>
      <c r="AA490" s="47">
        <v>11556322</v>
      </c>
      <c r="AB490" s="5" t="s">
        <v>2979</v>
      </c>
      <c r="AC490" s="5" t="s">
        <v>48</v>
      </c>
      <c r="AD490" s="5" t="s">
        <v>5632</v>
      </c>
      <c r="AE490" s="5" t="str">
        <f t="shared" ca="1" si="83"/>
        <v>NO PRAZO</v>
      </c>
      <c r="AF490" s="51"/>
    </row>
    <row r="491" spans="1:32" ht="30" customHeight="1" x14ac:dyDescent="0.25">
      <c r="A491" s="7" t="s">
        <v>128</v>
      </c>
      <c r="B491" s="7" t="s">
        <v>10</v>
      </c>
      <c r="C491" s="5" t="s">
        <v>5862</v>
      </c>
      <c r="D491" s="12" t="s">
        <v>353</v>
      </c>
      <c r="E491" s="7" t="s">
        <v>40</v>
      </c>
      <c r="F491" s="7" t="s">
        <v>90</v>
      </c>
      <c r="G491" s="7" t="s">
        <v>126</v>
      </c>
      <c r="H491" s="7" t="s">
        <v>92</v>
      </c>
      <c r="I491" s="7" t="s">
        <v>121</v>
      </c>
      <c r="J491" s="5" t="s">
        <v>94</v>
      </c>
      <c r="K491" s="5" t="s">
        <v>45</v>
      </c>
      <c r="L491" s="5" t="s">
        <v>10</v>
      </c>
      <c r="M491" s="5" t="s">
        <v>10</v>
      </c>
      <c r="N491" s="5" t="s">
        <v>10</v>
      </c>
      <c r="O491" s="46" t="s">
        <v>46</v>
      </c>
      <c r="P491" s="100">
        <v>46208</v>
      </c>
      <c r="Q491" s="100">
        <f t="shared" si="89"/>
        <v>46392</v>
      </c>
      <c r="R491" s="10" t="s">
        <v>4601</v>
      </c>
      <c r="S491" s="10" t="s">
        <v>5787</v>
      </c>
      <c r="T491" s="7">
        <v>0.36299999999999999</v>
      </c>
      <c r="U491" s="7" t="s">
        <v>10</v>
      </c>
      <c r="V491" s="7">
        <f t="shared" si="87"/>
        <v>0.36299999999999999</v>
      </c>
      <c r="W491" s="7">
        <v>0.5</v>
      </c>
      <c r="X491" s="7" t="s">
        <v>55</v>
      </c>
      <c r="Y491" s="7" t="s">
        <v>56</v>
      </c>
      <c r="Z491" s="48" t="str">
        <f t="shared" si="88"/>
        <v>APROVADO</v>
      </c>
      <c r="AA491" s="47">
        <v>11556324</v>
      </c>
      <c r="AB491" s="5" t="s">
        <v>2981</v>
      </c>
      <c r="AC491" s="5" t="s">
        <v>48</v>
      </c>
      <c r="AD491" s="5" t="s">
        <v>5632</v>
      </c>
      <c r="AE491" s="5" t="str">
        <f t="shared" ca="1" si="83"/>
        <v>NO PRAZO</v>
      </c>
      <c r="AF491" s="51"/>
    </row>
    <row r="492" spans="1:32" ht="30" customHeight="1" x14ac:dyDescent="0.25">
      <c r="A492" s="7" t="s">
        <v>130</v>
      </c>
      <c r="B492" s="7" t="s">
        <v>10</v>
      </c>
      <c r="C492" s="5" t="s">
        <v>5862</v>
      </c>
      <c r="D492" s="12" t="s">
        <v>353</v>
      </c>
      <c r="E492" s="7" t="s">
        <v>40</v>
      </c>
      <c r="F492" s="7" t="s">
        <v>90</v>
      </c>
      <c r="G492" s="7" t="s">
        <v>131</v>
      </c>
      <c r="H492" s="7" t="s">
        <v>92</v>
      </c>
      <c r="I492" s="7" t="s">
        <v>98</v>
      </c>
      <c r="J492" s="5" t="s">
        <v>94</v>
      </c>
      <c r="K492" s="5" t="s">
        <v>45</v>
      </c>
      <c r="L492" s="5" t="s">
        <v>10</v>
      </c>
      <c r="M492" s="5" t="s">
        <v>10</v>
      </c>
      <c r="N492" s="5" t="s">
        <v>10</v>
      </c>
      <c r="O492" s="46" t="s">
        <v>46</v>
      </c>
      <c r="P492" s="100">
        <v>46208</v>
      </c>
      <c r="Q492" s="100">
        <f t="shared" si="89"/>
        <v>46392</v>
      </c>
      <c r="R492" s="54" t="s">
        <v>4579</v>
      </c>
      <c r="S492" s="54" t="s">
        <v>5788</v>
      </c>
      <c r="T492" s="7">
        <v>0.38900000000000001</v>
      </c>
      <c r="U492" s="7" t="s">
        <v>10</v>
      </c>
      <c r="V492" s="7">
        <f t="shared" si="87"/>
        <v>0.38900000000000001</v>
      </c>
      <c r="W492" s="7">
        <v>0.5</v>
      </c>
      <c r="X492" s="7" t="s">
        <v>55</v>
      </c>
      <c r="Y492" s="7" t="s">
        <v>56</v>
      </c>
      <c r="Z492" s="48" t="str">
        <f t="shared" si="88"/>
        <v>APROVADO</v>
      </c>
      <c r="AA492" s="47">
        <v>11556332</v>
      </c>
      <c r="AB492" s="5" t="s">
        <v>2983</v>
      </c>
      <c r="AC492" s="5" t="s">
        <v>48</v>
      </c>
      <c r="AD492" s="5" t="s">
        <v>5632</v>
      </c>
      <c r="AE492" s="5" t="str">
        <f t="shared" ca="1" si="83"/>
        <v>NO PRAZO</v>
      </c>
      <c r="AF492" s="51"/>
    </row>
    <row r="493" spans="1:32" ht="30" customHeight="1" x14ac:dyDescent="0.25">
      <c r="A493" s="7" t="s">
        <v>133</v>
      </c>
      <c r="B493" s="7" t="s">
        <v>10</v>
      </c>
      <c r="C493" s="5" t="s">
        <v>5862</v>
      </c>
      <c r="D493" s="12" t="s">
        <v>353</v>
      </c>
      <c r="E493" s="7" t="s">
        <v>40</v>
      </c>
      <c r="F493" s="7" t="s">
        <v>90</v>
      </c>
      <c r="G493" s="7" t="s">
        <v>131</v>
      </c>
      <c r="H493" s="7" t="s">
        <v>92</v>
      </c>
      <c r="I493" s="7" t="s">
        <v>134</v>
      </c>
      <c r="J493" s="5" t="s">
        <v>94</v>
      </c>
      <c r="K493" s="5" t="s">
        <v>45</v>
      </c>
      <c r="L493" s="5" t="s">
        <v>10</v>
      </c>
      <c r="M493" s="5" t="s">
        <v>10</v>
      </c>
      <c r="N493" s="5" t="s">
        <v>10</v>
      </c>
      <c r="O493" s="46" t="s">
        <v>46</v>
      </c>
      <c r="P493" s="100">
        <v>46208</v>
      </c>
      <c r="Q493" s="100">
        <f t="shared" si="89"/>
        <v>46392</v>
      </c>
      <c r="R493" s="10" t="s">
        <v>4580</v>
      </c>
      <c r="S493" s="10" t="s">
        <v>5789</v>
      </c>
      <c r="T493" s="7">
        <v>0.373</v>
      </c>
      <c r="U493" s="7" t="s">
        <v>10</v>
      </c>
      <c r="V493" s="7">
        <f t="shared" si="87"/>
        <v>0.373</v>
      </c>
      <c r="W493" s="7">
        <v>0.5</v>
      </c>
      <c r="X493" s="7" t="s">
        <v>55</v>
      </c>
      <c r="Y493" s="7" t="s">
        <v>56</v>
      </c>
      <c r="Z493" s="48" t="str">
        <f t="shared" si="88"/>
        <v>APROVADO</v>
      </c>
      <c r="AA493" s="47">
        <v>11556335</v>
      </c>
      <c r="AB493" s="5" t="s">
        <v>2985</v>
      </c>
      <c r="AC493" s="5" t="s">
        <v>48</v>
      </c>
      <c r="AD493" s="5" t="s">
        <v>5632</v>
      </c>
      <c r="AE493" s="5" t="str">
        <f t="shared" ca="1" si="83"/>
        <v>NO PRAZO</v>
      </c>
      <c r="AF493" s="51"/>
    </row>
    <row r="494" spans="1:32" ht="30" customHeight="1" x14ac:dyDescent="0.25">
      <c r="A494" s="7" t="s">
        <v>140</v>
      </c>
      <c r="B494" s="7" t="s">
        <v>10</v>
      </c>
      <c r="C494" s="5" t="s">
        <v>5862</v>
      </c>
      <c r="D494" s="12" t="s">
        <v>353</v>
      </c>
      <c r="E494" s="7" t="s">
        <v>40</v>
      </c>
      <c r="F494" s="7" t="s">
        <v>90</v>
      </c>
      <c r="G494" s="7" t="s">
        <v>141</v>
      </c>
      <c r="H494" s="7" t="s">
        <v>92</v>
      </c>
      <c r="I494" s="7" t="s">
        <v>121</v>
      </c>
      <c r="J494" s="5" t="s">
        <v>94</v>
      </c>
      <c r="K494" s="5" t="s">
        <v>45</v>
      </c>
      <c r="L494" s="5" t="s">
        <v>10</v>
      </c>
      <c r="M494" s="5" t="s">
        <v>10</v>
      </c>
      <c r="N494" s="5" t="s">
        <v>10</v>
      </c>
      <c r="O494" s="46" t="s">
        <v>46</v>
      </c>
      <c r="P494" s="100">
        <v>46208</v>
      </c>
      <c r="Q494" s="100">
        <f t="shared" si="89"/>
        <v>46392</v>
      </c>
      <c r="R494" s="10" t="s">
        <v>4581</v>
      </c>
      <c r="S494" s="10" t="s">
        <v>5790</v>
      </c>
      <c r="T494" s="7">
        <v>0.38300000000000001</v>
      </c>
      <c r="U494" s="7" t="s">
        <v>10</v>
      </c>
      <c r="V494" s="7">
        <f t="shared" si="87"/>
        <v>0.38300000000000001</v>
      </c>
      <c r="W494" s="7">
        <v>0.5</v>
      </c>
      <c r="X494" s="7" t="s">
        <v>55</v>
      </c>
      <c r="Y494" s="7" t="s">
        <v>56</v>
      </c>
      <c r="Z494" s="48" t="str">
        <f t="shared" si="88"/>
        <v>APROVADO</v>
      </c>
      <c r="AA494" s="47">
        <v>11556351</v>
      </c>
      <c r="AB494" s="5" t="s">
        <v>2988</v>
      </c>
      <c r="AC494" s="5" t="s">
        <v>48</v>
      </c>
      <c r="AD494" s="5" t="s">
        <v>5632</v>
      </c>
      <c r="AE494" s="5" t="str">
        <f t="shared" ca="1" si="83"/>
        <v>NO PRAZO</v>
      </c>
      <c r="AF494" s="51"/>
    </row>
    <row r="495" spans="1:32" ht="30" customHeight="1" x14ac:dyDescent="0.25">
      <c r="A495" s="7" t="s">
        <v>143</v>
      </c>
      <c r="B495" s="7" t="s">
        <v>10</v>
      </c>
      <c r="C495" s="5" t="s">
        <v>5862</v>
      </c>
      <c r="D495" s="12" t="s">
        <v>353</v>
      </c>
      <c r="E495" s="7" t="s">
        <v>40</v>
      </c>
      <c r="F495" s="7" t="s">
        <v>90</v>
      </c>
      <c r="G495" s="7" t="s">
        <v>141</v>
      </c>
      <c r="H495" s="7" t="s">
        <v>92</v>
      </c>
      <c r="I495" s="7" t="s">
        <v>121</v>
      </c>
      <c r="J495" s="5" t="s">
        <v>94</v>
      </c>
      <c r="K495" s="5" t="s">
        <v>45</v>
      </c>
      <c r="L495" s="5" t="s">
        <v>10</v>
      </c>
      <c r="M495" s="5" t="s">
        <v>10</v>
      </c>
      <c r="N495" s="5" t="s">
        <v>10</v>
      </c>
      <c r="O495" s="46" t="s">
        <v>46</v>
      </c>
      <c r="P495" s="100">
        <v>46208</v>
      </c>
      <c r="Q495" s="100">
        <f t="shared" si="89"/>
        <v>46392</v>
      </c>
      <c r="R495" s="5" t="s">
        <v>4582</v>
      </c>
      <c r="S495" s="5" t="s">
        <v>5791</v>
      </c>
      <c r="T495" s="7">
        <v>0.373</v>
      </c>
      <c r="U495" s="7" t="s">
        <v>10</v>
      </c>
      <c r="V495" s="7">
        <f t="shared" si="87"/>
        <v>0.373</v>
      </c>
      <c r="W495" s="7">
        <v>0.5</v>
      </c>
      <c r="X495" s="7" t="s">
        <v>55</v>
      </c>
      <c r="Y495" s="7" t="s">
        <v>56</v>
      </c>
      <c r="Z495" s="48" t="str">
        <f t="shared" si="88"/>
        <v>APROVADO</v>
      </c>
      <c r="AA495" s="47">
        <v>11556353</v>
      </c>
      <c r="AB495" s="5" t="s">
        <v>2990</v>
      </c>
      <c r="AC495" s="5" t="s">
        <v>48</v>
      </c>
      <c r="AD495" s="5" t="s">
        <v>5632</v>
      </c>
      <c r="AE495" s="5" t="str">
        <f t="shared" ref="AE495:AE500" ca="1" si="90">IFERROR(IF(OR(AND(YEAR(Q495)=YEAR(TODAY()),MONTH(Q495)&gt;MONTH(TODAY())),(YEAR(Q495)&gt;YEAR(TODAY()))),$AK$4,IF(AND(YEAR(Q495)=YEAR(TODAY()),MONTH(Q495)=MONTH(TODAY())),$AK$5,IF(Q495="",$AK$6,$AK$7))),"-")</f>
        <v>NO PRAZO</v>
      </c>
      <c r="AF495" s="51"/>
    </row>
    <row r="496" spans="1:32" ht="30" customHeight="1" x14ac:dyDescent="0.25">
      <c r="A496" s="7" t="s">
        <v>145</v>
      </c>
      <c r="B496" s="7" t="s">
        <v>10</v>
      </c>
      <c r="C496" s="5" t="s">
        <v>5862</v>
      </c>
      <c r="D496" s="12" t="s">
        <v>353</v>
      </c>
      <c r="E496" s="7" t="s">
        <v>40</v>
      </c>
      <c r="F496" s="7" t="s">
        <v>90</v>
      </c>
      <c r="G496" s="7" t="s">
        <v>146</v>
      </c>
      <c r="H496" s="7" t="s">
        <v>92</v>
      </c>
      <c r="I496" s="7" t="s">
        <v>98</v>
      </c>
      <c r="J496" s="5" t="s">
        <v>94</v>
      </c>
      <c r="K496" s="5" t="s">
        <v>45</v>
      </c>
      <c r="L496" s="5" t="s">
        <v>10</v>
      </c>
      <c r="M496" s="5" t="s">
        <v>10</v>
      </c>
      <c r="N496" s="5" t="s">
        <v>10</v>
      </c>
      <c r="O496" s="46" t="s">
        <v>46</v>
      </c>
      <c r="P496" s="100">
        <v>46208</v>
      </c>
      <c r="Q496" s="100">
        <f t="shared" si="89"/>
        <v>46392</v>
      </c>
      <c r="R496" s="5" t="s">
        <v>4583</v>
      </c>
      <c r="S496" s="5" t="s">
        <v>5792</v>
      </c>
      <c r="T496" s="7">
        <v>0.38800000000000001</v>
      </c>
      <c r="U496" s="7" t="s">
        <v>10</v>
      </c>
      <c r="V496" s="7">
        <f t="shared" si="87"/>
        <v>0.38800000000000001</v>
      </c>
      <c r="W496" s="7">
        <v>0.5</v>
      </c>
      <c r="X496" s="7" t="s">
        <v>55</v>
      </c>
      <c r="Y496" s="7" t="s">
        <v>56</v>
      </c>
      <c r="Z496" s="48" t="str">
        <f t="shared" si="88"/>
        <v>APROVADO</v>
      </c>
      <c r="AA496" s="47">
        <v>11556347</v>
      </c>
      <c r="AB496" s="5" t="s">
        <v>2992</v>
      </c>
      <c r="AC496" s="5" t="s">
        <v>48</v>
      </c>
      <c r="AD496" s="5" t="s">
        <v>5632</v>
      </c>
      <c r="AE496" s="5" t="str">
        <f t="shared" ca="1" si="90"/>
        <v>NO PRAZO</v>
      </c>
      <c r="AF496" s="51"/>
    </row>
    <row r="497" spans="1:32" ht="30" customHeight="1" x14ac:dyDescent="0.25">
      <c r="A497" s="7" t="s">
        <v>148</v>
      </c>
      <c r="B497" s="7" t="s">
        <v>10</v>
      </c>
      <c r="C497" s="5" t="s">
        <v>5862</v>
      </c>
      <c r="D497" s="12" t="s">
        <v>353</v>
      </c>
      <c r="E497" s="7" t="s">
        <v>40</v>
      </c>
      <c r="F497" s="7" t="s">
        <v>90</v>
      </c>
      <c r="G497" s="7" t="s">
        <v>146</v>
      </c>
      <c r="H497" s="7" t="s">
        <v>92</v>
      </c>
      <c r="I497" s="7" t="s">
        <v>121</v>
      </c>
      <c r="J497" s="5" t="s">
        <v>94</v>
      </c>
      <c r="K497" s="5" t="s">
        <v>45</v>
      </c>
      <c r="L497" s="5" t="s">
        <v>10</v>
      </c>
      <c r="M497" s="5" t="s">
        <v>10</v>
      </c>
      <c r="N497" s="5" t="s">
        <v>10</v>
      </c>
      <c r="O497" s="46" t="s">
        <v>46</v>
      </c>
      <c r="P497" s="100">
        <v>46208</v>
      </c>
      <c r="Q497" s="100">
        <f t="shared" si="89"/>
        <v>46392</v>
      </c>
      <c r="R497" s="5" t="s">
        <v>4584</v>
      </c>
      <c r="S497" s="5" t="s">
        <v>5793</v>
      </c>
      <c r="T497" s="7">
        <v>0.36899999999999999</v>
      </c>
      <c r="U497" s="7" t="s">
        <v>10</v>
      </c>
      <c r="V497" s="7">
        <f t="shared" si="87"/>
        <v>0.36899999999999999</v>
      </c>
      <c r="W497" s="7">
        <v>0.5</v>
      </c>
      <c r="X497" s="7" t="s">
        <v>55</v>
      </c>
      <c r="Y497" s="7" t="s">
        <v>56</v>
      </c>
      <c r="Z497" s="48" t="str">
        <f t="shared" si="88"/>
        <v>APROVADO</v>
      </c>
      <c r="AA497" s="47">
        <v>11556349</v>
      </c>
      <c r="AB497" s="5" t="s">
        <v>2994</v>
      </c>
      <c r="AC497" s="5" t="s">
        <v>48</v>
      </c>
      <c r="AD497" s="5" t="s">
        <v>5632</v>
      </c>
      <c r="AE497" s="5" t="str">
        <f t="shared" ca="1" si="90"/>
        <v>NO PRAZO</v>
      </c>
      <c r="AF497" s="51"/>
    </row>
    <row r="498" spans="1:32" ht="30" customHeight="1" x14ac:dyDescent="0.25">
      <c r="A498" s="7" t="s">
        <v>155</v>
      </c>
      <c r="B498" s="7" t="s">
        <v>10</v>
      </c>
      <c r="C498" s="5" t="s">
        <v>5862</v>
      </c>
      <c r="D498" s="12" t="s">
        <v>365</v>
      </c>
      <c r="E498" s="7" t="s">
        <v>40</v>
      </c>
      <c r="F498" s="7" t="s">
        <v>156</v>
      </c>
      <c r="G498" s="7" t="s">
        <v>157</v>
      </c>
      <c r="H498" s="7" t="s">
        <v>158</v>
      </c>
      <c r="I498" s="7" t="s">
        <v>121</v>
      </c>
      <c r="J498" s="5" t="s">
        <v>102</v>
      </c>
      <c r="K498" s="5" t="s">
        <v>45</v>
      </c>
      <c r="L498" s="5" t="s">
        <v>10</v>
      </c>
      <c r="M498" s="5" t="s">
        <v>10</v>
      </c>
      <c r="N498" s="5" t="s">
        <v>10</v>
      </c>
      <c r="O498" s="46" t="s">
        <v>46</v>
      </c>
      <c r="P498" s="100">
        <v>46158</v>
      </c>
      <c r="Q498" s="100">
        <f t="shared" ref="Q498:Q504" si="91">IF(P498="","",P498+184)</f>
        <v>46342</v>
      </c>
      <c r="R498" s="5" t="s">
        <v>3657</v>
      </c>
      <c r="S498" s="5" t="s">
        <v>5495</v>
      </c>
      <c r="T498" s="7">
        <v>0.35</v>
      </c>
      <c r="U498" s="7" t="s">
        <v>10</v>
      </c>
      <c r="V498" s="7">
        <f t="shared" si="87"/>
        <v>0.35</v>
      </c>
      <c r="W498" s="7">
        <v>0.5</v>
      </c>
      <c r="X498" s="7" t="s">
        <v>55</v>
      </c>
      <c r="Y498" s="7" t="s">
        <v>56</v>
      </c>
      <c r="Z498" s="48" t="str">
        <f t="shared" si="88"/>
        <v>APROVADO</v>
      </c>
      <c r="AA498" s="47">
        <v>11540919</v>
      </c>
      <c r="AB498" s="5" t="s">
        <v>2826</v>
      </c>
      <c r="AC498" s="5" t="s">
        <v>48</v>
      </c>
      <c r="AD498" s="5" t="s">
        <v>5530</v>
      </c>
      <c r="AE498" s="5" t="str">
        <f t="shared" ca="1" si="90"/>
        <v>NO PRAZO</v>
      </c>
      <c r="AF498" s="51"/>
    </row>
    <row r="499" spans="1:32" ht="30" customHeight="1" x14ac:dyDescent="0.25">
      <c r="A499" s="7" t="s">
        <v>160</v>
      </c>
      <c r="B499" s="7" t="s">
        <v>10</v>
      </c>
      <c r="C499" s="5" t="s">
        <v>5862</v>
      </c>
      <c r="D499" s="12" t="s">
        <v>365</v>
      </c>
      <c r="E499" s="7" t="s">
        <v>40</v>
      </c>
      <c r="F499" s="7" t="s">
        <v>156</v>
      </c>
      <c r="G499" s="7" t="s">
        <v>161</v>
      </c>
      <c r="H499" s="7" t="s">
        <v>158</v>
      </c>
      <c r="I499" s="7" t="s">
        <v>115</v>
      </c>
      <c r="J499" s="5" t="s">
        <v>102</v>
      </c>
      <c r="K499" s="5" t="s">
        <v>45</v>
      </c>
      <c r="L499" s="5" t="s">
        <v>10</v>
      </c>
      <c r="M499" s="5" t="s">
        <v>10</v>
      </c>
      <c r="N499" s="5" t="s">
        <v>10</v>
      </c>
      <c r="O499" s="46" t="s">
        <v>46</v>
      </c>
      <c r="P499" s="100">
        <v>46158</v>
      </c>
      <c r="Q499" s="100">
        <f t="shared" si="91"/>
        <v>46342</v>
      </c>
      <c r="R499" s="5" t="s">
        <v>3648</v>
      </c>
      <c r="S499" s="5" t="s">
        <v>5496</v>
      </c>
      <c r="T499" s="7">
        <v>0.35599999999999998</v>
      </c>
      <c r="U499" s="7" t="s">
        <v>10</v>
      </c>
      <c r="V499" s="7">
        <f t="shared" si="87"/>
        <v>0.35599999999999998</v>
      </c>
      <c r="W499" s="7">
        <v>0.5</v>
      </c>
      <c r="X499" s="7" t="s">
        <v>55</v>
      </c>
      <c r="Y499" s="7" t="s">
        <v>56</v>
      </c>
      <c r="Z499" s="48" t="str">
        <f t="shared" si="88"/>
        <v>APROVADO</v>
      </c>
      <c r="AA499" s="47">
        <v>11540921</v>
      </c>
      <c r="AB499" s="5" t="s">
        <v>2828</v>
      </c>
      <c r="AC499" s="5" t="s">
        <v>48</v>
      </c>
      <c r="AD499" s="5" t="s">
        <v>5530</v>
      </c>
      <c r="AE499" s="5" t="str">
        <f t="shared" ca="1" si="90"/>
        <v>NO PRAZO</v>
      </c>
      <c r="AF499" s="51"/>
    </row>
    <row r="500" spans="1:32" ht="30" customHeight="1" x14ac:dyDescent="0.25">
      <c r="A500" s="7" t="s">
        <v>163</v>
      </c>
      <c r="B500" s="7" t="s">
        <v>10</v>
      </c>
      <c r="C500" s="5" t="s">
        <v>5862</v>
      </c>
      <c r="D500" s="12" t="s">
        <v>365</v>
      </c>
      <c r="E500" s="7" t="s">
        <v>40</v>
      </c>
      <c r="F500" s="7" t="s">
        <v>156</v>
      </c>
      <c r="G500" s="7" t="s">
        <v>164</v>
      </c>
      <c r="H500" s="7" t="s">
        <v>158</v>
      </c>
      <c r="I500" s="7" t="s">
        <v>165</v>
      </c>
      <c r="J500" s="5" t="s">
        <v>102</v>
      </c>
      <c r="K500" s="5" t="s">
        <v>45</v>
      </c>
      <c r="L500" s="5" t="s">
        <v>10</v>
      </c>
      <c r="M500" s="5" t="s">
        <v>10</v>
      </c>
      <c r="N500" s="5" t="s">
        <v>10</v>
      </c>
      <c r="O500" s="46" t="s">
        <v>46</v>
      </c>
      <c r="P500" s="100">
        <v>46158</v>
      </c>
      <c r="Q500" s="100">
        <f t="shared" si="91"/>
        <v>46342</v>
      </c>
      <c r="R500" s="7" t="s">
        <v>3658</v>
      </c>
      <c r="S500" s="7" t="s">
        <v>5497</v>
      </c>
      <c r="T500" s="7">
        <v>0.35599999999999998</v>
      </c>
      <c r="U500" s="7" t="s">
        <v>10</v>
      </c>
      <c r="V500" s="7">
        <f t="shared" si="87"/>
        <v>0.35599999999999998</v>
      </c>
      <c r="W500" s="7">
        <v>0.5</v>
      </c>
      <c r="X500" s="7" t="s">
        <v>55</v>
      </c>
      <c r="Y500" s="7" t="s">
        <v>56</v>
      </c>
      <c r="Z500" s="48" t="str">
        <f t="shared" si="88"/>
        <v>APROVADO</v>
      </c>
      <c r="AA500" s="47">
        <v>11540922</v>
      </c>
      <c r="AB500" s="5" t="s">
        <v>3259</v>
      </c>
      <c r="AC500" s="5" t="s">
        <v>48</v>
      </c>
      <c r="AD500" s="5" t="s">
        <v>5530</v>
      </c>
      <c r="AE500" s="5" t="str">
        <f t="shared" ca="1" si="90"/>
        <v>NO PRAZO</v>
      </c>
      <c r="AF500" s="51"/>
    </row>
    <row r="501" spans="1:32" ht="30" customHeight="1" x14ac:dyDescent="0.25">
      <c r="A501" s="7" t="s">
        <v>167</v>
      </c>
      <c r="B501" s="7" t="s">
        <v>10</v>
      </c>
      <c r="C501" s="5" t="s">
        <v>5862</v>
      </c>
      <c r="D501" s="7" t="s">
        <v>89</v>
      </c>
      <c r="E501" s="7" t="s">
        <v>40</v>
      </c>
      <c r="F501" s="7" t="s">
        <v>156</v>
      </c>
      <c r="G501" s="7" t="s">
        <v>168</v>
      </c>
      <c r="H501" s="7" t="s">
        <v>158</v>
      </c>
      <c r="I501" s="7" t="s">
        <v>104</v>
      </c>
      <c r="J501" s="5" t="s">
        <v>102</v>
      </c>
      <c r="K501" s="5" t="s">
        <v>45</v>
      </c>
      <c r="L501" s="5" t="s">
        <v>10</v>
      </c>
      <c r="M501" s="5" t="s">
        <v>10</v>
      </c>
      <c r="N501" s="5" t="s">
        <v>10</v>
      </c>
      <c r="O501" s="46" t="s">
        <v>46</v>
      </c>
      <c r="P501" s="100">
        <v>45781</v>
      </c>
      <c r="Q501" s="100">
        <f t="shared" si="91"/>
        <v>45965</v>
      </c>
      <c r="R501" s="5" t="s">
        <v>1737</v>
      </c>
      <c r="S501" s="5" t="s">
        <v>2212</v>
      </c>
      <c r="T501" s="7">
        <v>0.32</v>
      </c>
      <c r="U501" s="7" t="s">
        <v>10</v>
      </c>
      <c r="V501" s="7">
        <f t="shared" si="87"/>
        <v>0.32</v>
      </c>
      <c r="W501" s="7">
        <v>0.5</v>
      </c>
      <c r="X501" s="7" t="s">
        <v>55</v>
      </c>
      <c r="Y501" s="7" t="s">
        <v>56</v>
      </c>
      <c r="Z501" s="48" t="str">
        <f t="shared" si="88"/>
        <v>APROVADO</v>
      </c>
      <c r="AA501" s="47">
        <v>11540923</v>
      </c>
      <c r="AB501" s="5" t="s">
        <v>2831</v>
      </c>
      <c r="AC501" s="5" t="s">
        <v>48</v>
      </c>
      <c r="AD501" s="5" t="s">
        <v>5530</v>
      </c>
      <c r="AE501" s="5" t="s">
        <v>3062</v>
      </c>
      <c r="AF501" s="53" t="s">
        <v>3730</v>
      </c>
    </row>
    <row r="502" spans="1:32" ht="30" customHeight="1" x14ac:dyDescent="0.25">
      <c r="A502" s="7" t="s">
        <v>177</v>
      </c>
      <c r="B502" s="7" t="s">
        <v>10</v>
      </c>
      <c r="C502" s="5" t="s">
        <v>5862</v>
      </c>
      <c r="D502" s="12" t="s">
        <v>365</v>
      </c>
      <c r="E502" s="7" t="s">
        <v>40</v>
      </c>
      <c r="F502" s="7" t="s">
        <v>156</v>
      </c>
      <c r="G502" s="7" t="s">
        <v>178</v>
      </c>
      <c r="H502" s="7" t="s">
        <v>158</v>
      </c>
      <c r="I502" s="7" t="s">
        <v>165</v>
      </c>
      <c r="J502" s="5" t="s">
        <v>102</v>
      </c>
      <c r="K502" s="5" t="s">
        <v>45</v>
      </c>
      <c r="L502" s="5" t="s">
        <v>10</v>
      </c>
      <c r="M502" s="5" t="s">
        <v>10</v>
      </c>
      <c r="N502" s="5" t="s">
        <v>10</v>
      </c>
      <c r="O502" s="46" t="s">
        <v>46</v>
      </c>
      <c r="P502" s="100">
        <v>46158</v>
      </c>
      <c r="Q502" s="100">
        <f t="shared" si="91"/>
        <v>46342</v>
      </c>
      <c r="R502" s="5" t="s">
        <v>3650</v>
      </c>
      <c r="S502" s="5" t="s">
        <v>5498</v>
      </c>
      <c r="T502" s="7">
        <v>0.26200000000000001</v>
      </c>
      <c r="U502" s="7" t="s">
        <v>10</v>
      </c>
      <c r="V502" s="7">
        <f t="shared" si="87"/>
        <v>0.26200000000000001</v>
      </c>
      <c r="W502" s="7">
        <v>0.5</v>
      </c>
      <c r="X502" s="7" t="s">
        <v>55</v>
      </c>
      <c r="Y502" s="7" t="s">
        <v>56</v>
      </c>
      <c r="Z502" s="48" t="str">
        <f t="shared" si="88"/>
        <v>APROVADO</v>
      </c>
      <c r="AA502" s="47">
        <v>11540920</v>
      </c>
      <c r="AB502" s="5" t="s">
        <v>2833</v>
      </c>
      <c r="AC502" s="5" t="s">
        <v>48</v>
      </c>
      <c r="AD502" s="5" t="s">
        <v>5530</v>
      </c>
      <c r="AE502" s="5" t="str">
        <f t="shared" ref="AE502:AE532" ca="1" si="92">IFERROR(IF(OR(AND(YEAR(Q502)=YEAR(TODAY()),MONTH(Q502)&gt;MONTH(TODAY())),(YEAR(Q502)&gt;YEAR(TODAY()))),$AK$4,IF(AND(YEAR(Q502)=YEAR(TODAY()),MONTH(Q502)=MONTH(TODAY())),$AK$5,IF(Q502="",$AK$6,$AK$7))),"-")</f>
        <v>NO PRAZO</v>
      </c>
      <c r="AF502" s="51"/>
    </row>
    <row r="503" spans="1:32" ht="30" customHeight="1" x14ac:dyDescent="0.25">
      <c r="A503" s="8" t="s">
        <v>269</v>
      </c>
      <c r="B503" s="7" t="s">
        <v>10</v>
      </c>
      <c r="C503" s="5" t="s">
        <v>5862</v>
      </c>
      <c r="D503" s="12" t="s">
        <v>365</v>
      </c>
      <c r="E503" s="7" t="s">
        <v>40</v>
      </c>
      <c r="F503" s="7" t="s">
        <v>156</v>
      </c>
      <c r="G503" s="7" t="s">
        <v>270</v>
      </c>
      <c r="H503" s="7" t="s">
        <v>158</v>
      </c>
      <c r="I503" s="7" t="s">
        <v>115</v>
      </c>
      <c r="J503" s="5" t="s">
        <v>102</v>
      </c>
      <c r="K503" s="5" t="s">
        <v>45</v>
      </c>
      <c r="L503" s="5" t="s">
        <v>10</v>
      </c>
      <c r="M503" s="5" t="s">
        <v>10</v>
      </c>
      <c r="N503" s="5" t="s">
        <v>10</v>
      </c>
      <c r="O503" s="46" t="s">
        <v>46</v>
      </c>
      <c r="P503" s="100">
        <v>46158</v>
      </c>
      <c r="Q503" s="100">
        <f t="shared" si="91"/>
        <v>46342</v>
      </c>
      <c r="R503" s="5" t="s">
        <v>3659</v>
      </c>
      <c r="S503" s="5" t="s">
        <v>5499</v>
      </c>
      <c r="T503" s="7">
        <v>0.35499999999999998</v>
      </c>
      <c r="U503" s="7" t="s">
        <v>10</v>
      </c>
      <c r="V503" s="7">
        <f t="shared" si="87"/>
        <v>0.35499999999999998</v>
      </c>
      <c r="W503" s="7">
        <v>0.5</v>
      </c>
      <c r="X503" s="7" t="s">
        <v>55</v>
      </c>
      <c r="Y503" s="7" t="s">
        <v>56</v>
      </c>
      <c r="Z503" s="48" t="str">
        <f t="shared" si="88"/>
        <v>APROVADO</v>
      </c>
      <c r="AA503" s="47">
        <v>11540924</v>
      </c>
      <c r="AB503" s="5" t="s">
        <v>271</v>
      </c>
      <c r="AC503" s="5" t="s">
        <v>48</v>
      </c>
      <c r="AD503" s="5" t="s">
        <v>5530</v>
      </c>
      <c r="AE503" s="5" t="str">
        <f t="shared" ca="1" si="92"/>
        <v>NO PRAZO</v>
      </c>
      <c r="AF503" s="51"/>
    </row>
    <row r="504" spans="1:32" ht="30" customHeight="1" x14ac:dyDescent="0.25">
      <c r="A504" s="8" t="s">
        <v>272</v>
      </c>
      <c r="B504" s="7" t="s">
        <v>10</v>
      </c>
      <c r="C504" s="5" t="s">
        <v>5862</v>
      </c>
      <c r="D504" s="12" t="s">
        <v>365</v>
      </c>
      <c r="E504" s="7" t="s">
        <v>40</v>
      </c>
      <c r="F504" s="7" t="s">
        <v>156</v>
      </c>
      <c r="G504" s="7" t="s">
        <v>270</v>
      </c>
      <c r="H504" s="7" t="s">
        <v>158</v>
      </c>
      <c r="I504" s="7" t="s">
        <v>121</v>
      </c>
      <c r="J504" s="5" t="s">
        <v>102</v>
      </c>
      <c r="K504" s="5" t="s">
        <v>45</v>
      </c>
      <c r="L504" s="5" t="s">
        <v>10</v>
      </c>
      <c r="M504" s="5" t="s">
        <v>10</v>
      </c>
      <c r="N504" s="5" t="s">
        <v>10</v>
      </c>
      <c r="O504" s="46" t="s">
        <v>46</v>
      </c>
      <c r="P504" s="100">
        <v>46158</v>
      </c>
      <c r="Q504" s="100">
        <f t="shared" si="91"/>
        <v>46342</v>
      </c>
      <c r="R504" s="5" t="s">
        <v>3660</v>
      </c>
      <c r="S504" s="5" t="s">
        <v>5500</v>
      </c>
      <c r="T504" s="7">
        <v>0.35199999999999998</v>
      </c>
      <c r="U504" s="7" t="s">
        <v>10</v>
      </c>
      <c r="V504" s="7">
        <f t="shared" si="87"/>
        <v>0.35199999999999998</v>
      </c>
      <c r="W504" s="7">
        <v>0.5</v>
      </c>
      <c r="X504" s="7" t="s">
        <v>55</v>
      </c>
      <c r="Y504" s="7" t="s">
        <v>56</v>
      </c>
      <c r="Z504" s="48" t="str">
        <f t="shared" si="88"/>
        <v>APROVADO</v>
      </c>
      <c r="AA504" s="47">
        <v>11540925</v>
      </c>
      <c r="AB504" s="5" t="s">
        <v>2013</v>
      </c>
      <c r="AC504" s="5" t="s">
        <v>48</v>
      </c>
      <c r="AD504" s="5" t="s">
        <v>5530</v>
      </c>
      <c r="AE504" s="5" t="str">
        <f t="shared" ca="1" si="92"/>
        <v>NO PRAZO</v>
      </c>
      <c r="AF504" s="51"/>
    </row>
    <row r="505" spans="1:32" ht="30" customHeight="1" x14ac:dyDescent="0.25">
      <c r="A505" s="9" t="s">
        <v>402</v>
      </c>
      <c r="B505" s="5" t="s">
        <v>10</v>
      </c>
      <c r="C505" s="5" t="s">
        <v>5862</v>
      </c>
      <c r="D505" s="5" t="s">
        <v>353</v>
      </c>
      <c r="E505" s="7" t="s">
        <v>40</v>
      </c>
      <c r="F505" s="7" t="s">
        <v>354</v>
      </c>
      <c r="G505" s="61" t="s">
        <v>403</v>
      </c>
      <c r="H505" s="61" t="s">
        <v>10</v>
      </c>
      <c r="I505" s="61" t="s">
        <v>121</v>
      </c>
      <c r="J505" s="62" t="s">
        <v>404</v>
      </c>
      <c r="K505" s="5" t="s">
        <v>45</v>
      </c>
      <c r="L505" s="5" t="s">
        <v>10</v>
      </c>
      <c r="M505" s="5" t="s">
        <v>10</v>
      </c>
      <c r="N505" s="5" t="s">
        <v>10</v>
      </c>
      <c r="O505" s="46" t="s">
        <v>46</v>
      </c>
      <c r="P505" s="99">
        <v>46071</v>
      </c>
      <c r="Q505" s="100">
        <f>IF(P505="","",P505+181)</f>
        <v>46252</v>
      </c>
      <c r="R505" s="63" t="s">
        <v>3531</v>
      </c>
      <c r="S505" s="63" t="s">
        <v>4904</v>
      </c>
      <c r="T505" s="7">
        <v>0.438</v>
      </c>
      <c r="U505" s="5" t="s">
        <v>10</v>
      </c>
      <c r="V505" s="7">
        <f t="shared" si="87"/>
        <v>0.438</v>
      </c>
      <c r="W505" s="5">
        <v>0.5</v>
      </c>
      <c r="X505" s="5" t="s">
        <v>55</v>
      </c>
      <c r="Y505" s="7" t="s">
        <v>56</v>
      </c>
      <c r="Z505" s="48" t="str">
        <f t="shared" si="88"/>
        <v>APROVADO</v>
      </c>
      <c r="AA505" s="47">
        <v>11594767</v>
      </c>
      <c r="AB505" s="5" t="s">
        <v>3268</v>
      </c>
      <c r="AC505" s="5" t="s">
        <v>48</v>
      </c>
      <c r="AD505" s="5" t="s">
        <v>5530</v>
      </c>
      <c r="AE505" s="5" t="str">
        <f t="shared" ca="1" si="92"/>
        <v>CALIBRAR</v>
      </c>
      <c r="AF505" s="49"/>
    </row>
    <row r="506" spans="1:32" ht="30" customHeight="1" x14ac:dyDescent="0.25">
      <c r="A506" s="9" t="s">
        <v>405</v>
      </c>
      <c r="B506" s="5" t="s">
        <v>10</v>
      </c>
      <c r="C506" s="5" t="s">
        <v>5862</v>
      </c>
      <c r="D506" s="5" t="s">
        <v>353</v>
      </c>
      <c r="E506" s="7" t="s">
        <v>40</v>
      </c>
      <c r="F506" s="7" t="s">
        <v>354</v>
      </c>
      <c r="G506" s="61" t="s">
        <v>403</v>
      </c>
      <c r="H506" s="61" t="s">
        <v>10</v>
      </c>
      <c r="I506" s="61" t="s">
        <v>104</v>
      </c>
      <c r="J506" s="62" t="s">
        <v>404</v>
      </c>
      <c r="K506" s="5" t="s">
        <v>45</v>
      </c>
      <c r="L506" s="5" t="s">
        <v>10</v>
      </c>
      <c r="M506" s="5" t="s">
        <v>10</v>
      </c>
      <c r="N506" s="5" t="s">
        <v>10</v>
      </c>
      <c r="O506" s="46" t="s">
        <v>46</v>
      </c>
      <c r="P506" s="99">
        <v>46071</v>
      </c>
      <c r="Q506" s="100">
        <f>IF(P506="","",P506+181)</f>
        <v>46252</v>
      </c>
      <c r="R506" s="63" t="s">
        <v>3532</v>
      </c>
      <c r="S506" s="63" t="s">
        <v>4905</v>
      </c>
      <c r="T506" s="7">
        <v>0.44900000000000001</v>
      </c>
      <c r="U506" s="5" t="s">
        <v>10</v>
      </c>
      <c r="V506" s="7">
        <f t="shared" si="87"/>
        <v>0.44900000000000001</v>
      </c>
      <c r="W506" s="5">
        <v>0.5</v>
      </c>
      <c r="X506" s="5" t="s">
        <v>55</v>
      </c>
      <c r="Y506" s="7" t="s">
        <v>56</v>
      </c>
      <c r="Z506" s="48" t="str">
        <f t="shared" si="88"/>
        <v>APROVADO</v>
      </c>
      <c r="AA506" s="47">
        <v>11605590</v>
      </c>
      <c r="AB506" s="5" t="s">
        <v>2724</v>
      </c>
      <c r="AC506" s="5" t="s">
        <v>48</v>
      </c>
      <c r="AD506" s="5" t="s">
        <v>5530</v>
      </c>
      <c r="AE506" s="5" t="str">
        <f t="shared" ca="1" si="92"/>
        <v>CALIBRAR</v>
      </c>
      <c r="AF506" s="49"/>
    </row>
    <row r="507" spans="1:32" ht="30" customHeight="1" x14ac:dyDescent="0.25">
      <c r="A507" s="9" t="s">
        <v>407</v>
      </c>
      <c r="B507" s="5" t="s">
        <v>10</v>
      </c>
      <c r="C507" s="5" t="s">
        <v>5862</v>
      </c>
      <c r="D507" s="7" t="s">
        <v>353</v>
      </c>
      <c r="E507" s="7" t="s">
        <v>40</v>
      </c>
      <c r="F507" s="7" t="s">
        <v>354</v>
      </c>
      <c r="G507" s="61" t="s">
        <v>408</v>
      </c>
      <c r="H507" s="61" t="s">
        <v>10</v>
      </c>
      <c r="I507" s="61" t="s">
        <v>104</v>
      </c>
      <c r="J507" s="62" t="s">
        <v>404</v>
      </c>
      <c r="K507" s="5" t="s">
        <v>45</v>
      </c>
      <c r="L507" s="5" t="s">
        <v>10</v>
      </c>
      <c r="M507" s="5" t="s">
        <v>10</v>
      </c>
      <c r="N507" s="5" t="s">
        <v>10</v>
      </c>
      <c r="O507" s="46" t="s">
        <v>46</v>
      </c>
      <c r="P507" s="100">
        <v>46116</v>
      </c>
      <c r="Q507" s="100">
        <f>IF(P507="","",P507+183)</f>
        <v>46299</v>
      </c>
      <c r="R507" s="63" t="s">
        <v>3572</v>
      </c>
      <c r="S507" s="63" t="s">
        <v>5214</v>
      </c>
      <c r="T507" s="7">
        <v>0.29099999999999998</v>
      </c>
      <c r="U507" s="5" t="s">
        <v>10</v>
      </c>
      <c r="V507" s="7">
        <f t="shared" si="87"/>
        <v>0.29099999999999998</v>
      </c>
      <c r="W507" s="5">
        <v>0.5</v>
      </c>
      <c r="X507" s="5" t="s">
        <v>55</v>
      </c>
      <c r="Y507" s="7" t="s">
        <v>56</v>
      </c>
      <c r="Z507" s="48" t="str">
        <f t="shared" si="88"/>
        <v>APROVADO</v>
      </c>
      <c r="AA507" s="47">
        <v>11603581</v>
      </c>
      <c r="AB507" s="5" t="s">
        <v>2766</v>
      </c>
      <c r="AC507" s="5" t="s">
        <v>48</v>
      </c>
      <c r="AD507" s="5" t="s">
        <v>5530</v>
      </c>
      <c r="AE507" s="5" t="str">
        <f t="shared" ca="1" si="92"/>
        <v>NO PRAZO</v>
      </c>
      <c r="AF507" s="49"/>
    </row>
    <row r="508" spans="1:32" ht="30" customHeight="1" x14ac:dyDescent="0.25">
      <c r="A508" s="9" t="s">
        <v>409</v>
      </c>
      <c r="B508" s="5" t="s">
        <v>10</v>
      </c>
      <c r="C508" s="5" t="s">
        <v>5862</v>
      </c>
      <c r="D508" s="5" t="s">
        <v>353</v>
      </c>
      <c r="E508" s="7" t="s">
        <v>40</v>
      </c>
      <c r="F508" s="7" t="s">
        <v>354</v>
      </c>
      <c r="G508" s="61" t="s">
        <v>406</v>
      </c>
      <c r="H508" s="61" t="s">
        <v>10</v>
      </c>
      <c r="I508" s="61" t="s">
        <v>104</v>
      </c>
      <c r="J508" s="62" t="s">
        <v>404</v>
      </c>
      <c r="K508" s="5" t="s">
        <v>45</v>
      </c>
      <c r="L508" s="5" t="s">
        <v>10</v>
      </c>
      <c r="M508" s="5" t="s">
        <v>10</v>
      </c>
      <c r="N508" s="5" t="s">
        <v>10</v>
      </c>
      <c r="O508" s="46" t="s">
        <v>46</v>
      </c>
      <c r="P508" s="99">
        <v>46071</v>
      </c>
      <c r="Q508" s="100">
        <f t="shared" ref="Q508:Q517" si="93">IF(P508="","",P508+181)</f>
        <v>46252</v>
      </c>
      <c r="R508" s="63" t="s">
        <v>3533</v>
      </c>
      <c r="S508" s="63" t="s">
        <v>4906</v>
      </c>
      <c r="T508" s="7">
        <v>0.45700000000000002</v>
      </c>
      <c r="U508" s="5" t="s">
        <v>10</v>
      </c>
      <c r="V508" s="7">
        <f t="shared" si="87"/>
        <v>0.45700000000000002</v>
      </c>
      <c r="W508" s="5">
        <v>0.5</v>
      </c>
      <c r="X508" s="5" t="s">
        <v>55</v>
      </c>
      <c r="Y508" s="7" t="s">
        <v>56</v>
      </c>
      <c r="Z508" s="48" t="str">
        <f t="shared" si="88"/>
        <v>APROVADO</v>
      </c>
      <c r="AA508" s="47">
        <v>11599490</v>
      </c>
      <c r="AB508" s="5" t="s">
        <v>2725</v>
      </c>
      <c r="AC508" s="5" t="s">
        <v>48</v>
      </c>
      <c r="AD508" s="5" t="s">
        <v>5530</v>
      </c>
      <c r="AE508" s="5" t="str">
        <f t="shared" ca="1" si="92"/>
        <v>CALIBRAR</v>
      </c>
      <c r="AF508" s="49"/>
    </row>
    <row r="509" spans="1:32" ht="30" customHeight="1" x14ac:dyDescent="0.25">
      <c r="A509" s="9" t="s">
        <v>410</v>
      </c>
      <c r="B509" s="5" t="s">
        <v>10</v>
      </c>
      <c r="C509" s="5" t="s">
        <v>5862</v>
      </c>
      <c r="D509" s="5" t="s">
        <v>353</v>
      </c>
      <c r="E509" s="7" t="s">
        <v>40</v>
      </c>
      <c r="F509" s="7" t="s">
        <v>354</v>
      </c>
      <c r="G509" s="61" t="s">
        <v>406</v>
      </c>
      <c r="H509" s="61" t="s">
        <v>10</v>
      </c>
      <c r="I509" s="61" t="s">
        <v>104</v>
      </c>
      <c r="J509" s="62" t="s">
        <v>404</v>
      </c>
      <c r="K509" s="5" t="s">
        <v>45</v>
      </c>
      <c r="L509" s="5" t="s">
        <v>10</v>
      </c>
      <c r="M509" s="5" t="s">
        <v>10</v>
      </c>
      <c r="N509" s="5" t="s">
        <v>10</v>
      </c>
      <c r="O509" s="46" t="s">
        <v>46</v>
      </c>
      <c r="P509" s="99">
        <v>46071</v>
      </c>
      <c r="Q509" s="100">
        <f t="shared" si="93"/>
        <v>46252</v>
      </c>
      <c r="R509" s="63" t="s">
        <v>3534</v>
      </c>
      <c r="S509" s="63" t="s">
        <v>4907</v>
      </c>
      <c r="T509" s="7">
        <v>0.45200000000000001</v>
      </c>
      <c r="U509" s="5" t="s">
        <v>10</v>
      </c>
      <c r="V509" s="7">
        <f t="shared" si="87"/>
        <v>0.45200000000000001</v>
      </c>
      <c r="W509" s="5">
        <v>0.5</v>
      </c>
      <c r="X509" s="5" t="s">
        <v>55</v>
      </c>
      <c r="Y509" s="7" t="s">
        <v>56</v>
      </c>
      <c r="Z509" s="48" t="str">
        <f t="shared" si="88"/>
        <v>APROVADO</v>
      </c>
      <c r="AA509" s="47">
        <v>11599491</v>
      </c>
      <c r="AB509" s="5" t="s">
        <v>2726</v>
      </c>
      <c r="AC509" s="5" t="s">
        <v>48</v>
      </c>
      <c r="AD509" s="5" t="s">
        <v>5530</v>
      </c>
      <c r="AE509" s="5" t="str">
        <f t="shared" ca="1" si="92"/>
        <v>CALIBRAR</v>
      </c>
      <c r="AF509" s="49"/>
    </row>
    <row r="510" spans="1:32" ht="30" customHeight="1" x14ac:dyDescent="0.25">
      <c r="A510" s="9" t="s">
        <v>411</v>
      </c>
      <c r="B510" s="5" t="s">
        <v>10</v>
      </c>
      <c r="C510" s="5" t="s">
        <v>5862</v>
      </c>
      <c r="D510" s="5" t="s">
        <v>353</v>
      </c>
      <c r="E510" s="7" t="s">
        <v>40</v>
      </c>
      <c r="F510" s="7" t="s">
        <v>354</v>
      </c>
      <c r="G510" s="61" t="s">
        <v>413</v>
      </c>
      <c r="H510" s="61" t="s">
        <v>10</v>
      </c>
      <c r="I510" s="61" t="s">
        <v>104</v>
      </c>
      <c r="J510" s="62" t="s">
        <v>404</v>
      </c>
      <c r="K510" s="5" t="s">
        <v>45</v>
      </c>
      <c r="L510" s="5" t="s">
        <v>10</v>
      </c>
      <c r="M510" s="5" t="s">
        <v>10</v>
      </c>
      <c r="N510" s="5" t="s">
        <v>10</v>
      </c>
      <c r="O510" s="46" t="s">
        <v>46</v>
      </c>
      <c r="P510" s="99">
        <v>46071</v>
      </c>
      <c r="Q510" s="100">
        <f t="shared" si="93"/>
        <v>46252</v>
      </c>
      <c r="R510" s="63" t="s">
        <v>3535</v>
      </c>
      <c r="S510" s="63" t="s">
        <v>4908</v>
      </c>
      <c r="T510" s="7">
        <v>0.45500000000000002</v>
      </c>
      <c r="U510" s="5" t="s">
        <v>10</v>
      </c>
      <c r="V510" s="7">
        <f t="shared" si="87"/>
        <v>0.45500000000000002</v>
      </c>
      <c r="W510" s="5">
        <v>0.5</v>
      </c>
      <c r="X510" s="5" t="s">
        <v>55</v>
      </c>
      <c r="Y510" s="7" t="s">
        <v>56</v>
      </c>
      <c r="Z510" s="48" t="str">
        <f t="shared" si="88"/>
        <v>APROVADO</v>
      </c>
      <c r="AA510" s="47">
        <v>11603540</v>
      </c>
      <c r="AB510" s="5" t="s">
        <v>2727</v>
      </c>
      <c r="AC510" s="5" t="s">
        <v>48</v>
      </c>
      <c r="AD510" s="5" t="s">
        <v>5530</v>
      </c>
      <c r="AE510" s="5" t="str">
        <f t="shared" ca="1" si="92"/>
        <v>CALIBRAR</v>
      </c>
      <c r="AF510" s="49"/>
    </row>
    <row r="511" spans="1:32" ht="30" customHeight="1" x14ac:dyDescent="0.25">
      <c r="A511" s="9" t="s">
        <v>412</v>
      </c>
      <c r="B511" s="9">
        <v>585081</v>
      </c>
      <c r="C511" s="5" t="s">
        <v>5862</v>
      </c>
      <c r="D511" s="5" t="s">
        <v>353</v>
      </c>
      <c r="E511" s="7" t="s">
        <v>40</v>
      </c>
      <c r="F511" s="7" t="s">
        <v>354</v>
      </c>
      <c r="G511" s="61" t="s">
        <v>413</v>
      </c>
      <c r="H511" s="61" t="s">
        <v>10</v>
      </c>
      <c r="I511" s="61" t="s">
        <v>121</v>
      </c>
      <c r="J511" s="62" t="s">
        <v>404</v>
      </c>
      <c r="K511" s="5" t="s">
        <v>45</v>
      </c>
      <c r="L511" s="5" t="s">
        <v>10</v>
      </c>
      <c r="M511" s="5" t="s">
        <v>10</v>
      </c>
      <c r="N511" s="5" t="s">
        <v>10</v>
      </c>
      <c r="O511" s="46" t="s">
        <v>46</v>
      </c>
      <c r="P511" s="99">
        <v>46071</v>
      </c>
      <c r="Q511" s="100">
        <f t="shared" si="93"/>
        <v>46252</v>
      </c>
      <c r="R511" s="63" t="s">
        <v>3536</v>
      </c>
      <c r="S511" s="63" t="s">
        <v>4909</v>
      </c>
      <c r="T511" s="7">
        <v>0.33900000000000002</v>
      </c>
      <c r="U511" s="5" t="s">
        <v>10</v>
      </c>
      <c r="V511" s="7">
        <f t="shared" si="87"/>
        <v>0.33900000000000002</v>
      </c>
      <c r="W511" s="5">
        <v>0.5</v>
      </c>
      <c r="X511" s="5" t="s">
        <v>55</v>
      </c>
      <c r="Y511" s="7" t="s">
        <v>56</v>
      </c>
      <c r="Z511" s="48" t="str">
        <f t="shared" si="88"/>
        <v>APROVADO</v>
      </c>
      <c r="AA511" s="47">
        <v>11603571</v>
      </c>
      <c r="AB511" s="5" t="s">
        <v>2728</v>
      </c>
      <c r="AC511" s="5" t="s">
        <v>48</v>
      </c>
      <c r="AD511" s="5" t="s">
        <v>5530</v>
      </c>
      <c r="AE511" s="5" t="str">
        <f t="shared" ca="1" si="92"/>
        <v>CALIBRAR</v>
      </c>
      <c r="AF511" s="49"/>
    </row>
    <row r="512" spans="1:32" ht="30" customHeight="1" x14ac:dyDescent="0.25">
      <c r="A512" s="9" t="s">
        <v>414</v>
      </c>
      <c r="B512" s="5" t="s">
        <v>10</v>
      </c>
      <c r="C512" s="5" t="s">
        <v>5862</v>
      </c>
      <c r="D512" s="5" t="s">
        <v>353</v>
      </c>
      <c r="E512" s="7" t="s">
        <v>40</v>
      </c>
      <c r="F512" s="7" t="s">
        <v>354</v>
      </c>
      <c r="G512" s="61" t="s">
        <v>415</v>
      </c>
      <c r="H512" s="61" t="s">
        <v>10</v>
      </c>
      <c r="I512" s="61" t="s">
        <v>104</v>
      </c>
      <c r="J512" s="62" t="s">
        <v>404</v>
      </c>
      <c r="K512" s="5" t="s">
        <v>45</v>
      </c>
      <c r="L512" s="5" t="s">
        <v>10</v>
      </c>
      <c r="M512" s="5" t="s">
        <v>10</v>
      </c>
      <c r="N512" s="5" t="s">
        <v>10</v>
      </c>
      <c r="O512" s="46" t="s">
        <v>46</v>
      </c>
      <c r="P512" s="99">
        <v>46071</v>
      </c>
      <c r="Q512" s="100">
        <f t="shared" si="93"/>
        <v>46252</v>
      </c>
      <c r="R512" s="63" t="s">
        <v>3574</v>
      </c>
      <c r="S512" s="63" t="s">
        <v>4910</v>
      </c>
      <c r="T512" s="7">
        <v>0.42899999999999999</v>
      </c>
      <c r="U512" s="5" t="s">
        <v>10</v>
      </c>
      <c r="V512" s="7">
        <f t="shared" si="87"/>
        <v>0.42899999999999999</v>
      </c>
      <c r="W512" s="5">
        <v>0.5</v>
      </c>
      <c r="X512" s="5" t="s">
        <v>55</v>
      </c>
      <c r="Y512" s="7" t="s">
        <v>56</v>
      </c>
      <c r="Z512" s="48" t="str">
        <f t="shared" si="88"/>
        <v>APROVADO</v>
      </c>
      <c r="AA512" s="47">
        <v>11593819</v>
      </c>
      <c r="AB512" s="5" t="s">
        <v>2729</v>
      </c>
      <c r="AC512" s="5" t="s">
        <v>48</v>
      </c>
      <c r="AD512" s="5" t="s">
        <v>5530</v>
      </c>
      <c r="AE512" s="5" t="str">
        <f t="shared" ca="1" si="92"/>
        <v>CALIBRAR</v>
      </c>
      <c r="AF512" s="49"/>
    </row>
    <row r="513" spans="1:32" ht="30" customHeight="1" x14ac:dyDescent="0.25">
      <c r="A513" s="9" t="s">
        <v>416</v>
      </c>
      <c r="B513" s="5" t="s">
        <v>10</v>
      </c>
      <c r="C513" s="5" t="s">
        <v>5862</v>
      </c>
      <c r="D513" s="5" t="s">
        <v>353</v>
      </c>
      <c r="E513" s="7" t="s">
        <v>40</v>
      </c>
      <c r="F513" s="7" t="s">
        <v>354</v>
      </c>
      <c r="G513" s="61" t="s">
        <v>415</v>
      </c>
      <c r="H513" s="61" t="s">
        <v>10</v>
      </c>
      <c r="I513" s="61" t="s">
        <v>104</v>
      </c>
      <c r="J513" s="62" t="s">
        <v>404</v>
      </c>
      <c r="K513" s="5" t="s">
        <v>45</v>
      </c>
      <c r="L513" s="5" t="s">
        <v>10</v>
      </c>
      <c r="M513" s="5" t="s">
        <v>10</v>
      </c>
      <c r="N513" s="5" t="s">
        <v>10</v>
      </c>
      <c r="O513" s="46" t="s">
        <v>46</v>
      </c>
      <c r="P513" s="99">
        <v>46071</v>
      </c>
      <c r="Q513" s="100">
        <f t="shared" si="93"/>
        <v>46252</v>
      </c>
      <c r="R513" s="63" t="s">
        <v>3575</v>
      </c>
      <c r="S513" s="63" t="s">
        <v>4911</v>
      </c>
      <c r="T513" s="7">
        <v>0.378</v>
      </c>
      <c r="U513" s="5" t="s">
        <v>10</v>
      </c>
      <c r="V513" s="7">
        <f t="shared" si="87"/>
        <v>0.378</v>
      </c>
      <c r="W513" s="5">
        <v>0.5</v>
      </c>
      <c r="X513" s="5" t="s">
        <v>55</v>
      </c>
      <c r="Y513" s="7" t="s">
        <v>56</v>
      </c>
      <c r="Z513" s="48" t="str">
        <f t="shared" si="88"/>
        <v>APROVADO</v>
      </c>
      <c r="AA513" s="47">
        <v>11603572</v>
      </c>
      <c r="AB513" s="5" t="s">
        <v>2730</v>
      </c>
      <c r="AC513" s="5" t="s">
        <v>48</v>
      </c>
      <c r="AD513" s="5" t="s">
        <v>5530</v>
      </c>
      <c r="AE513" s="5" t="str">
        <f t="shared" ca="1" si="92"/>
        <v>CALIBRAR</v>
      </c>
      <c r="AF513" s="49"/>
    </row>
    <row r="514" spans="1:32" ht="30" customHeight="1" x14ac:dyDescent="0.25">
      <c r="A514" s="9" t="s">
        <v>417</v>
      </c>
      <c r="B514" s="5" t="s">
        <v>10</v>
      </c>
      <c r="C514" s="5" t="s">
        <v>5862</v>
      </c>
      <c r="D514" s="5" t="s">
        <v>353</v>
      </c>
      <c r="E514" s="7" t="s">
        <v>40</v>
      </c>
      <c r="F514" s="7" t="s">
        <v>354</v>
      </c>
      <c r="G514" s="61" t="s">
        <v>418</v>
      </c>
      <c r="H514" s="61" t="s">
        <v>10</v>
      </c>
      <c r="I514" s="61" t="s">
        <v>104</v>
      </c>
      <c r="J514" s="62" t="s">
        <v>404</v>
      </c>
      <c r="K514" s="5" t="s">
        <v>45</v>
      </c>
      <c r="L514" s="5" t="s">
        <v>10</v>
      </c>
      <c r="M514" s="5" t="s">
        <v>10</v>
      </c>
      <c r="N514" s="5" t="s">
        <v>10</v>
      </c>
      <c r="O514" s="46" t="s">
        <v>46</v>
      </c>
      <c r="P514" s="99">
        <v>46071</v>
      </c>
      <c r="Q514" s="100">
        <f t="shared" si="93"/>
        <v>46252</v>
      </c>
      <c r="R514" s="63" t="s">
        <v>3576</v>
      </c>
      <c r="S514" s="63" t="s">
        <v>4912</v>
      </c>
      <c r="T514" s="7">
        <v>0.371</v>
      </c>
      <c r="U514" s="5" t="s">
        <v>10</v>
      </c>
      <c r="V514" s="7">
        <f t="shared" si="87"/>
        <v>0.371</v>
      </c>
      <c r="W514" s="5">
        <v>0.5</v>
      </c>
      <c r="X514" s="5" t="s">
        <v>55</v>
      </c>
      <c r="Y514" s="7" t="s">
        <v>56</v>
      </c>
      <c r="Z514" s="48" t="str">
        <f t="shared" si="88"/>
        <v>APROVADO</v>
      </c>
      <c r="AA514" s="47">
        <v>11603573</v>
      </c>
      <c r="AB514" s="5" t="s">
        <v>2731</v>
      </c>
      <c r="AC514" s="5" t="s">
        <v>48</v>
      </c>
      <c r="AD514" s="5" t="s">
        <v>5530</v>
      </c>
      <c r="AE514" s="5" t="str">
        <f t="shared" ca="1" si="92"/>
        <v>CALIBRAR</v>
      </c>
      <c r="AF514" s="49"/>
    </row>
    <row r="515" spans="1:32" ht="30" customHeight="1" x14ac:dyDescent="0.25">
      <c r="A515" s="10" t="s">
        <v>419</v>
      </c>
      <c r="B515" s="5" t="s">
        <v>10</v>
      </c>
      <c r="C515" s="5" t="s">
        <v>5862</v>
      </c>
      <c r="D515" s="5" t="s">
        <v>353</v>
      </c>
      <c r="E515" s="7" t="s">
        <v>40</v>
      </c>
      <c r="F515" s="7" t="s">
        <v>354</v>
      </c>
      <c r="G515" s="61" t="s">
        <v>418</v>
      </c>
      <c r="H515" s="61" t="s">
        <v>10</v>
      </c>
      <c r="I515" s="61" t="s">
        <v>104</v>
      </c>
      <c r="J515" s="62" t="s">
        <v>404</v>
      </c>
      <c r="K515" s="5" t="s">
        <v>45</v>
      </c>
      <c r="L515" s="5" t="s">
        <v>10</v>
      </c>
      <c r="M515" s="5" t="s">
        <v>10</v>
      </c>
      <c r="N515" s="5" t="s">
        <v>10</v>
      </c>
      <c r="O515" s="46" t="s">
        <v>46</v>
      </c>
      <c r="P515" s="99">
        <v>46071</v>
      </c>
      <c r="Q515" s="100">
        <f t="shared" si="93"/>
        <v>46252</v>
      </c>
      <c r="R515" s="63" t="s">
        <v>3577</v>
      </c>
      <c r="S515" s="63" t="s">
        <v>4913</v>
      </c>
      <c r="T515" s="7">
        <v>0.33900000000000002</v>
      </c>
      <c r="U515" s="5" t="s">
        <v>10</v>
      </c>
      <c r="V515" s="7">
        <f t="shared" si="87"/>
        <v>0.33900000000000002</v>
      </c>
      <c r="W515" s="5">
        <v>0.5</v>
      </c>
      <c r="X515" s="5" t="s">
        <v>55</v>
      </c>
      <c r="Y515" s="7" t="s">
        <v>56</v>
      </c>
      <c r="Z515" s="48" t="str">
        <f t="shared" si="88"/>
        <v>APROVADO</v>
      </c>
      <c r="AA515" s="47">
        <v>11603574</v>
      </c>
      <c r="AB515" s="5" t="s">
        <v>2732</v>
      </c>
      <c r="AC515" s="5" t="s">
        <v>48</v>
      </c>
      <c r="AD515" s="5" t="s">
        <v>5530</v>
      </c>
      <c r="AE515" s="5" t="str">
        <f t="shared" ca="1" si="92"/>
        <v>CALIBRAR</v>
      </c>
      <c r="AF515" s="49"/>
    </row>
    <row r="516" spans="1:32" ht="30" customHeight="1" x14ac:dyDescent="0.25">
      <c r="A516" s="9" t="s">
        <v>420</v>
      </c>
      <c r="B516" s="5" t="s">
        <v>10</v>
      </c>
      <c r="C516" s="5" t="s">
        <v>5862</v>
      </c>
      <c r="D516" s="5" t="s">
        <v>353</v>
      </c>
      <c r="E516" s="7" t="s">
        <v>40</v>
      </c>
      <c r="F516" s="7" t="s">
        <v>354</v>
      </c>
      <c r="G516" s="61" t="s">
        <v>421</v>
      </c>
      <c r="H516" s="61" t="s">
        <v>10</v>
      </c>
      <c r="I516" s="61" t="s">
        <v>104</v>
      </c>
      <c r="J516" s="62" t="s">
        <v>404</v>
      </c>
      <c r="K516" s="5" t="s">
        <v>45</v>
      </c>
      <c r="L516" s="5" t="s">
        <v>10</v>
      </c>
      <c r="M516" s="5" t="s">
        <v>10</v>
      </c>
      <c r="N516" s="5" t="s">
        <v>10</v>
      </c>
      <c r="O516" s="46" t="s">
        <v>46</v>
      </c>
      <c r="P516" s="99">
        <v>46071</v>
      </c>
      <c r="Q516" s="100">
        <f t="shared" si="93"/>
        <v>46252</v>
      </c>
      <c r="R516" s="63" t="s">
        <v>3578</v>
      </c>
      <c r="S516" s="63" t="s">
        <v>4914</v>
      </c>
      <c r="T516" s="7">
        <v>0.34300000000000003</v>
      </c>
      <c r="U516" s="5" t="s">
        <v>10</v>
      </c>
      <c r="V516" s="7">
        <f t="shared" si="87"/>
        <v>0.34300000000000003</v>
      </c>
      <c r="W516" s="5">
        <v>0.5</v>
      </c>
      <c r="X516" s="5" t="s">
        <v>55</v>
      </c>
      <c r="Y516" s="7" t="s">
        <v>56</v>
      </c>
      <c r="Z516" s="48" t="str">
        <f t="shared" si="88"/>
        <v>APROVADO</v>
      </c>
      <c r="AA516" s="47">
        <v>11603575</v>
      </c>
      <c r="AB516" s="5" t="s">
        <v>2733</v>
      </c>
      <c r="AC516" s="5" t="s">
        <v>48</v>
      </c>
      <c r="AD516" s="5" t="s">
        <v>5530</v>
      </c>
      <c r="AE516" s="5" t="str">
        <f t="shared" ca="1" si="92"/>
        <v>CALIBRAR</v>
      </c>
      <c r="AF516" s="49"/>
    </row>
    <row r="517" spans="1:32" ht="30" customHeight="1" x14ac:dyDescent="0.25">
      <c r="A517" s="9" t="s">
        <v>422</v>
      </c>
      <c r="B517" s="5" t="s">
        <v>10</v>
      </c>
      <c r="C517" s="5" t="s">
        <v>5862</v>
      </c>
      <c r="D517" s="5" t="s">
        <v>353</v>
      </c>
      <c r="E517" s="7" t="s">
        <v>40</v>
      </c>
      <c r="F517" s="7" t="s">
        <v>354</v>
      </c>
      <c r="G517" s="61" t="s">
        <v>421</v>
      </c>
      <c r="H517" s="61" t="s">
        <v>10</v>
      </c>
      <c r="I517" s="61" t="s">
        <v>104</v>
      </c>
      <c r="J517" s="62" t="s">
        <v>404</v>
      </c>
      <c r="K517" s="5" t="s">
        <v>45</v>
      </c>
      <c r="L517" s="5" t="s">
        <v>10</v>
      </c>
      <c r="M517" s="5" t="s">
        <v>10</v>
      </c>
      <c r="N517" s="5" t="s">
        <v>10</v>
      </c>
      <c r="O517" s="46" t="s">
        <v>46</v>
      </c>
      <c r="P517" s="99">
        <v>46071</v>
      </c>
      <c r="Q517" s="100">
        <f t="shared" si="93"/>
        <v>46252</v>
      </c>
      <c r="R517" s="63" t="s">
        <v>3579</v>
      </c>
      <c r="S517" s="63" t="s">
        <v>4888</v>
      </c>
      <c r="T517" s="7">
        <v>0.35699999999999998</v>
      </c>
      <c r="U517" s="5" t="s">
        <v>10</v>
      </c>
      <c r="V517" s="7">
        <f t="shared" si="87"/>
        <v>0.35699999999999998</v>
      </c>
      <c r="W517" s="5">
        <v>0.5</v>
      </c>
      <c r="X517" s="5" t="s">
        <v>55</v>
      </c>
      <c r="Y517" s="7" t="s">
        <v>56</v>
      </c>
      <c r="Z517" s="48" t="str">
        <f t="shared" si="88"/>
        <v>APROVADO</v>
      </c>
      <c r="AA517" s="47">
        <v>11603576</v>
      </c>
      <c r="AB517" s="5" t="s">
        <v>2734</v>
      </c>
      <c r="AC517" s="5" t="s">
        <v>48</v>
      </c>
      <c r="AD517" s="5" t="s">
        <v>5530</v>
      </c>
      <c r="AE517" s="5" t="str">
        <f t="shared" ca="1" si="92"/>
        <v>CALIBRAR</v>
      </c>
      <c r="AF517" s="49"/>
    </row>
    <row r="518" spans="1:32" ht="30" customHeight="1" x14ac:dyDescent="0.25">
      <c r="A518" s="9" t="s">
        <v>423</v>
      </c>
      <c r="B518" s="5" t="s">
        <v>10</v>
      </c>
      <c r="C518" s="5" t="s">
        <v>5862</v>
      </c>
      <c r="D518" s="7" t="s">
        <v>365</v>
      </c>
      <c r="E518" s="7" t="s">
        <v>40</v>
      </c>
      <c r="F518" s="7" t="s">
        <v>354</v>
      </c>
      <c r="G518" s="61" t="s">
        <v>424</v>
      </c>
      <c r="H518" s="61" t="s">
        <v>10</v>
      </c>
      <c r="I518" s="61" t="s">
        <v>104</v>
      </c>
      <c r="J518" s="62" t="s">
        <v>404</v>
      </c>
      <c r="K518" s="5" t="s">
        <v>45</v>
      </c>
      <c r="L518" s="5" t="s">
        <v>10</v>
      </c>
      <c r="M518" s="5" t="s">
        <v>10</v>
      </c>
      <c r="N518" s="5" t="s">
        <v>10</v>
      </c>
      <c r="O518" s="46" t="s">
        <v>46</v>
      </c>
      <c r="P518" s="100">
        <v>46116</v>
      </c>
      <c r="Q518" s="100">
        <f>IF(P518="","",P518+183)</f>
        <v>46299</v>
      </c>
      <c r="R518" s="63" t="s">
        <v>3573</v>
      </c>
      <c r="S518" s="63" t="s">
        <v>5215</v>
      </c>
      <c r="T518" s="7">
        <v>0.36599999999999999</v>
      </c>
      <c r="U518" s="5" t="s">
        <v>10</v>
      </c>
      <c r="V518" s="7">
        <f t="shared" si="87"/>
        <v>0.36599999999999999</v>
      </c>
      <c r="W518" s="5">
        <v>0.5</v>
      </c>
      <c r="X518" s="5" t="s">
        <v>55</v>
      </c>
      <c r="Y518" s="7" t="s">
        <v>56</v>
      </c>
      <c r="Z518" s="48" t="str">
        <f t="shared" si="88"/>
        <v>APROVADO</v>
      </c>
      <c r="AA518" s="47">
        <v>11603582</v>
      </c>
      <c r="AB518" s="5" t="s">
        <v>2767</v>
      </c>
      <c r="AC518" s="5" t="s">
        <v>48</v>
      </c>
      <c r="AD518" s="5" t="s">
        <v>5530</v>
      </c>
      <c r="AE518" s="5" t="str">
        <f t="shared" ca="1" si="92"/>
        <v>NO PRAZO</v>
      </c>
      <c r="AF518" s="49"/>
    </row>
    <row r="519" spans="1:32" ht="30" customHeight="1" x14ac:dyDescent="0.25">
      <c r="A519" s="5" t="s">
        <v>5323</v>
      </c>
      <c r="B519" s="5" t="s">
        <v>10</v>
      </c>
      <c r="C519" s="5" t="s">
        <v>5862</v>
      </c>
      <c r="D519" s="7" t="s">
        <v>39</v>
      </c>
      <c r="E519" s="7" t="s">
        <v>40</v>
      </c>
      <c r="F519" s="7" t="s">
        <v>41</v>
      </c>
      <c r="G519" s="7" t="s">
        <v>42</v>
      </c>
      <c r="H519" s="7" t="s">
        <v>43</v>
      </c>
      <c r="I519" s="7" t="s">
        <v>44</v>
      </c>
      <c r="J519" s="7" t="s">
        <v>3549</v>
      </c>
      <c r="K519" s="5" t="s">
        <v>45</v>
      </c>
      <c r="L519" s="5" t="s">
        <v>10</v>
      </c>
      <c r="M519" s="5" t="s">
        <v>10</v>
      </c>
      <c r="N519" s="5" t="s">
        <v>10</v>
      </c>
      <c r="O519" s="46" t="s">
        <v>46</v>
      </c>
      <c r="P519" s="100">
        <v>46116</v>
      </c>
      <c r="Q519" s="100">
        <f>IF(P519="","",P519+183)</f>
        <v>46299</v>
      </c>
      <c r="R519" s="7" t="s">
        <v>3478</v>
      </c>
      <c r="S519" s="7" t="s">
        <v>5216</v>
      </c>
      <c r="T519" s="7">
        <v>33</v>
      </c>
      <c r="U519" s="7">
        <v>18000</v>
      </c>
      <c r="V519" s="7">
        <f t="shared" si="87"/>
        <v>0.18333333333333332</v>
      </c>
      <c r="W519" s="5">
        <v>0.5</v>
      </c>
      <c r="X519" s="5" t="s">
        <v>73</v>
      </c>
      <c r="Y519" s="7" t="s">
        <v>56</v>
      </c>
      <c r="Z519" s="48" t="str">
        <f t="shared" si="88"/>
        <v>APROVADO</v>
      </c>
      <c r="AA519" s="47">
        <v>11597140</v>
      </c>
      <c r="AB519" s="5" t="s">
        <v>2899</v>
      </c>
      <c r="AC519" s="5" t="s">
        <v>48</v>
      </c>
      <c r="AD519" s="5" t="s">
        <v>5530</v>
      </c>
      <c r="AE519" s="5" t="str">
        <f t="shared" ca="1" si="92"/>
        <v>NO PRAZO</v>
      </c>
      <c r="AF519" s="49"/>
    </row>
    <row r="520" spans="1:32" ht="30" customHeight="1" x14ac:dyDescent="0.25">
      <c r="A520" s="5" t="s">
        <v>59</v>
      </c>
      <c r="B520" s="5" t="s">
        <v>10</v>
      </c>
      <c r="C520" s="5" t="s">
        <v>5862</v>
      </c>
      <c r="D520" s="7" t="s">
        <v>39</v>
      </c>
      <c r="E520" s="7" t="s">
        <v>40</v>
      </c>
      <c r="F520" s="7" t="s">
        <v>41</v>
      </c>
      <c r="G520" s="7" t="s">
        <v>60</v>
      </c>
      <c r="H520" s="7" t="s">
        <v>43</v>
      </c>
      <c r="I520" s="7" t="s">
        <v>61</v>
      </c>
      <c r="J520" s="7" t="s">
        <v>62</v>
      </c>
      <c r="K520" s="5" t="s">
        <v>45</v>
      </c>
      <c r="L520" s="5" t="s">
        <v>10</v>
      </c>
      <c r="M520" s="5" t="s">
        <v>10</v>
      </c>
      <c r="N520" s="5" t="s">
        <v>10</v>
      </c>
      <c r="O520" s="46" t="s">
        <v>46</v>
      </c>
      <c r="P520" s="107">
        <v>46180</v>
      </c>
      <c r="Q520" s="100">
        <f>IF(P520="","",P520+183)</f>
        <v>46363</v>
      </c>
      <c r="R520" s="7" t="s">
        <v>4407</v>
      </c>
      <c r="S520" s="7" t="s">
        <v>5620</v>
      </c>
      <c r="T520" s="7">
        <v>11.3</v>
      </c>
      <c r="U520" s="7">
        <v>6000</v>
      </c>
      <c r="V520" s="7">
        <f t="shared" si="87"/>
        <v>0.18833333333333332</v>
      </c>
      <c r="W520" s="5">
        <v>0.5</v>
      </c>
      <c r="X520" s="5" t="s">
        <v>73</v>
      </c>
      <c r="Y520" s="7" t="s">
        <v>56</v>
      </c>
      <c r="Z520" s="48" t="str">
        <f t="shared" si="88"/>
        <v>APROVADO</v>
      </c>
      <c r="AA520" s="47">
        <v>11604353</v>
      </c>
      <c r="AB520" s="5" t="s">
        <v>2907</v>
      </c>
      <c r="AC520" s="5" t="s">
        <v>48</v>
      </c>
      <c r="AD520" s="5" t="s">
        <v>5632</v>
      </c>
      <c r="AE520" s="5" t="str">
        <f t="shared" ca="1" si="92"/>
        <v>NO PRAZO</v>
      </c>
      <c r="AF520" s="51"/>
    </row>
    <row r="521" spans="1:32" ht="30" customHeight="1" x14ac:dyDescent="0.25">
      <c r="A521" s="9" t="s">
        <v>390</v>
      </c>
      <c r="B521" s="5" t="s">
        <v>10</v>
      </c>
      <c r="C521" s="5" t="s">
        <v>5862</v>
      </c>
      <c r="D521" s="61" t="s">
        <v>5699</v>
      </c>
      <c r="E521" s="7" t="s">
        <v>40</v>
      </c>
      <c r="F521" s="7" t="s">
        <v>354</v>
      </c>
      <c r="G521" s="61" t="s">
        <v>355</v>
      </c>
      <c r="H521" s="61" t="s">
        <v>359</v>
      </c>
      <c r="I521" s="9" t="s">
        <v>391</v>
      </c>
      <c r="J521" s="62" t="s">
        <v>392</v>
      </c>
      <c r="K521" s="5" t="s">
        <v>45</v>
      </c>
      <c r="L521" s="5" t="s">
        <v>10</v>
      </c>
      <c r="M521" s="5" t="s">
        <v>10</v>
      </c>
      <c r="N521" s="5" t="s">
        <v>10</v>
      </c>
      <c r="O521" s="46" t="s">
        <v>46</v>
      </c>
      <c r="P521" s="99">
        <v>46102</v>
      </c>
      <c r="Q521" s="100">
        <f>IF(P521="","",P521+184)</f>
        <v>46286</v>
      </c>
      <c r="R521" s="63" t="s">
        <v>3449</v>
      </c>
      <c r="S521" s="63" t="s">
        <v>5094</v>
      </c>
      <c r="T521" s="7">
        <v>5.3999999999999999E-2</v>
      </c>
      <c r="U521" s="5">
        <v>15000</v>
      </c>
      <c r="V521" s="7">
        <f t="shared" si="87"/>
        <v>3.6000000000000002E-4</v>
      </c>
      <c r="W521" s="5">
        <v>0.5</v>
      </c>
      <c r="X521" s="5" t="s">
        <v>3074</v>
      </c>
      <c r="Y521" s="7" t="s">
        <v>56</v>
      </c>
      <c r="Z521" s="48" t="str">
        <f t="shared" si="88"/>
        <v>APROVADO</v>
      </c>
      <c r="AA521" s="47">
        <v>11599632</v>
      </c>
      <c r="AB521" s="5" t="s">
        <v>2612</v>
      </c>
      <c r="AC521" s="5" t="s">
        <v>48</v>
      </c>
      <c r="AD521" s="5" t="s">
        <v>5530</v>
      </c>
      <c r="AE521" s="5" t="str">
        <f t="shared" ca="1" si="92"/>
        <v>NO PRAZO</v>
      </c>
      <c r="AF521" s="49"/>
    </row>
    <row r="522" spans="1:32" ht="30" customHeight="1" x14ac:dyDescent="0.25">
      <c r="A522" s="9" t="s">
        <v>395</v>
      </c>
      <c r="B522" s="5" t="s">
        <v>10</v>
      </c>
      <c r="C522" s="5" t="s">
        <v>5862</v>
      </c>
      <c r="D522" s="61" t="s">
        <v>5699</v>
      </c>
      <c r="E522" s="7" t="s">
        <v>40</v>
      </c>
      <c r="F522" s="7" t="s">
        <v>354</v>
      </c>
      <c r="G522" s="61" t="s">
        <v>355</v>
      </c>
      <c r="H522" s="61" t="s">
        <v>374</v>
      </c>
      <c r="I522" s="9" t="s">
        <v>391</v>
      </c>
      <c r="J522" s="62" t="s">
        <v>392</v>
      </c>
      <c r="K522" s="5" t="s">
        <v>45</v>
      </c>
      <c r="L522" s="5" t="s">
        <v>10</v>
      </c>
      <c r="M522" s="5" t="s">
        <v>10</v>
      </c>
      <c r="N522" s="5" t="s">
        <v>10</v>
      </c>
      <c r="O522" s="46" t="s">
        <v>46</v>
      </c>
      <c r="P522" s="99">
        <v>46102</v>
      </c>
      <c r="Q522" s="100">
        <f>IF(P522="","",P522+184)</f>
        <v>46286</v>
      </c>
      <c r="R522" s="63" t="s">
        <v>3450</v>
      </c>
      <c r="S522" s="63" t="s">
        <v>5095</v>
      </c>
      <c r="T522" s="7">
        <v>5.8999999999999997E-2</v>
      </c>
      <c r="U522" s="5">
        <v>15000</v>
      </c>
      <c r="V522" s="7">
        <f t="shared" si="87"/>
        <v>3.9333333333333332E-4</v>
      </c>
      <c r="W522" s="5">
        <v>0.5</v>
      </c>
      <c r="X522" s="5" t="s">
        <v>3074</v>
      </c>
      <c r="Y522" s="7" t="s">
        <v>56</v>
      </c>
      <c r="Z522" s="48" t="str">
        <f t="shared" si="88"/>
        <v>APROVADO</v>
      </c>
      <c r="AA522" s="47">
        <v>11599633</v>
      </c>
      <c r="AB522" s="5" t="s">
        <v>2614</v>
      </c>
      <c r="AC522" s="5" t="s">
        <v>48</v>
      </c>
      <c r="AD522" s="5" t="s">
        <v>5530</v>
      </c>
      <c r="AE522" s="5" t="str">
        <f t="shared" ca="1" si="92"/>
        <v>NO PRAZO</v>
      </c>
      <c r="AF522" s="49"/>
    </row>
    <row r="523" spans="1:32" ht="30" customHeight="1" x14ac:dyDescent="0.25">
      <c r="A523" s="9" t="s">
        <v>397</v>
      </c>
      <c r="B523" s="5" t="s">
        <v>10</v>
      </c>
      <c r="C523" s="5" t="s">
        <v>5862</v>
      </c>
      <c r="D523" s="61" t="s">
        <v>5699</v>
      </c>
      <c r="E523" s="7" t="s">
        <v>40</v>
      </c>
      <c r="F523" s="7" t="s">
        <v>354</v>
      </c>
      <c r="G523" s="61" t="s">
        <v>355</v>
      </c>
      <c r="H523" s="61" t="s">
        <v>372</v>
      </c>
      <c r="I523" s="9" t="s">
        <v>398</v>
      </c>
      <c r="J523" s="62" t="s">
        <v>392</v>
      </c>
      <c r="K523" s="5" t="s">
        <v>45</v>
      </c>
      <c r="L523" s="5" t="s">
        <v>10</v>
      </c>
      <c r="M523" s="5" t="s">
        <v>10</v>
      </c>
      <c r="N523" s="5" t="s">
        <v>10</v>
      </c>
      <c r="O523" s="46" t="s">
        <v>46</v>
      </c>
      <c r="P523" s="99">
        <v>46102</v>
      </c>
      <c r="Q523" s="100">
        <f>IF(P523="","",P523+184)</f>
        <v>46286</v>
      </c>
      <c r="R523" s="63" t="s">
        <v>3451</v>
      </c>
      <c r="S523" s="63" t="s">
        <v>5096</v>
      </c>
      <c r="T523" s="7">
        <v>5.0999999999999997E-2</v>
      </c>
      <c r="U523" s="5">
        <v>15000</v>
      </c>
      <c r="V523" s="7">
        <f t="shared" si="87"/>
        <v>3.3999999999999997E-4</v>
      </c>
      <c r="W523" s="5">
        <v>0.5</v>
      </c>
      <c r="X523" s="5" t="s">
        <v>3074</v>
      </c>
      <c r="Y523" s="7" t="s">
        <v>56</v>
      </c>
      <c r="Z523" s="48" t="str">
        <f t="shared" si="88"/>
        <v>APROVADO</v>
      </c>
      <c r="AA523" s="47">
        <v>11599634</v>
      </c>
      <c r="AB523" s="5" t="s">
        <v>2616</v>
      </c>
      <c r="AC523" s="5" t="s">
        <v>48</v>
      </c>
      <c r="AD523" s="5" t="s">
        <v>5530</v>
      </c>
      <c r="AE523" s="5" t="str">
        <f t="shared" ca="1" si="92"/>
        <v>NO PRAZO</v>
      </c>
      <c r="AF523" s="49"/>
    </row>
    <row r="524" spans="1:32" ht="30" customHeight="1" x14ac:dyDescent="0.25">
      <c r="A524" s="9" t="s">
        <v>400</v>
      </c>
      <c r="B524" s="5" t="s">
        <v>10</v>
      </c>
      <c r="C524" s="5" t="s">
        <v>5862</v>
      </c>
      <c r="D524" s="61" t="s">
        <v>5699</v>
      </c>
      <c r="E524" s="7" t="s">
        <v>40</v>
      </c>
      <c r="F524" s="7" t="s">
        <v>354</v>
      </c>
      <c r="G524" s="61" t="s">
        <v>355</v>
      </c>
      <c r="H524" s="61" t="s">
        <v>376</v>
      </c>
      <c r="I524" s="9" t="s">
        <v>391</v>
      </c>
      <c r="J524" s="62" t="s">
        <v>392</v>
      </c>
      <c r="K524" s="5" t="s">
        <v>45</v>
      </c>
      <c r="L524" s="5" t="s">
        <v>10</v>
      </c>
      <c r="M524" s="5" t="s">
        <v>10</v>
      </c>
      <c r="N524" s="5" t="s">
        <v>10</v>
      </c>
      <c r="O524" s="46" t="s">
        <v>46</v>
      </c>
      <c r="P524" s="99">
        <v>46102</v>
      </c>
      <c r="Q524" s="100">
        <f>IF(P524="","",P524+184)</f>
        <v>46286</v>
      </c>
      <c r="R524" s="63" t="s">
        <v>3452</v>
      </c>
      <c r="S524" s="63" t="s">
        <v>5097</v>
      </c>
      <c r="T524" s="7">
        <v>6.3E-2</v>
      </c>
      <c r="U524" s="5">
        <v>15000</v>
      </c>
      <c r="V524" s="7">
        <f t="shared" si="87"/>
        <v>4.1999999999999996E-4</v>
      </c>
      <c r="W524" s="5">
        <v>0.5</v>
      </c>
      <c r="X524" s="5" t="s">
        <v>3074</v>
      </c>
      <c r="Y524" s="7" t="s">
        <v>56</v>
      </c>
      <c r="Z524" s="48" t="str">
        <f t="shared" si="88"/>
        <v>APROVADO</v>
      </c>
      <c r="AA524" s="47">
        <v>11599635</v>
      </c>
      <c r="AB524" s="5" t="s">
        <v>2618</v>
      </c>
      <c r="AC524" s="5" t="s">
        <v>48</v>
      </c>
      <c r="AD524" s="5" t="s">
        <v>5530</v>
      </c>
      <c r="AE524" s="5" t="str">
        <f t="shared" ca="1" si="92"/>
        <v>NO PRAZO</v>
      </c>
      <c r="AF524" s="49"/>
    </row>
    <row r="525" spans="1:32" ht="30" customHeight="1" x14ac:dyDescent="0.25">
      <c r="A525" s="6" t="s">
        <v>4593</v>
      </c>
      <c r="B525" s="6" t="s">
        <v>455</v>
      </c>
      <c r="C525" s="5" t="s">
        <v>5862</v>
      </c>
      <c r="D525" s="7" t="s">
        <v>39</v>
      </c>
      <c r="E525" s="7" t="s">
        <v>40</v>
      </c>
      <c r="F525" s="7" t="s">
        <v>41</v>
      </c>
      <c r="G525" s="7" t="s">
        <v>198</v>
      </c>
      <c r="H525" s="7" t="s">
        <v>39</v>
      </c>
      <c r="I525" s="7" t="s">
        <v>456</v>
      </c>
      <c r="J525" s="7" t="s">
        <v>58</v>
      </c>
      <c r="K525" s="5" t="s">
        <v>45</v>
      </c>
      <c r="L525" s="5" t="s">
        <v>10</v>
      </c>
      <c r="M525" s="5" t="s">
        <v>10</v>
      </c>
      <c r="N525" s="5" t="s">
        <v>10</v>
      </c>
      <c r="O525" s="46" t="s">
        <v>46</v>
      </c>
      <c r="P525" s="107">
        <v>46063</v>
      </c>
      <c r="Q525" s="100">
        <f>IF(P525="","",P525+181)</f>
        <v>46244</v>
      </c>
      <c r="R525" s="7" t="s">
        <v>3079</v>
      </c>
      <c r="S525" s="7" t="s">
        <v>4781</v>
      </c>
      <c r="T525" s="7">
        <v>38</v>
      </c>
      <c r="U525" s="7">
        <v>9000</v>
      </c>
      <c r="V525" s="7">
        <f t="shared" si="87"/>
        <v>0.42222222222222222</v>
      </c>
      <c r="W525" s="5">
        <v>0.5</v>
      </c>
      <c r="X525" s="5" t="s">
        <v>73</v>
      </c>
      <c r="Y525" s="7" t="s">
        <v>56</v>
      </c>
      <c r="Z525" s="48" t="str">
        <f t="shared" si="88"/>
        <v>APROVADO</v>
      </c>
      <c r="AA525" s="47">
        <v>11600107</v>
      </c>
      <c r="AB525" s="5" t="s">
        <v>2501</v>
      </c>
      <c r="AC525" s="5" t="s">
        <v>48</v>
      </c>
      <c r="AD525" s="5" t="s">
        <v>5530</v>
      </c>
      <c r="AE525" s="5" t="str">
        <f t="shared" ca="1" si="92"/>
        <v>CALIBRAR</v>
      </c>
      <c r="AF525" s="49"/>
    </row>
    <row r="526" spans="1:32" ht="30" customHeight="1" x14ac:dyDescent="0.25">
      <c r="A526" s="5" t="s">
        <v>2348</v>
      </c>
      <c r="B526" s="5" t="s">
        <v>10</v>
      </c>
      <c r="C526" s="5" t="s">
        <v>5862</v>
      </c>
      <c r="D526" s="7" t="s">
        <v>3631</v>
      </c>
      <c r="E526" s="7" t="s">
        <v>50</v>
      </c>
      <c r="F526" s="7" t="s">
        <v>221</v>
      </c>
      <c r="G526" s="5" t="s">
        <v>236</v>
      </c>
      <c r="H526" s="7" t="s">
        <v>52</v>
      </c>
      <c r="I526" s="7" t="s">
        <v>2349</v>
      </c>
      <c r="J526" s="7" t="s">
        <v>2414</v>
      </c>
      <c r="K526" s="5" t="s">
        <v>45</v>
      </c>
      <c r="L526" s="5" t="s">
        <v>10</v>
      </c>
      <c r="M526" s="5" t="s">
        <v>10</v>
      </c>
      <c r="N526" s="5" t="s">
        <v>10</v>
      </c>
      <c r="O526" s="46" t="s">
        <v>46</v>
      </c>
      <c r="P526" s="101">
        <v>46236</v>
      </c>
      <c r="Q526" s="100">
        <f>IF(P526="","",P526+184)</f>
        <v>46420</v>
      </c>
      <c r="R526" s="7" t="s">
        <v>4718</v>
      </c>
      <c r="S526" s="7" t="s">
        <v>6010</v>
      </c>
      <c r="T526" s="5"/>
      <c r="U526" s="5"/>
      <c r="V526" s="7">
        <f t="shared" si="87"/>
        <v>0</v>
      </c>
      <c r="W526" s="7">
        <v>0.5</v>
      </c>
      <c r="X526" s="7" t="s">
        <v>55</v>
      </c>
      <c r="Y526" s="7" t="s">
        <v>56</v>
      </c>
      <c r="Z526" s="48" t="str">
        <f t="shared" si="88"/>
        <v>AGUARDANDO CERTIFICADO</v>
      </c>
      <c r="AA526" s="47">
        <v>11606036</v>
      </c>
      <c r="AB526" s="5" t="s">
        <v>3979</v>
      </c>
      <c r="AC526" s="5" t="s">
        <v>48</v>
      </c>
      <c r="AD526" s="5" t="s">
        <v>5632</v>
      </c>
      <c r="AE526" s="5" t="str">
        <f t="shared" ca="1" si="92"/>
        <v>NO PRAZO</v>
      </c>
      <c r="AF526" s="52" t="s">
        <v>5967</v>
      </c>
    </row>
    <row r="527" spans="1:32" ht="30" customHeight="1" x14ac:dyDescent="0.25">
      <c r="A527" s="6" t="s">
        <v>2350</v>
      </c>
      <c r="B527" s="5" t="s">
        <v>10</v>
      </c>
      <c r="C527" s="5" t="s">
        <v>5862</v>
      </c>
      <c r="D527" s="7" t="s">
        <v>3631</v>
      </c>
      <c r="E527" s="7" t="s">
        <v>50</v>
      </c>
      <c r="F527" s="7" t="s">
        <v>221</v>
      </c>
      <c r="G527" s="5" t="s">
        <v>265</v>
      </c>
      <c r="H527" s="7" t="s">
        <v>52</v>
      </c>
      <c r="I527" s="54" t="s">
        <v>2349</v>
      </c>
      <c r="J527" s="7" t="s">
        <v>2414</v>
      </c>
      <c r="K527" s="5" t="s">
        <v>45</v>
      </c>
      <c r="L527" s="5" t="s">
        <v>10</v>
      </c>
      <c r="M527" s="5" t="s">
        <v>10</v>
      </c>
      <c r="N527" s="5" t="s">
        <v>10</v>
      </c>
      <c r="O527" s="46" t="s">
        <v>46</v>
      </c>
      <c r="P527" s="101">
        <v>46236</v>
      </c>
      <c r="Q527" s="100">
        <f>IF(Q521="","",P527+184)</f>
        <v>46420</v>
      </c>
      <c r="R527" s="5" t="s">
        <v>4774</v>
      </c>
      <c r="S527" s="5" t="s">
        <v>6009</v>
      </c>
      <c r="T527" s="5"/>
      <c r="U527" s="5" t="s">
        <v>10</v>
      </c>
      <c r="V527" s="7">
        <f t="shared" si="87"/>
        <v>0</v>
      </c>
      <c r="W527" s="7">
        <v>0.5</v>
      </c>
      <c r="X527" s="7" t="s">
        <v>55</v>
      </c>
      <c r="Y527" s="7" t="s">
        <v>56</v>
      </c>
      <c r="Z527" s="48" t="str">
        <f t="shared" si="88"/>
        <v>AGUARDANDO CERTIFICADO</v>
      </c>
      <c r="AA527" s="47">
        <v>11606625</v>
      </c>
      <c r="AB527" s="5" t="s">
        <v>4065</v>
      </c>
      <c r="AC527" s="5" t="s">
        <v>48</v>
      </c>
      <c r="AD527" s="5" t="s">
        <v>5632</v>
      </c>
      <c r="AE527" s="5" t="str">
        <f t="shared" ca="1" si="92"/>
        <v>NO PRAZO</v>
      </c>
      <c r="AF527" s="52" t="s">
        <v>5967</v>
      </c>
    </row>
    <row r="528" spans="1:32" ht="30" customHeight="1" x14ac:dyDescent="0.25">
      <c r="A528" s="6" t="s">
        <v>3476</v>
      </c>
      <c r="B528" s="7" t="s">
        <v>10</v>
      </c>
      <c r="C528" s="5" t="s">
        <v>5862</v>
      </c>
      <c r="D528" s="7" t="s">
        <v>3631</v>
      </c>
      <c r="E528" s="7" t="s">
        <v>50</v>
      </c>
      <c r="F528" s="7" t="s">
        <v>3583</v>
      </c>
      <c r="G528" s="5" t="s">
        <v>216</v>
      </c>
      <c r="H528" s="7" t="s">
        <v>52</v>
      </c>
      <c r="I528" s="7" t="s">
        <v>2349</v>
      </c>
      <c r="J528" s="7" t="s">
        <v>3630</v>
      </c>
      <c r="K528" s="5" t="s">
        <v>45</v>
      </c>
      <c r="L528" s="5" t="s">
        <v>10</v>
      </c>
      <c r="M528" s="5" t="s">
        <v>10</v>
      </c>
      <c r="N528" s="5" t="s">
        <v>10</v>
      </c>
      <c r="O528" s="46" t="s">
        <v>46</v>
      </c>
      <c r="P528" s="101">
        <v>46068</v>
      </c>
      <c r="Q528" s="100">
        <f>IF(P528="","",P528+181)</f>
        <v>46249</v>
      </c>
      <c r="R528" s="5" t="s">
        <v>3477</v>
      </c>
      <c r="S528" s="5" t="s">
        <v>4828</v>
      </c>
      <c r="T528" s="5">
        <v>0.43</v>
      </c>
      <c r="U528" s="5"/>
      <c r="V528" s="7">
        <f t="shared" si="87"/>
        <v>0.43</v>
      </c>
      <c r="W528" s="7">
        <v>0.5</v>
      </c>
      <c r="X528" s="7" t="s">
        <v>55</v>
      </c>
      <c r="Y528" s="7" t="s">
        <v>56</v>
      </c>
      <c r="Z528" s="48" t="str">
        <f t="shared" si="88"/>
        <v>APROVADO</v>
      </c>
      <c r="AA528" s="47">
        <v>11606626</v>
      </c>
      <c r="AB528" s="5" t="s">
        <v>4066</v>
      </c>
      <c r="AC528" s="5" t="s">
        <v>48</v>
      </c>
      <c r="AD528" s="5" t="s">
        <v>5530</v>
      </c>
      <c r="AE528" s="5" t="str">
        <f t="shared" ca="1" si="92"/>
        <v>CALIBRAR</v>
      </c>
      <c r="AF528" s="51"/>
    </row>
    <row r="529" spans="1:32" ht="30" customHeight="1" x14ac:dyDescent="0.25">
      <c r="A529" s="6" t="s">
        <v>3474</v>
      </c>
      <c r="B529" s="7" t="s">
        <v>10</v>
      </c>
      <c r="C529" s="5" t="s">
        <v>5862</v>
      </c>
      <c r="D529" s="7" t="s">
        <v>3631</v>
      </c>
      <c r="E529" s="7" t="s">
        <v>50</v>
      </c>
      <c r="F529" s="7" t="s">
        <v>230</v>
      </c>
      <c r="G529" s="5" t="s">
        <v>51</v>
      </c>
      <c r="H529" s="7" t="s">
        <v>52</v>
      </c>
      <c r="I529" s="7" t="s">
        <v>2349</v>
      </c>
      <c r="J529" s="7" t="s">
        <v>2414</v>
      </c>
      <c r="K529" s="5" t="s">
        <v>45</v>
      </c>
      <c r="L529" s="5" t="s">
        <v>10</v>
      </c>
      <c r="M529" s="5" t="s">
        <v>10</v>
      </c>
      <c r="N529" s="5" t="s">
        <v>10</v>
      </c>
      <c r="O529" s="46" t="s">
        <v>46</v>
      </c>
      <c r="P529" s="101">
        <v>46068</v>
      </c>
      <c r="Q529" s="100">
        <f>IF(P529="","",P529+181)</f>
        <v>46249</v>
      </c>
      <c r="R529" s="5" t="s">
        <v>3475</v>
      </c>
      <c r="S529" s="5" t="s">
        <v>4829</v>
      </c>
      <c r="T529" s="5">
        <v>0.45</v>
      </c>
      <c r="U529" s="5"/>
      <c r="V529" s="7">
        <f t="shared" si="87"/>
        <v>0.45</v>
      </c>
      <c r="W529" s="7">
        <v>0.5</v>
      </c>
      <c r="X529" s="7" t="s">
        <v>55</v>
      </c>
      <c r="Y529" s="7" t="s">
        <v>56</v>
      </c>
      <c r="Z529" s="48" t="str">
        <f t="shared" si="88"/>
        <v>APROVADO</v>
      </c>
      <c r="AA529" s="47">
        <v>11606627</v>
      </c>
      <c r="AB529" s="5" t="s">
        <v>4067</v>
      </c>
      <c r="AC529" s="5" t="s">
        <v>48</v>
      </c>
      <c r="AD529" s="5" t="s">
        <v>5530</v>
      </c>
      <c r="AE529" s="5" t="str">
        <f t="shared" ca="1" si="92"/>
        <v>CALIBRAR</v>
      </c>
      <c r="AF529" s="51"/>
    </row>
    <row r="530" spans="1:32" ht="30" customHeight="1" x14ac:dyDescent="0.25">
      <c r="A530" s="6" t="s">
        <v>2351</v>
      </c>
      <c r="B530" s="54" t="s">
        <v>10</v>
      </c>
      <c r="C530" s="5" t="s">
        <v>5862</v>
      </c>
      <c r="D530" s="7" t="s">
        <v>3631</v>
      </c>
      <c r="E530" s="7" t="s">
        <v>50</v>
      </c>
      <c r="F530" s="7" t="s">
        <v>221</v>
      </c>
      <c r="G530" s="5" t="s">
        <v>290</v>
      </c>
      <c r="H530" s="7" t="s">
        <v>52</v>
      </c>
      <c r="I530" s="7" t="s">
        <v>2349</v>
      </c>
      <c r="J530" s="7" t="s">
        <v>2414</v>
      </c>
      <c r="K530" s="5" t="s">
        <v>45</v>
      </c>
      <c r="L530" s="5" t="s">
        <v>10</v>
      </c>
      <c r="M530" s="5" t="s">
        <v>10</v>
      </c>
      <c r="N530" s="5" t="s">
        <v>10</v>
      </c>
      <c r="O530" s="46" t="s">
        <v>46</v>
      </c>
      <c r="P530" s="101">
        <v>46236</v>
      </c>
      <c r="Q530" s="100">
        <f>IF(P530="","",P530+184)</f>
        <v>46420</v>
      </c>
      <c r="R530" s="5" t="s">
        <v>4719</v>
      </c>
      <c r="S530" s="5" t="s">
        <v>6008</v>
      </c>
      <c r="T530" s="5"/>
      <c r="U530" s="5" t="s">
        <v>10</v>
      </c>
      <c r="V530" s="7">
        <f t="shared" si="87"/>
        <v>0</v>
      </c>
      <c r="W530" s="7">
        <v>0.5</v>
      </c>
      <c r="X530" s="7" t="s">
        <v>55</v>
      </c>
      <c r="Y530" s="7" t="s">
        <v>56</v>
      </c>
      <c r="Z530" s="48" t="str">
        <f t="shared" si="88"/>
        <v>AGUARDANDO CERTIFICADO</v>
      </c>
      <c r="AA530" s="47">
        <v>11606038</v>
      </c>
      <c r="AB530" s="5" t="s">
        <v>3980</v>
      </c>
      <c r="AC530" s="5" t="s">
        <v>48</v>
      </c>
      <c r="AD530" s="5" t="s">
        <v>5632</v>
      </c>
      <c r="AE530" s="5" t="str">
        <f t="shared" ca="1" si="92"/>
        <v>NO PRAZO</v>
      </c>
      <c r="AF530" s="52" t="s">
        <v>5967</v>
      </c>
    </row>
    <row r="531" spans="1:32" ht="30" customHeight="1" x14ac:dyDescent="0.25">
      <c r="A531" s="6" t="s">
        <v>2352</v>
      </c>
      <c r="B531" s="7" t="s">
        <v>10</v>
      </c>
      <c r="C531" s="5" t="s">
        <v>5862</v>
      </c>
      <c r="D531" s="7" t="s">
        <v>3631</v>
      </c>
      <c r="E531" s="7" t="s">
        <v>50</v>
      </c>
      <c r="F531" s="7" t="s">
        <v>221</v>
      </c>
      <c r="G531" s="5" t="s">
        <v>2418</v>
      </c>
      <c r="H531" s="7" t="s">
        <v>52</v>
      </c>
      <c r="I531" s="7" t="s">
        <v>2349</v>
      </c>
      <c r="J531" s="7" t="s">
        <v>2414</v>
      </c>
      <c r="K531" s="5" t="s">
        <v>45</v>
      </c>
      <c r="L531" s="5" t="s">
        <v>10</v>
      </c>
      <c r="M531" s="5" t="s">
        <v>10</v>
      </c>
      <c r="N531" s="5" t="s">
        <v>10</v>
      </c>
      <c r="O531" s="46" t="s">
        <v>46</v>
      </c>
      <c r="P531" s="101">
        <v>46236</v>
      </c>
      <c r="Q531" s="100">
        <f>IF(P531="","",P531+184)</f>
        <v>46420</v>
      </c>
      <c r="R531" s="5" t="s">
        <v>4927</v>
      </c>
      <c r="S531" s="5" t="s">
        <v>6011</v>
      </c>
      <c r="T531" s="5"/>
      <c r="U531" s="5" t="s">
        <v>10</v>
      </c>
      <c r="V531" s="7">
        <f t="shared" si="87"/>
        <v>0</v>
      </c>
      <c r="W531" s="7">
        <v>0.5</v>
      </c>
      <c r="X531" s="7" t="s">
        <v>55</v>
      </c>
      <c r="Y531" s="7" t="s">
        <v>56</v>
      </c>
      <c r="Z531" s="48" t="str">
        <f t="shared" si="88"/>
        <v>AGUARDANDO CERTIFICADO</v>
      </c>
      <c r="AA531" s="47">
        <v>11606039</v>
      </c>
      <c r="AB531" s="5" t="s">
        <v>3981</v>
      </c>
      <c r="AC531" s="5" t="s">
        <v>48</v>
      </c>
      <c r="AD531" s="5" t="s">
        <v>5632</v>
      </c>
      <c r="AE531" s="5" t="str">
        <f t="shared" ca="1" si="92"/>
        <v>NO PRAZO</v>
      </c>
      <c r="AF531" s="52" t="s">
        <v>5967</v>
      </c>
    </row>
    <row r="532" spans="1:32" ht="30" customHeight="1" x14ac:dyDescent="0.25">
      <c r="A532" s="6" t="s">
        <v>3156</v>
      </c>
      <c r="B532" s="7" t="s">
        <v>10</v>
      </c>
      <c r="C532" s="5" t="s">
        <v>5862</v>
      </c>
      <c r="D532" s="7" t="s">
        <v>3631</v>
      </c>
      <c r="E532" s="7" t="s">
        <v>50</v>
      </c>
      <c r="F532" s="7" t="s">
        <v>221</v>
      </c>
      <c r="G532" s="5" t="s">
        <v>307</v>
      </c>
      <c r="H532" s="7" t="s">
        <v>52</v>
      </c>
      <c r="I532" s="5" t="s">
        <v>1881</v>
      </c>
      <c r="J532" s="5" t="s">
        <v>224</v>
      </c>
      <c r="K532" s="5" t="s">
        <v>45</v>
      </c>
      <c r="L532" s="5" t="s">
        <v>10</v>
      </c>
      <c r="M532" s="5" t="s">
        <v>10</v>
      </c>
      <c r="N532" s="5" t="s">
        <v>10</v>
      </c>
      <c r="O532" s="46" t="s">
        <v>46</v>
      </c>
      <c r="P532" s="101">
        <v>46236</v>
      </c>
      <c r="Q532" s="100">
        <f>IF(P532="","",P532+184)</f>
        <v>46420</v>
      </c>
      <c r="R532" s="5" t="s">
        <v>4775</v>
      </c>
      <c r="S532" s="5" t="s">
        <v>6012</v>
      </c>
      <c r="T532" s="5"/>
      <c r="U532" s="5" t="s">
        <v>10</v>
      </c>
      <c r="V532" s="7">
        <f t="shared" si="87"/>
        <v>0</v>
      </c>
      <c r="W532" s="7">
        <v>0.5</v>
      </c>
      <c r="X532" s="7" t="s">
        <v>55</v>
      </c>
      <c r="Y532" s="7" t="s">
        <v>56</v>
      </c>
      <c r="Z532" s="48" t="str">
        <f t="shared" si="88"/>
        <v>AGUARDANDO CERTIFICADO</v>
      </c>
      <c r="AA532" s="47">
        <v>11606628</v>
      </c>
      <c r="AB532" s="5" t="s">
        <v>4068</v>
      </c>
      <c r="AC532" s="5" t="s">
        <v>48</v>
      </c>
      <c r="AD532" s="5" t="s">
        <v>5632</v>
      </c>
      <c r="AE532" s="5" t="str">
        <f t="shared" ca="1" si="92"/>
        <v>NO PRAZO</v>
      </c>
      <c r="AF532" s="52" t="s">
        <v>5967</v>
      </c>
    </row>
    <row r="533" spans="1:32" ht="30" customHeight="1" x14ac:dyDescent="0.25">
      <c r="A533" s="5" t="s">
        <v>3542</v>
      </c>
      <c r="B533" s="5" t="s">
        <v>2353</v>
      </c>
      <c r="C533" s="5" t="s">
        <v>5862</v>
      </c>
      <c r="D533" s="7" t="s">
        <v>3631</v>
      </c>
      <c r="E533" s="7" t="s">
        <v>50</v>
      </c>
      <c r="F533" s="7" t="s">
        <v>221</v>
      </c>
      <c r="G533" s="5" t="s">
        <v>298</v>
      </c>
      <c r="H533" s="7" t="s">
        <v>52</v>
      </c>
      <c r="I533" s="7" t="s">
        <v>2349</v>
      </c>
      <c r="J533" s="7" t="s">
        <v>3630</v>
      </c>
      <c r="K533" s="5" t="s">
        <v>45</v>
      </c>
      <c r="L533" s="5" t="s">
        <v>10</v>
      </c>
      <c r="M533" s="5" t="s">
        <v>10</v>
      </c>
      <c r="N533" s="5" t="s">
        <v>10</v>
      </c>
      <c r="O533" s="46" t="s">
        <v>46</v>
      </c>
      <c r="P533" s="101">
        <v>45945</v>
      </c>
      <c r="Q533" s="100">
        <f>IF(P533="","",P533+182)</f>
        <v>46127</v>
      </c>
      <c r="R533" s="7" t="s">
        <v>2354</v>
      </c>
      <c r="S533" s="7" t="s">
        <v>3543</v>
      </c>
      <c r="T533" s="5">
        <v>0.43</v>
      </c>
      <c r="U533" s="5"/>
      <c r="V533" s="7">
        <f t="shared" si="87"/>
        <v>0.43</v>
      </c>
      <c r="W533" s="7">
        <v>0.5</v>
      </c>
      <c r="X533" s="7" t="s">
        <v>55</v>
      </c>
      <c r="Y533" s="7" t="s">
        <v>56</v>
      </c>
      <c r="Z533" s="48" t="str">
        <f t="shared" si="88"/>
        <v>APROVADO</v>
      </c>
      <c r="AA533" s="47">
        <v>11606629</v>
      </c>
      <c r="AB533" s="5" t="s">
        <v>4069</v>
      </c>
      <c r="AC533" s="5" t="s">
        <v>48</v>
      </c>
      <c r="AD533" s="5" t="s">
        <v>5530</v>
      </c>
      <c r="AE533" s="5" t="s">
        <v>3062</v>
      </c>
      <c r="AF533" s="53" t="s">
        <v>3730</v>
      </c>
    </row>
    <row r="534" spans="1:32" ht="30" customHeight="1" x14ac:dyDescent="0.25">
      <c r="A534" s="5" t="s">
        <v>3632</v>
      </c>
      <c r="B534" s="5" t="s">
        <v>10</v>
      </c>
      <c r="C534" s="5" t="s">
        <v>5862</v>
      </c>
      <c r="D534" s="7" t="s">
        <v>3631</v>
      </c>
      <c r="E534" s="7" t="s">
        <v>50</v>
      </c>
      <c r="F534" s="7" t="s">
        <v>221</v>
      </c>
      <c r="G534" s="5" t="s">
        <v>267</v>
      </c>
      <c r="H534" s="7" t="s">
        <v>52</v>
      </c>
      <c r="I534" s="5" t="s">
        <v>1881</v>
      </c>
      <c r="J534" s="5" t="s">
        <v>224</v>
      </c>
      <c r="K534" s="5" t="s">
        <v>45</v>
      </c>
      <c r="L534" s="5" t="s">
        <v>10</v>
      </c>
      <c r="M534" s="5" t="s">
        <v>10</v>
      </c>
      <c r="N534" s="5" t="s">
        <v>10</v>
      </c>
      <c r="O534" s="46" t="s">
        <v>46</v>
      </c>
      <c r="P534" s="100">
        <v>46236</v>
      </c>
      <c r="Q534" s="100">
        <f>IF(P534="","",P534+184)</f>
        <v>46420</v>
      </c>
      <c r="R534" s="7" t="s">
        <v>4680</v>
      </c>
      <c r="S534" s="7" t="s">
        <v>6013</v>
      </c>
      <c r="T534" s="5"/>
      <c r="U534" s="5" t="s">
        <v>10</v>
      </c>
      <c r="V534" s="7">
        <f t="shared" si="87"/>
        <v>0</v>
      </c>
      <c r="W534" s="7">
        <v>0.5</v>
      </c>
      <c r="X534" s="7" t="s">
        <v>55</v>
      </c>
      <c r="Y534" s="7" t="s">
        <v>56</v>
      </c>
      <c r="Z534" s="48" t="str">
        <f t="shared" si="88"/>
        <v>AGUARDANDO CERTIFICADO</v>
      </c>
      <c r="AA534" s="47">
        <v>11606630</v>
      </c>
      <c r="AB534" s="5" t="s">
        <v>4070</v>
      </c>
      <c r="AC534" s="5" t="s">
        <v>48</v>
      </c>
      <c r="AD534" s="5" t="s">
        <v>5632</v>
      </c>
      <c r="AE534" s="5" t="str">
        <f t="shared" ref="AE534:AE546" ca="1" si="94">IFERROR(IF(OR(AND(YEAR(Q534)=YEAR(TODAY()),MONTH(Q534)&gt;MONTH(TODAY())),(YEAR(Q534)&gt;YEAR(TODAY()))),$AK$4,IF(AND(YEAR(Q534)=YEAR(TODAY()),MONTH(Q534)=MONTH(TODAY())),$AK$5,IF(Q534="",$AK$6,$AK$7))),"-")</f>
        <v>NO PRAZO</v>
      </c>
      <c r="AF534" s="52" t="s">
        <v>5967</v>
      </c>
    </row>
    <row r="535" spans="1:32" ht="30" customHeight="1" x14ac:dyDescent="0.25">
      <c r="A535" s="6" t="s">
        <v>3616</v>
      </c>
      <c r="B535" s="6" t="s">
        <v>10</v>
      </c>
      <c r="C535" s="5" t="s">
        <v>5862</v>
      </c>
      <c r="D535" s="7" t="s">
        <v>3617</v>
      </c>
      <c r="E535" s="7" t="s">
        <v>50</v>
      </c>
      <c r="F535" s="7" t="s">
        <v>221</v>
      </c>
      <c r="G535" s="5" t="s">
        <v>286</v>
      </c>
      <c r="H535" s="7" t="s">
        <v>52</v>
      </c>
      <c r="I535" s="5" t="s">
        <v>1881</v>
      </c>
      <c r="J535" s="5" t="s">
        <v>224</v>
      </c>
      <c r="K535" s="5" t="s">
        <v>45</v>
      </c>
      <c r="L535" s="5" t="s">
        <v>10</v>
      </c>
      <c r="M535" s="5" t="s">
        <v>10</v>
      </c>
      <c r="N535" s="5" t="s">
        <v>10</v>
      </c>
      <c r="O535" s="46" t="s">
        <v>46</v>
      </c>
      <c r="P535" s="101">
        <v>46236</v>
      </c>
      <c r="Q535" s="100">
        <f>IF(P535="","",P535+184)</f>
        <v>46420</v>
      </c>
      <c r="R535" s="5" t="s">
        <v>4776</v>
      </c>
      <c r="S535" s="5" t="s">
        <v>6014</v>
      </c>
      <c r="T535" s="5"/>
      <c r="U535" s="5" t="s">
        <v>10</v>
      </c>
      <c r="V535" s="7">
        <f t="shared" si="87"/>
        <v>0</v>
      </c>
      <c r="W535" s="7">
        <v>0.5</v>
      </c>
      <c r="X535" s="7" t="s">
        <v>55</v>
      </c>
      <c r="Y535" s="7" t="s">
        <v>56</v>
      </c>
      <c r="Z535" s="48" t="str">
        <f t="shared" si="88"/>
        <v>AGUARDANDO CERTIFICADO</v>
      </c>
      <c r="AA535" s="47">
        <v>11606631</v>
      </c>
      <c r="AB535" s="5" t="s">
        <v>4071</v>
      </c>
      <c r="AC535" s="5" t="s">
        <v>48</v>
      </c>
      <c r="AD535" s="5" t="s">
        <v>5632</v>
      </c>
      <c r="AE535" s="5" t="str">
        <f t="shared" ca="1" si="94"/>
        <v>NO PRAZO</v>
      </c>
      <c r="AF535" s="52" t="s">
        <v>5967</v>
      </c>
    </row>
    <row r="536" spans="1:32" ht="30" customHeight="1" x14ac:dyDescent="0.25">
      <c r="A536" s="6" t="s">
        <v>1810</v>
      </c>
      <c r="B536" s="5" t="s">
        <v>10</v>
      </c>
      <c r="C536" s="5" t="s">
        <v>5862</v>
      </c>
      <c r="D536" s="7" t="s">
        <v>634</v>
      </c>
      <c r="E536" s="7" t="s">
        <v>256</v>
      </c>
      <c r="F536" s="7" t="s">
        <v>317</v>
      </c>
      <c r="G536" s="7" t="s">
        <v>631</v>
      </c>
      <c r="H536" s="7" t="s">
        <v>631</v>
      </c>
      <c r="I536" s="62" t="s">
        <v>632</v>
      </c>
      <c r="J536" s="62" t="s">
        <v>635</v>
      </c>
      <c r="K536" s="5" t="s">
        <v>45</v>
      </c>
      <c r="L536" s="5" t="s">
        <v>10</v>
      </c>
      <c r="M536" s="5" t="s">
        <v>10</v>
      </c>
      <c r="N536" s="5" t="s">
        <v>10</v>
      </c>
      <c r="O536" s="46" t="s">
        <v>46</v>
      </c>
      <c r="P536" s="101">
        <v>46049</v>
      </c>
      <c r="Q536" s="100">
        <f t="shared" ref="Q536:Q540" si="95">IF(P536="","",P536+181)</f>
        <v>46230</v>
      </c>
      <c r="R536" s="5" t="s">
        <v>3051</v>
      </c>
      <c r="S536" s="5" t="s">
        <v>4659</v>
      </c>
      <c r="T536" s="7">
        <v>0.46</v>
      </c>
      <c r="U536" s="5"/>
      <c r="V536" s="7">
        <f t="shared" si="87"/>
        <v>0.46</v>
      </c>
      <c r="W536" s="5">
        <v>0.5</v>
      </c>
      <c r="X536" s="5" t="s">
        <v>55</v>
      </c>
      <c r="Y536" s="7" t="s">
        <v>56</v>
      </c>
      <c r="Z536" s="48" t="str">
        <f t="shared" si="88"/>
        <v>APROVADO</v>
      </c>
      <c r="AA536" s="47">
        <v>11604337</v>
      </c>
      <c r="AB536" s="5" t="s">
        <v>2897</v>
      </c>
      <c r="AC536" s="5" t="s">
        <v>48</v>
      </c>
      <c r="AD536" s="5" t="s">
        <v>5530</v>
      </c>
      <c r="AE536" s="5" t="s">
        <v>5906</v>
      </c>
      <c r="AF536" s="51"/>
    </row>
    <row r="537" spans="1:32" ht="30" customHeight="1" x14ac:dyDescent="0.25">
      <c r="A537" s="5" t="s">
        <v>1811</v>
      </c>
      <c r="B537" s="5" t="s">
        <v>10</v>
      </c>
      <c r="C537" s="5" t="s">
        <v>5862</v>
      </c>
      <c r="D537" s="7" t="s">
        <v>634</v>
      </c>
      <c r="E537" s="7" t="s">
        <v>256</v>
      </c>
      <c r="F537" s="7" t="s">
        <v>317</v>
      </c>
      <c r="G537" s="7" t="s">
        <v>10</v>
      </c>
      <c r="H537" s="7" t="s">
        <v>10</v>
      </c>
      <c r="I537" s="62" t="s">
        <v>632</v>
      </c>
      <c r="J537" s="62" t="s">
        <v>635</v>
      </c>
      <c r="K537" s="5" t="s">
        <v>45</v>
      </c>
      <c r="L537" s="5" t="s">
        <v>10</v>
      </c>
      <c r="M537" s="5" t="s">
        <v>10</v>
      </c>
      <c r="N537" s="5" t="s">
        <v>10</v>
      </c>
      <c r="O537" s="46" t="s">
        <v>46</v>
      </c>
      <c r="P537" s="101">
        <v>46050</v>
      </c>
      <c r="Q537" s="100">
        <f t="shared" si="95"/>
        <v>46231</v>
      </c>
      <c r="R537" s="5" t="s">
        <v>3039</v>
      </c>
      <c r="S537" s="5" t="s">
        <v>4660</v>
      </c>
      <c r="T537" s="7">
        <v>0.32</v>
      </c>
      <c r="U537" s="5"/>
      <c r="V537" s="7">
        <f t="shared" si="87"/>
        <v>0.32</v>
      </c>
      <c r="W537" s="5">
        <v>0.5</v>
      </c>
      <c r="X537" s="5" t="s">
        <v>55</v>
      </c>
      <c r="Y537" s="7" t="s">
        <v>56</v>
      </c>
      <c r="Z537" s="48" t="str">
        <f t="shared" si="88"/>
        <v>APROVADO</v>
      </c>
      <c r="AA537" s="47">
        <v>11604344</v>
      </c>
      <c r="AB537" s="5" t="s">
        <v>2898</v>
      </c>
      <c r="AC537" s="5" t="s">
        <v>48</v>
      </c>
      <c r="AD537" s="5" t="s">
        <v>5530</v>
      </c>
      <c r="AE537" s="5" t="s">
        <v>5906</v>
      </c>
      <c r="AF537" s="51"/>
    </row>
    <row r="538" spans="1:32" ht="30" customHeight="1" x14ac:dyDescent="0.25">
      <c r="A538" s="5" t="s">
        <v>3054</v>
      </c>
      <c r="B538" s="114" t="s">
        <v>10</v>
      </c>
      <c r="C538" s="5" t="s">
        <v>5862</v>
      </c>
      <c r="D538" s="7" t="s">
        <v>634</v>
      </c>
      <c r="E538" s="115" t="s">
        <v>40</v>
      </c>
      <c r="F538" s="115" t="s">
        <v>156</v>
      </c>
      <c r="G538" s="115" t="s">
        <v>3055</v>
      </c>
      <c r="H538" s="115" t="s">
        <v>676</v>
      </c>
      <c r="I538" s="116" t="s">
        <v>2023</v>
      </c>
      <c r="J538" s="116" t="s">
        <v>2024</v>
      </c>
      <c r="K538" s="5" t="s">
        <v>45</v>
      </c>
      <c r="L538" s="5" t="s">
        <v>10</v>
      </c>
      <c r="M538" s="5" t="s">
        <v>10</v>
      </c>
      <c r="N538" s="5" t="s">
        <v>10</v>
      </c>
      <c r="O538" s="119" t="s">
        <v>46</v>
      </c>
      <c r="P538" s="120">
        <v>46211</v>
      </c>
      <c r="Q538" s="100">
        <f>IF(P538="","",P538+184)</f>
        <v>46395</v>
      </c>
      <c r="R538" s="121" t="s">
        <v>4658</v>
      </c>
      <c r="S538" s="121" t="s">
        <v>5905</v>
      </c>
      <c r="T538" s="7">
        <v>0.25</v>
      </c>
      <c r="U538" s="5" t="s">
        <v>10</v>
      </c>
      <c r="V538" s="7">
        <f t="shared" si="87"/>
        <v>0.25</v>
      </c>
      <c r="W538" s="5">
        <v>0.5</v>
      </c>
      <c r="X538" s="5" t="s">
        <v>55</v>
      </c>
      <c r="Y538" s="7" t="s">
        <v>56</v>
      </c>
      <c r="Z538" s="48" t="str">
        <f t="shared" si="88"/>
        <v>APROVADO</v>
      </c>
      <c r="AA538" s="47">
        <v>11600090</v>
      </c>
      <c r="AB538" s="5" t="s">
        <v>3280</v>
      </c>
      <c r="AC538" s="5" t="s">
        <v>48</v>
      </c>
      <c r="AD538" s="5" t="s">
        <v>5632</v>
      </c>
      <c r="AE538" s="5" t="str">
        <f t="shared" ca="1" si="94"/>
        <v>NO PRAZO</v>
      </c>
      <c r="AF538" s="51"/>
    </row>
    <row r="539" spans="1:32" ht="30" customHeight="1" x14ac:dyDescent="0.25">
      <c r="A539" s="5" t="s">
        <v>4649</v>
      </c>
      <c r="B539" s="5" t="s">
        <v>10</v>
      </c>
      <c r="C539" s="5" t="s">
        <v>5862</v>
      </c>
      <c r="D539" s="7" t="s">
        <v>1473</v>
      </c>
      <c r="E539" s="7" t="s">
        <v>256</v>
      </c>
      <c r="F539" s="34" t="s">
        <v>317</v>
      </c>
      <c r="G539" s="7" t="s">
        <v>631</v>
      </c>
      <c r="H539" s="7" t="s">
        <v>631</v>
      </c>
      <c r="I539" s="7" t="s">
        <v>2026</v>
      </c>
      <c r="J539" s="7" t="s">
        <v>2027</v>
      </c>
      <c r="K539" s="5" t="s">
        <v>45</v>
      </c>
      <c r="L539" s="5" t="s">
        <v>10</v>
      </c>
      <c r="M539" s="5" t="s">
        <v>10</v>
      </c>
      <c r="N539" s="5" t="s">
        <v>10</v>
      </c>
      <c r="O539" s="46" t="s">
        <v>46</v>
      </c>
      <c r="P539" s="101">
        <v>46028</v>
      </c>
      <c r="Q539" s="100">
        <f t="shared" si="95"/>
        <v>46209</v>
      </c>
      <c r="R539" s="5" t="s">
        <v>4650</v>
      </c>
      <c r="S539" s="5" t="s">
        <v>5034</v>
      </c>
      <c r="T539" s="7">
        <v>0.3</v>
      </c>
      <c r="U539" s="7"/>
      <c r="V539" s="7">
        <f t="shared" si="87"/>
        <v>0.3</v>
      </c>
      <c r="W539" s="5">
        <v>0.5</v>
      </c>
      <c r="X539" s="5" t="s">
        <v>55</v>
      </c>
      <c r="Y539" s="7" t="s">
        <v>56</v>
      </c>
      <c r="Z539" s="48" t="str">
        <f t="shared" si="88"/>
        <v>APROVADO</v>
      </c>
      <c r="AA539" s="47">
        <v>11597021</v>
      </c>
      <c r="AB539" s="5" t="s">
        <v>4651</v>
      </c>
      <c r="AC539" s="5" t="s">
        <v>48</v>
      </c>
      <c r="AD539" s="5" t="s">
        <v>5530</v>
      </c>
      <c r="AE539" s="5" t="s">
        <v>5906</v>
      </c>
      <c r="AF539" s="51"/>
    </row>
    <row r="540" spans="1:32" ht="30" customHeight="1" x14ac:dyDescent="0.25">
      <c r="A540" s="9" t="s">
        <v>4953</v>
      </c>
      <c r="B540" s="11">
        <v>1823813</v>
      </c>
      <c r="C540" s="5" t="s">
        <v>5862</v>
      </c>
      <c r="D540" s="7" t="s">
        <v>441</v>
      </c>
      <c r="E540" s="7" t="s">
        <v>256</v>
      </c>
      <c r="F540" s="7" t="s">
        <v>444</v>
      </c>
      <c r="G540" s="7" t="s">
        <v>441</v>
      </c>
      <c r="H540" s="61" t="s">
        <v>442</v>
      </c>
      <c r="I540" s="62" t="s">
        <v>3642</v>
      </c>
      <c r="J540" s="5" t="s">
        <v>3643</v>
      </c>
      <c r="K540" s="5" t="s">
        <v>45</v>
      </c>
      <c r="L540" s="5" t="s">
        <v>10</v>
      </c>
      <c r="M540" s="5" t="s">
        <v>10</v>
      </c>
      <c r="N540" s="5" t="s">
        <v>10</v>
      </c>
      <c r="O540" s="46" t="s">
        <v>46</v>
      </c>
      <c r="P540" s="99">
        <v>46079</v>
      </c>
      <c r="Q540" s="100">
        <f t="shared" si="95"/>
        <v>46260</v>
      </c>
      <c r="R540" s="63" t="s">
        <v>3077</v>
      </c>
      <c r="S540" s="63" t="s">
        <v>4954</v>
      </c>
      <c r="T540" s="7">
        <v>0.23</v>
      </c>
      <c r="U540" s="5" t="s">
        <v>10</v>
      </c>
      <c r="V540" s="7">
        <f t="shared" si="87"/>
        <v>0.23</v>
      </c>
      <c r="W540" s="5">
        <v>0.5</v>
      </c>
      <c r="X540" s="65" t="s">
        <v>443</v>
      </c>
      <c r="Y540" s="7" t="s">
        <v>56</v>
      </c>
      <c r="Z540" s="48" t="str">
        <f t="shared" si="88"/>
        <v>APROVADO</v>
      </c>
      <c r="AA540" s="47">
        <v>11599884</v>
      </c>
      <c r="AB540" s="5" t="s">
        <v>3007</v>
      </c>
      <c r="AC540" s="5" t="s">
        <v>48</v>
      </c>
      <c r="AD540" s="5" t="s">
        <v>5530</v>
      </c>
      <c r="AE540" s="5" t="str">
        <f t="shared" ca="1" si="94"/>
        <v>CALIBRAR</v>
      </c>
      <c r="AF540" s="51"/>
    </row>
    <row r="541" spans="1:32" ht="30" customHeight="1" x14ac:dyDescent="0.25">
      <c r="A541" s="9" t="s">
        <v>5047</v>
      </c>
      <c r="B541" s="11" t="s">
        <v>10</v>
      </c>
      <c r="C541" s="5" t="s">
        <v>5862</v>
      </c>
      <c r="D541" s="7" t="s">
        <v>441</v>
      </c>
      <c r="E541" s="7" t="s">
        <v>256</v>
      </c>
      <c r="F541" s="7" t="s">
        <v>317</v>
      </c>
      <c r="G541" s="7" t="s">
        <v>441</v>
      </c>
      <c r="H541" s="61" t="s">
        <v>442</v>
      </c>
      <c r="I541" s="62" t="s">
        <v>3642</v>
      </c>
      <c r="J541" s="5" t="s">
        <v>3643</v>
      </c>
      <c r="K541" s="5" t="s">
        <v>45</v>
      </c>
      <c r="L541" s="5" t="s">
        <v>10</v>
      </c>
      <c r="M541" s="5" t="s">
        <v>10</v>
      </c>
      <c r="N541" s="5" t="s">
        <v>10</v>
      </c>
      <c r="O541" s="46" t="s">
        <v>46</v>
      </c>
      <c r="P541" s="99">
        <v>46098</v>
      </c>
      <c r="Q541" s="100">
        <f>IF(P541="","",P541+184)</f>
        <v>46282</v>
      </c>
      <c r="R541" s="63" t="s">
        <v>273</v>
      </c>
      <c r="S541" s="63" t="s">
        <v>5049</v>
      </c>
      <c r="T541" s="7">
        <v>0.33</v>
      </c>
      <c r="U541" s="5" t="s">
        <v>10</v>
      </c>
      <c r="V541" s="7">
        <f t="shared" si="87"/>
        <v>0.33</v>
      </c>
      <c r="W541" s="5">
        <v>0.5</v>
      </c>
      <c r="X541" s="65" t="s">
        <v>443</v>
      </c>
      <c r="Y541" s="7" t="s">
        <v>56</v>
      </c>
      <c r="Z541" s="48" t="str">
        <f t="shared" si="88"/>
        <v>APROVADO</v>
      </c>
      <c r="AA541" s="47" t="s">
        <v>4675</v>
      </c>
      <c r="AB541" s="47" t="s">
        <v>4675</v>
      </c>
      <c r="AC541" s="5" t="s">
        <v>48</v>
      </c>
      <c r="AD541" s="5" t="s">
        <v>5530</v>
      </c>
      <c r="AE541" s="5" t="str">
        <f t="shared" ca="1" si="94"/>
        <v>NO PRAZO</v>
      </c>
      <c r="AF541" s="51"/>
    </row>
    <row r="542" spans="1:32" ht="30" customHeight="1" x14ac:dyDescent="0.25">
      <c r="A542" s="9" t="s">
        <v>5048</v>
      </c>
      <c r="B542" s="11" t="s">
        <v>10</v>
      </c>
      <c r="C542" s="5" t="s">
        <v>5862</v>
      </c>
      <c r="D542" s="7" t="s">
        <v>441</v>
      </c>
      <c r="E542" s="7" t="s">
        <v>256</v>
      </c>
      <c r="F542" s="7" t="s">
        <v>317</v>
      </c>
      <c r="G542" s="7" t="s">
        <v>441</v>
      </c>
      <c r="H542" s="61" t="s">
        <v>442</v>
      </c>
      <c r="I542" s="62" t="s">
        <v>3642</v>
      </c>
      <c r="J542" s="5" t="s">
        <v>3643</v>
      </c>
      <c r="K542" s="5" t="s">
        <v>45</v>
      </c>
      <c r="L542" s="5" t="s">
        <v>10</v>
      </c>
      <c r="M542" s="5" t="s">
        <v>10</v>
      </c>
      <c r="N542" s="5" t="s">
        <v>10</v>
      </c>
      <c r="O542" s="46" t="s">
        <v>46</v>
      </c>
      <c r="P542" s="99">
        <v>46098</v>
      </c>
      <c r="Q542" s="100">
        <f>IF(P542="","",P542+184)</f>
        <v>46282</v>
      </c>
      <c r="R542" s="63" t="s">
        <v>273</v>
      </c>
      <c r="S542" s="63" t="s">
        <v>5050</v>
      </c>
      <c r="T542" s="7">
        <v>0.33</v>
      </c>
      <c r="U542" s="5" t="s">
        <v>10</v>
      </c>
      <c r="V542" s="7">
        <f t="shared" si="87"/>
        <v>0.33</v>
      </c>
      <c r="W542" s="5">
        <v>0.5</v>
      </c>
      <c r="X542" s="65" t="s">
        <v>443</v>
      </c>
      <c r="Y542" s="7" t="s">
        <v>56</v>
      </c>
      <c r="Z542" s="48" t="str">
        <f t="shared" si="88"/>
        <v>APROVADO</v>
      </c>
      <c r="AA542" s="47" t="s">
        <v>4675</v>
      </c>
      <c r="AB542" s="47" t="s">
        <v>4675</v>
      </c>
      <c r="AC542" s="5" t="s">
        <v>48</v>
      </c>
      <c r="AD542" s="5" t="s">
        <v>5530</v>
      </c>
      <c r="AE542" s="5" t="str">
        <f t="shared" ca="1" si="94"/>
        <v>NO PRAZO</v>
      </c>
      <c r="AF542" s="51"/>
    </row>
    <row r="543" spans="1:32" ht="30" customHeight="1" x14ac:dyDescent="0.25">
      <c r="A543" s="5" t="s">
        <v>5458</v>
      </c>
      <c r="B543" s="144" t="s">
        <v>10</v>
      </c>
      <c r="C543" s="5" t="s">
        <v>5862</v>
      </c>
      <c r="D543" s="143" t="s">
        <v>630</v>
      </c>
      <c r="E543" s="143" t="s">
        <v>256</v>
      </c>
      <c r="F543" s="143" t="s">
        <v>317</v>
      </c>
      <c r="G543" s="92" t="s">
        <v>220</v>
      </c>
      <c r="H543" s="92" t="s">
        <v>220</v>
      </c>
      <c r="I543" s="145" t="s">
        <v>2026</v>
      </c>
      <c r="J543" s="7" t="s">
        <v>5550</v>
      </c>
      <c r="K543" s="5" t="s">
        <v>45</v>
      </c>
      <c r="L543" s="5" t="s">
        <v>10</v>
      </c>
      <c r="M543" s="5" t="s">
        <v>10</v>
      </c>
      <c r="N543" s="5" t="s">
        <v>10</v>
      </c>
      <c r="O543" s="119" t="s">
        <v>46</v>
      </c>
      <c r="P543" s="101">
        <v>46154</v>
      </c>
      <c r="Q543" s="100">
        <f>IF(P543="","",P543+184)</f>
        <v>46338</v>
      </c>
      <c r="R543" s="5" t="s">
        <v>5461</v>
      </c>
      <c r="S543" s="5" t="s">
        <v>5459</v>
      </c>
      <c r="T543" s="7">
        <v>0.27</v>
      </c>
      <c r="U543" s="5" t="s">
        <v>10</v>
      </c>
      <c r="V543" s="7">
        <f t="shared" si="87"/>
        <v>0.27</v>
      </c>
      <c r="W543" s="5">
        <v>0.5</v>
      </c>
      <c r="X543" s="5" t="s">
        <v>55</v>
      </c>
      <c r="Y543" s="7" t="s">
        <v>56</v>
      </c>
      <c r="Z543" s="48" t="str">
        <f t="shared" si="88"/>
        <v>APROVADO</v>
      </c>
      <c r="AA543" s="5" t="s">
        <v>4675</v>
      </c>
      <c r="AB543" s="5" t="s">
        <v>4675</v>
      </c>
      <c r="AC543" s="5" t="s">
        <v>48</v>
      </c>
      <c r="AD543" s="5" t="s">
        <v>5530</v>
      </c>
      <c r="AE543" s="5" t="str">
        <f t="shared" ca="1" si="94"/>
        <v>NO PRAZO</v>
      </c>
      <c r="AF543" s="51"/>
    </row>
    <row r="544" spans="1:32" ht="30" customHeight="1" x14ac:dyDescent="0.25">
      <c r="A544" s="5" t="s">
        <v>4668</v>
      </c>
      <c r="B544" s="144" t="s">
        <v>10</v>
      </c>
      <c r="C544" s="5" t="s">
        <v>5862</v>
      </c>
      <c r="D544" s="143" t="s">
        <v>630</v>
      </c>
      <c r="E544" s="143" t="s">
        <v>50</v>
      </c>
      <c r="F544" s="143" t="s">
        <v>266</v>
      </c>
      <c r="G544" s="92" t="s">
        <v>220</v>
      </c>
      <c r="H544" s="92" t="s">
        <v>676</v>
      </c>
      <c r="I544" s="7" t="s">
        <v>2023</v>
      </c>
      <c r="J544" s="7" t="s">
        <v>2024</v>
      </c>
      <c r="K544" s="5" t="s">
        <v>45</v>
      </c>
      <c r="L544" s="5" t="s">
        <v>10</v>
      </c>
      <c r="M544" s="5" t="s">
        <v>10</v>
      </c>
      <c r="N544" s="5" t="s">
        <v>10</v>
      </c>
      <c r="O544" s="119" t="s">
        <v>46</v>
      </c>
      <c r="P544" s="101">
        <v>46154</v>
      </c>
      <c r="Q544" s="100">
        <f>IF(P544="","",P544+184)</f>
        <v>46338</v>
      </c>
      <c r="R544" s="5" t="s">
        <v>4669</v>
      </c>
      <c r="S544" s="5" t="s">
        <v>5460</v>
      </c>
      <c r="T544" s="7">
        <v>0.18</v>
      </c>
      <c r="U544" s="5" t="s">
        <v>10</v>
      </c>
      <c r="V544" s="7">
        <f t="shared" ref="V544:V545" si="96">IFERROR(IF(U544&gt;0,T544*100/U544,T544),T544)</f>
        <v>0.18</v>
      </c>
      <c r="W544" s="5">
        <v>0.5</v>
      </c>
      <c r="X544" s="5" t="s">
        <v>55</v>
      </c>
      <c r="Y544" s="7" t="s">
        <v>56</v>
      </c>
      <c r="Z544" s="48" t="str">
        <f t="shared" si="88"/>
        <v>APROVADO</v>
      </c>
      <c r="AA544" s="5" t="s">
        <v>4675</v>
      </c>
      <c r="AB544" s="5" t="s">
        <v>4675</v>
      </c>
      <c r="AC544" s="5" t="s">
        <v>48</v>
      </c>
      <c r="AD544" s="5" t="s">
        <v>5530</v>
      </c>
      <c r="AE544" s="5" t="str">
        <f t="shared" ca="1" si="94"/>
        <v>NO PRAZO</v>
      </c>
      <c r="AF544" s="51"/>
    </row>
    <row r="545" spans="1:32" ht="30" customHeight="1" x14ac:dyDescent="0.25">
      <c r="A545" s="7" t="s">
        <v>4643</v>
      </c>
      <c r="B545" s="7" t="s">
        <v>10</v>
      </c>
      <c r="C545" s="5" t="s">
        <v>5862</v>
      </c>
      <c r="D545" s="12" t="s">
        <v>5831</v>
      </c>
      <c r="E545" s="7" t="s">
        <v>256</v>
      </c>
      <c r="F545" s="7" t="s">
        <v>257</v>
      </c>
      <c r="G545" s="7" t="s">
        <v>264</v>
      </c>
      <c r="H545" s="7" t="s">
        <v>255</v>
      </c>
      <c r="I545" s="13" t="s">
        <v>260</v>
      </c>
      <c r="J545" s="13" t="s">
        <v>3732</v>
      </c>
      <c r="K545" s="5" t="s">
        <v>45</v>
      </c>
      <c r="L545" s="5" t="s">
        <v>10</v>
      </c>
      <c r="M545" s="5" t="s">
        <v>10</v>
      </c>
      <c r="N545" s="5" t="s">
        <v>10</v>
      </c>
      <c r="O545" s="46" t="s">
        <v>46</v>
      </c>
      <c r="P545" s="100">
        <v>46105</v>
      </c>
      <c r="Q545" s="100">
        <f>IF(P545="","",P545+184)</f>
        <v>46289</v>
      </c>
      <c r="R545" s="5" t="s">
        <v>4644</v>
      </c>
      <c r="S545" s="5" t="s">
        <v>5170</v>
      </c>
      <c r="T545" s="7">
        <v>4.1000000000000002E-2</v>
      </c>
      <c r="U545" s="5" t="s">
        <v>10</v>
      </c>
      <c r="V545" s="7">
        <f t="shared" si="96"/>
        <v>4.1000000000000002E-2</v>
      </c>
      <c r="W545" s="5">
        <v>0.05</v>
      </c>
      <c r="X545" s="5" t="s">
        <v>261</v>
      </c>
      <c r="Y545" s="7" t="s">
        <v>56</v>
      </c>
      <c r="Z545" s="48" t="str">
        <f t="shared" si="88"/>
        <v>APROVADO</v>
      </c>
      <c r="AA545" s="47">
        <v>11602451</v>
      </c>
      <c r="AB545" s="5" t="s">
        <v>4645</v>
      </c>
      <c r="AC545" s="5" t="s">
        <v>48</v>
      </c>
      <c r="AD545" s="5" t="s">
        <v>5530</v>
      </c>
      <c r="AE545" s="5" t="str">
        <f t="shared" ca="1" si="94"/>
        <v>NO PRAZO</v>
      </c>
      <c r="AF545" s="51"/>
    </row>
    <row r="546" spans="1:32" ht="30" customHeight="1" x14ac:dyDescent="0.25">
      <c r="A546" s="5" t="s">
        <v>4646</v>
      </c>
      <c r="B546" s="5" t="s">
        <v>10</v>
      </c>
      <c r="C546" s="5" t="s">
        <v>5862</v>
      </c>
      <c r="D546" s="7" t="s">
        <v>634</v>
      </c>
      <c r="E546" s="7" t="s">
        <v>256</v>
      </c>
      <c r="F546" s="7" t="s">
        <v>317</v>
      </c>
      <c r="G546" s="7" t="s">
        <v>631</v>
      </c>
      <c r="H546" s="7" t="s">
        <v>631</v>
      </c>
      <c r="I546" s="62" t="s">
        <v>632</v>
      </c>
      <c r="J546" s="62" t="s">
        <v>635</v>
      </c>
      <c r="K546" s="5" t="s">
        <v>45</v>
      </c>
      <c r="L546" s="5" t="s">
        <v>10</v>
      </c>
      <c r="M546" s="5" t="s">
        <v>10</v>
      </c>
      <c r="N546" s="5" t="s">
        <v>10</v>
      </c>
      <c r="O546" s="46" t="s">
        <v>46</v>
      </c>
      <c r="P546" s="101">
        <v>46057</v>
      </c>
      <c r="Q546" s="100">
        <f>IF(P546="","",P546+181)</f>
        <v>46238</v>
      </c>
      <c r="R546" s="5" t="s">
        <v>4647</v>
      </c>
      <c r="S546" s="5" t="s">
        <v>4667</v>
      </c>
      <c r="T546" s="7">
        <v>0.33</v>
      </c>
      <c r="U546" s="5"/>
      <c r="V546" s="7">
        <f t="shared" ref="V546:V570" si="97">IFERROR(IF(U546&gt;0,T546*100/U546,T546),T546)</f>
        <v>0.33</v>
      </c>
      <c r="W546" s="5">
        <v>0.5</v>
      </c>
      <c r="X546" s="5" t="s">
        <v>55</v>
      </c>
      <c r="Y546" s="7" t="s">
        <v>56</v>
      </c>
      <c r="Z546" s="48" t="str">
        <f t="shared" ref="Z546:Z570" si="98">IFERROR(IF(W546="-",$AL$6,CHOOSE(IF(T546="",1,2),$AL$7,IF(V546&gt;W546,$AL$5,$AL$4))),"-")</f>
        <v>APROVADO</v>
      </c>
      <c r="AA546" s="47">
        <v>11604336</v>
      </c>
      <c r="AB546" s="5" t="s">
        <v>4648</v>
      </c>
      <c r="AC546" s="5" t="s">
        <v>48</v>
      </c>
      <c r="AD546" s="5" t="s">
        <v>5530</v>
      </c>
      <c r="AE546" s="5" t="str">
        <f t="shared" ca="1" si="94"/>
        <v>CALIBRAR</v>
      </c>
      <c r="AF546" s="49"/>
    </row>
    <row r="547" spans="1:32" ht="30" customHeight="1" x14ac:dyDescent="0.25">
      <c r="A547" s="5" t="s">
        <v>77</v>
      </c>
      <c r="B547" s="5" t="s">
        <v>10</v>
      </c>
      <c r="C547" s="5" t="s">
        <v>5862</v>
      </c>
      <c r="D547" s="7" t="s">
        <v>64</v>
      </c>
      <c r="E547" s="7" t="s">
        <v>68</v>
      </c>
      <c r="F547" s="7" t="s">
        <v>69</v>
      </c>
      <c r="G547" s="7" t="s">
        <v>1460</v>
      </c>
      <c r="H547" s="7" t="s">
        <v>71</v>
      </c>
      <c r="I547" s="7" t="s">
        <v>72</v>
      </c>
      <c r="J547" s="7" t="s">
        <v>76</v>
      </c>
      <c r="K547" s="5" t="s">
        <v>45</v>
      </c>
      <c r="L547" s="5" t="s">
        <v>10</v>
      </c>
      <c r="M547" s="5" t="s">
        <v>10</v>
      </c>
      <c r="N547" s="5" t="s">
        <v>10</v>
      </c>
      <c r="O547" s="80" t="s">
        <v>46</v>
      </c>
      <c r="P547" s="101">
        <v>46169</v>
      </c>
      <c r="Q547" s="100">
        <f>IF(P547="","",P547+184)</f>
        <v>46353</v>
      </c>
      <c r="R547" s="5" t="s">
        <v>3073</v>
      </c>
      <c r="S547" s="5" t="s">
        <v>5598</v>
      </c>
      <c r="T547" s="7">
        <v>1.8</v>
      </c>
      <c r="U547" s="7">
        <v>10000</v>
      </c>
      <c r="V547" s="7">
        <f t="shared" si="97"/>
        <v>1.7999999999999999E-2</v>
      </c>
      <c r="W547" s="5">
        <v>0.5</v>
      </c>
      <c r="X547" s="5" t="s">
        <v>73</v>
      </c>
      <c r="Y547" s="7" t="s">
        <v>56</v>
      </c>
      <c r="Z547" s="48" t="str">
        <f t="shared" si="98"/>
        <v>APROVADO</v>
      </c>
      <c r="AA547" s="5">
        <v>11606724</v>
      </c>
      <c r="AB547" s="5" t="s">
        <v>4198</v>
      </c>
      <c r="AC547" s="5" t="s">
        <v>48</v>
      </c>
      <c r="AD547" s="5" t="s">
        <v>5530</v>
      </c>
      <c r="AE547" s="5" t="str">
        <f t="shared" ref="AE547:AE548" ca="1" si="99">IFERROR(IF(OR(AND(YEAR(Q547)=YEAR(TODAY()),MONTH(Q547)&gt;MONTH(TODAY())),(YEAR(Q547)&gt;YEAR(TODAY()))),$AK$4,IF(AND(YEAR(Q547)=YEAR(TODAY()),MONTH(Q547)=MONTH(TODAY())),$AK$5,IF(Q547="",$AK$6,$AK$7))),"-")</f>
        <v>NO PRAZO</v>
      </c>
      <c r="AF547" s="51"/>
    </row>
    <row r="548" spans="1:32" ht="30" customHeight="1" x14ac:dyDescent="0.25">
      <c r="A548" s="5" t="s">
        <v>5600</v>
      </c>
      <c r="B548" s="5" t="s">
        <v>74</v>
      </c>
      <c r="C548" s="5" t="s">
        <v>5862</v>
      </c>
      <c r="D548" s="7" t="s">
        <v>5699</v>
      </c>
      <c r="E548" s="7" t="s">
        <v>68</v>
      </c>
      <c r="F548" s="7" t="s">
        <v>69</v>
      </c>
      <c r="G548" s="7" t="s">
        <v>1460</v>
      </c>
      <c r="H548" s="7" t="s">
        <v>71</v>
      </c>
      <c r="I548" s="7" t="s">
        <v>75</v>
      </c>
      <c r="J548" s="7" t="s">
        <v>76</v>
      </c>
      <c r="K548" s="5" t="s">
        <v>45</v>
      </c>
      <c r="L548" s="5" t="s">
        <v>10</v>
      </c>
      <c r="M548" s="5" t="s">
        <v>10</v>
      </c>
      <c r="N548" s="5" t="s">
        <v>10</v>
      </c>
      <c r="O548" s="80" t="s">
        <v>46</v>
      </c>
      <c r="P548" s="101">
        <v>46168</v>
      </c>
      <c r="Q548" s="100">
        <f>IF(P548="","",P548+184)</f>
        <v>46352</v>
      </c>
      <c r="R548" s="5" t="s">
        <v>2496</v>
      </c>
      <c r="S548" s="5" t="s">
        <v>5599</v>
      </c>
      <c r="T548" s="7">
        <v>8.8000000000000007</v>
      </c>
      <c r="U548" s="7">
        <v>10000</v>
      </c>
      <c r="V548" s="7">
        <f t="shared" si="97"/>
        <v>8.8000000000000009E-2</v>
      </c>
      <c r="W548" s="5">
        <v>0.5</v>
      </c>
      <c r="X548" s="5" t="s">
        <v>73</v>
      </c>
      <c r="Y548" s="7" t="s">
        <v>56</v>
      </c>
      <c r="Z548" s="48" t="str">
        <f t="shared" si="98"/>
        <v>APROVADO</v>
      </c>
      <c r="AA548" s="5">
        <v>11601988</v>
      </c>
      <c r="AB548" s="5" t="s">
        <v>4197</v>
      </c>
      <c r="AC548" s="5" t="s">
        <v>48</v>
      </c>
      <c r="AD548" s="5" t="s">
        <v>5530</v>
      </c>
      <c r="AE548" s="5" t="str">
        <f t="shared" ca="1" si="99"/>
        <v>NO PRAZO</v>
      </c>
      <c r="AF548" s="51"/>
    </row>
    <row r="549" spans="1:32" ht="30" customHeight="1" x14ac:dyDescent="0.25">
      <c r="A549" s="5" t="s">
        <v>1459</v>
      </c>
      <c r="B549" s="5" t="s">
        <v>10</v>
      </c>
      <c r="C549" s="5" t="s">
        <v>5862</v>
      </c>
      <c r="D549" s="7" t="s">
        <v>151</v>
      </c>
      <c r="E549" s="7" t="s">
        <v>68</v>
      </c>
      <c r="F549" s="34" t="s">
        <v>69</v>
      </c>
      <c r="G549" s="7" t="s">
        <v>1460</v>
      </c>
      <c r="H549" s="7" t="s">
        <v>1431</v>
      </c>
      <c r="I549" s="7" t="s">
        <v>199</v>
      </c>
      <c r="J549" s="7" t="s">
        <v>1420</v>
      </c>
      <c r="K549" s="5" t="s">
        <v>45</v>
      </c>
      <c r="L549" s="5" t="s">
        <v>10</v>
      </c>
      <c r="M549" s="5" t="s">
        <v>10</v>
      </c>
      <c r="N549" s="5" t="s">
        <v>10</v>
      </c>
      <c r="O549" s="86" t="s">
        <v>46</v>
      </c>
      <c r="P549" s="101">
        <v>46154</v>
      </c>
      <c r="Q549" s="100">
        <f t="shared" ref="Q549:Q559" si="100">IF(P549="","",P549+184)</f>
        <v>46338</v>
      </c>
      <c r="R549" s="5" t="s">
        <v>2253</v>
      </c>
      <c r="S549" s="5" t="s">
        <v>5447</v>
      </c>
      <c r="T549" s="7">
        <v>0.251</v>
      </c>
      <c r="U549" s="7" t="s">
        <v>10</v>
      </c>
      <c r="V549" s="7">
        <f t="shared" si="97"/>
        <v>0.251</v>
      </c>
      <c r="W549" s="5">
        <v>0.5</v>
      </c>
      <c r="X549" s="5" t="s">
        <v>55</v>
      </c>
      <c r="Y549" s="7" t="s">
        <v>56</v>
      </c>
      <c r="Z549" s="48" t="str">
        <f t="shared" si="98"/>
        <v>APROVADO</v>
      </c>
      <c r="AA549" s="5">
        <v>11541078</v>
      </c>
      <c r="AB549" s="5" t="s">
        <v>2863</v>
      </c>
      <c r="AC549" s="5" t="s">
        <v>48</v>
      </c>
      <c r="AD549" s="5" t="s">
        <v>5530</v>
      </c>
      <c r="AE549" s="5" t="str">
        <f t="shared" ref="AE549:AE570" ca="1" si="101">IFERROR(IF(OR(AND(YEAR(Q549)=YEAR(TODAY()),MONTH(Q549)&gt;MONTH(TODAY())),(YEAR(Q549)&gt;YEAR(TODAY()))),$AK$4,IF(AND(YEAR(Q549)=YEAR(TODAY()),MONTH(Q549)=MONTH(TODAY())),$AK$5,IF(Q549="",$AK$6,$AK$7))),"-")</f>
        <v>NO PRAZO</v>
      </c>
      <c r="AF549" s="51"/>
    </row>
    <row r="550" spans="1:32" ht="30" customHeight="1" x14ac:dyDescent="0.25">
      <c r="A550" s="5" t="s">
        <v>1461</v>
      </c>
      <c r="B550" s="5" t="s">
        <v>10</v>
      </c>
      <c r="C550" s="5" t="s">
        <v>5862</v>
      </c>
      <c r="D550" s="7" t="s">
        <v>151</v>
      </c>
      <c r="E550" s="7" t="s">
        <v>68</v>
      </c>
      <c r="F550" s="34" t="s">
        <v>69</v>
      </c>
      <c r="G550" s="7" t="s">
        <v>1460</v>
      </c>
      <c r="H550" s="7" t="s">
        <v>3053</v>
      </c>
      <c r="I550" s="7" t="s">
        <v>199</v>
      </c>
      <c r="J550" s="7" t="s">
        <v>1420</v>
      </c>
      <c r="K550" s="5" t="s">
        <v>45</v>
      </c>
      <c r="L550" s="5" t="s">
        <v>10</v>
      </c>
      <c r="M550" s="5" t="s">
        <v>10</v>
      </c>
      <c r="N550" s="5" t="s">
        <v>10</v>
      </c>
      <c r="O550" s="86" t="s">
        <v>46</v>
      </c>
      <c r="P550" s="101">
        <v>46154</v>
      </c>
      <c r="Q550" s="100">
        <f t="shared" si="100"/>
        <v>46338</v>
      </c>
      <c r="R550" s="5" t="s">
        <v>2254</v>
      </c>
      <c r="S550" s="5" t="s">
        <v>5448</v>
      </c>
      <c r="T550" s="7">
        <v>0.25</v>
      </c>
      <c r="U550" s="7" t="s">
        <v>10</v>
      </c>
      <c r="V550" s="7">
        <f t="shared" si="97"/>
        <v>0.25</v>
      </c>
      <c r="W550" s="5">
        <v>0.5</v>
      </c>
      <c r="X550" s="5" t="s">
        <v>55</v>
      </c>
      <c r="Y550" s="7" t="s">
        <v>56</v>
      </c>
      <c r="Z550" s="48" t="str">
        <f t="shared" si="98"/>
        <v>APROVADO</v>
      </c>
      <c r="AA550" s="5">
        <v>11541079</v>
      </c>
      <c r="AB550" s="5" t="s">
        <v>2864</v>
      </c>
      <c r="AC550" s="5" t="s">
        <v>48</v>
      </c>
      <c r="AD550" s="5" t="s">
        <v>5530</v>
      </c>
      <c r="AE550" s="5" t="str">
        <f t="shared" ca="1" si="101"/>
        <v>NO PRAZO</v>
      </c>
      <c r="AF550" s="51"/>
    </row>
    <row r="551" spans="1:32" ht="30" customHeight="1" x14ac:dyDescent="0.25">
      <c r="A551" s="5" t="s">
        <v>1462</v>
      </c>
      <c r="B551" s="5" t="s">
        <v>10</v>
      </c>
      <c r="C551" s="5" t="s">
        <v>5863</v>
      </c>
      <c r="D551" s="7" t="s">
        <v>151</v>
      </c>
      <c r="E551" s="7" t="s">
        <v>68</v>
      </c>
      <c r="F551" s="34" t="s">
        <v>69</v>
      </c>
      <c r="G551" s="7" t="s">
        <v>1460</v>
      </c>
      <c r="H551" s="7" t="s">
        <v>1434</v>
      </c>
      <c r="I551" s="7" t="s">
        <v>199</v>
      </c>
      <c r="J551" s="7" t="s">
        <v>1420</v>
      </c>
      <c r="K551" s="5" t="s">
        <v>10</v>
      </c>
      <c r="L551" s="5" t="s">
        <v>10</v>
      </c>
      <c r="M551" s="5" t="s">
        <v>10</v>
      </c>
      <c r="N551" s="5" t="s">
        <v>45</v>
      </c>
      <c r="O551" s="80" t="s">
        <v>56</v>
      </c>
      <c r="P551" s="101">
        <v>46154</v>
      </c>
      <c r="Q551" s="100">
        <f t="shared" si="100"/>
        <v>46338</v>
      </c>
      <c r="R551" s="7" t="s">
        <v>2256</v>
      </c>
      <c r="S551" s="7" t="s">
        <v>5449</v>
      </c>
      <c r="T551" s="7">
        <v>0.33100000000000002</v>
      </c>
      <c r="U551" s="7" t="s">
        <v>10</v>
      </c>
      <c r="V551" s="7">
        <f t="shared" si="97"/>
        <v>0.33100000000000002</v>
      </c>
      <c r="W551" s="5">
        <v>0.5</v>
      </c>
      <c r="X551" s="5" t="s">
        <v>55</v>
      </c>
      <c r="Y551" s="7" t="s">
        <v>56</v>
      </c>
      <c r="Z551" s="48" t="str">
        <f t="shared" si="98"/>
        <v>APROVADO</v>
      </c>
      <c r="AA551" s="5">
        <v>11541080</v>
      </c>
      <c r="AB551" s="5" t="s">
        <v>2865</v>
      </c>
      <c r="AC551" s="5" t="s">
        <v>48</v>
      </c>
      <c r="AD551" s="5" t="s">
        <v>5530</v>
      </c>
      <c r="AE551" s="5" t="str">
        <f t="shared" ca="1" si="101"/>
        <v>NO PRAZO</v>
      </c>
      <c r="AF551" s="51"/>
    </row>
    <row r="552" spans="1:32" ht="30" customHeight="1" x14ac:dyDescent="0.25">
      <c r="A552" s="5" t="s">
        <v>1463</v>
      </c>
      <c r="B552" s="5" t="s">
        <v>10</v>
      </c>
      <c r="C552" s="5" t="s">
        <v>5863</v>
      </c>
      <c r="D552" s="7" t="s">
        <v>151</v>
      </c>
      <c r="E552" s="7" t="s">
        <v>68</v>
      </c>
      <c r="F552" s="34" t="s">
        <v>69</v>
      </c>
      <c r="G552" s="7" t="s">
        <v>1460</v>
      </c>
      <c r="H552" s="7" t="s">
        <v>1436</v>
      </c>
      <c r="I552" s="7" t="s">
        <v>199</v>
      </c>
      <c r="J552" s="7" t="s">
        <v>1420</v>
      </c>
      <c r="K552" s="5" t="s">
        <v>10</v>
      </c>
      <c r="L552" s="5" t="s">
        <v>10</v>
      </c>
      <c r="M552" s="5" t="s">
        <v>10</v>
      </c>
      <c r="N552" s="5" t="s">
        <v>45</v>
      </c>
      <c r="O552" s="80" t="s">
        <v>56</v>
      </c>
      <c r="P552" s="101">
        <v>46154</v>
      </c>
      <c r="Q552" s="100">
        <f t="shared" si="100"/>
        <v>46338</v>
      </c>
      <c r="R552" s="5" t="s">
        <v>2255</v>
      </c>
      <c r="S552" s="5" t="s">
        <v>5450</v>
      </c>
      <c r="T552" s="7">
        <v>0.379</v>
      </c>
      <c r="U552" s="7" t="s">
        <v>10</v>
      </c>
      <c r="V552" s="7">
        <f t="shared" si="97"/>
        <v>0.379</v>
      </c>
      <c r="W552" s="5">
        <v>0.5</v>
      </c>
      <c r="X552" s="5" t="s">
        <v>55</v>
      </c>
      <c r="Y552" s="7" t="s">
        <v>56</v>
      </c>
      <c r="Z552" s="48" t="str">
        <f t="shared" si="98"/>
        <v>APROVADO</v>
      </c>
      <c r="AA552" s="5">
        <v>11541081</v>
      </c>
      <c r="AB552" s="5" t="s">
        <v>2866</v>
      </c>
      <c r="AC552" s="5" t="s">
        <v>48</v>
      </c>
      <c r="AD552" s="5" t="s">
        <v>5530</v>
      </c>
      <c r="AE552" s="5" t="str">
        <f t="shared" ca="1" si="101"/>
        <v>NO PRAZO</v>
      </c>
      <c r="AF552" s="51"/>
    </row>
    <row r="553" spans="1:32" ht="30" customHeight="1" x14ac:dyDescent="0.25">
      <c r="A553" s="5" t="s">
        <v>1464</v>
      </c>
      <c r="B553" s="5" t="s">
        <v>1465</v>
      </c>
      <c r="C553" s="5" t="s">
        <v>5863</v>
      </c>
      <c r="D553" s="7" t="s">
        <v>151</v>
      </c>
      <c r="E553" s="7" t="s">
        <v>68</v>
      </c>
      <c r="F553" s="34" t="s">
        <v>69</v>
      </c>
      <c r="G553" s="7" t="s">
        <v>1460</v>
      </c>
      <c r="H553" s="7" t="s">
        <v>1438</v>
      </c>
      <c r="I553" s="7" t="s">
        <v>199</v>
      </c>
      <c r="J553" s="7" t="s">
        <v>1420</v>
      </c>
      <c r="K553" s="5" t="s">
        <v>10</v>
      </c>
      <c r="L553" s="5" t="s">
        <v>45</v>
      </c>
      <c r="M553" s="5" t="s">
        <v>10</v>
      </c>
      <c r="N553" s="5" t="s">
        <v>10</v>
      </c>
      <c r="O553" s="86" t="s">
        <v>46</v>
      </c>
      <c r="P553" s="101">
        <v>46154</v>
      </c>
      <c r="Q553" s="100">
        <f t="shared" si="100"/>
        <v>46338</v>
      </c>
      <c r="R553" s="5" t="s">
        <v>2257</v>
      </c>
      <c r="S553" s="5" t="s">
        <v>5451</v>
      </c>
      <c r="T553" s="7">
        <v>0.28100000000000003</v>
      </c>
      <c r="U553" s="7" t="s">
        <v>10</v>
      </c>
      <c r="V553" s="7">
        <f t="shared" si="97"/>
        <v>0.28100000000000003</v>
      </c>
      <c r="W553" s="5">
        <v>0.5</v>
      </c>
      <c r="X553" s="5" t="s">
        <v>55</v>
      </c>
      <c r="Y553" s="7" t="s">
        <v>56</v>
      </c>
      <c r="Z553" s="48" t="str">
        <f t="shared" si="98"/>
        <v>APROVADO</v>
      </c>
      <c r="AA553" s="5">
        <v>11541082</v>
      </c>
      <c r="AB553" s="5" t="s">
        <v>2867</v>
      </c>
      <c r="AC553" s="5" t="s">
        <v>48</v>
      </c>
      <c r="AD553" s="5" t="s">
        <v>5530</v>
      </c>
      <c r="AE553" s="5" t="str">
        <f t="shared" ca="1" si="101"/>
        <v>NO PRAZO</v>
      </c>
      <c r="AF553" s="51"/>
    </row>
    <row r="554" spans="1:32" ht="30" customHeight="1" x14ac:dyDescent="0.25">
      <c r="A554" s="5" t="s">
        <v>1466</v>
      </c>
      <c r="B554" s="5" t="s">
        <v>10</v>
      </c>
      <c r="C554" s="5" t="s">
        <v>5863</v>
      </c>
      <c r="D554" s="7" t="s">
        <v>151</v>
      </c>
      <c r="E554" s="7" t="s">
        <v>68</v>
      </c>
      <c r="F554" s="34" t="s">
        <v>69</v>
      </c>
      <c r="G554" s="7" t="s">
        <v>1460</v>
      </c>
      <c r="H554" s="7" t="s">
        <v>1440</v>
      </c>
      <c r="I554" s="7" t="s">
        <v>199</v>
      </c>
      <c r="J554" s="7" t="s">
        <v>1420</v>
      </c>
      <c r="K554" s="5" t="s">
        <v>10</v>
      </c>
      <c r="L554" s="5" t="s">
        <v>10</v>
      </c>
      <c r="M554" s="5" t="s">
        <v>10</v>
      </c>
      <c r="N554" s="5" t="s">
        <v>45</v>
      </c>
      <c r="O554" s="80" t="s">
        <v>56</v>
      </c>
      <c r="P554" s="101">
        <v>46154</v>
      </c>
      <c r="Q554" s="100">
        <f t="shared" si="100"/>
        <v>46338</v>
      </c>
      <c r="R554" s="7" t="s">
        <v>2258</v>
      </c>
      <c r="S554" s="7" t="s">
        <v>5452</v>
      </c>
      <c r="T554" s="7">
        <v>0.27100000000000002</v>
      </c>
      <c r="U554" s="7" t="s">
        <v>10</v>
      </c>
      <c r="V554" s="7">
        <f t="shared" si="97"/>
        <v>0.27100000000000002</v>
      </c>
      <c r="W554" s="5">
        <v>0.5</v>
      </c>
      <c r="X554" s="5" t="s">
        <v>55</v>
      </c>
      <c r="Y554" s="7" t="s">
        <v>56</v>
      </c>
      <c r="Z554" s="48" t="str">
        <f t="shared" si="98"/>
        <v>APROVADO</v>
      </c>
      <c r="AA554" s="5">
        <v>11542004</v>
      </c>
      <c r="AB554" s="5" t="s">
        <v>2868</v>
      </c>
      <c r="AC554" s="5" t="s">
        <v>48</v>
      </c>
      <c r="AD554" s="5" t="s">
        <v>5530</v>
      </c>
      <c r="AE554" s="5" t="str">
        <f t="shared" ca="1" si="101"/>
        <v>NO PRAZO</v>
      </c>
      <c r="AF554" s="51"/>
    </row>
    <row r="555" spans="1:32" ht="30" customHeight="1" x14ac:dyDescent="0.25">
      <c r="A555" s="5" t="s">
        <v>1467</v>
      </c>
      <c r="B555" s="5" t="s">
        <v>10</v>
      </c>
      <c r="C555" s="5" t="s">
        <v>5862</v>
      </c>
      <c r="D555" s="7" t="s">
        <v>151</v>
      </c>
      <c r="E555" s="7" t="s">
        <v>68</v>
      </c>
      <c r="F555" s="34" t="s">
        <v>69</v>
      </c>
      <c r="G555" s="7" t="s">
        <v>1460</v>
      </c>
      <c r="H555" s="7" t="s">
        <v>5799</v>
      </c>
      <c r="I555" s="7" t="s">
        <v>199</v>
      </c>
      <c r="J555" s="7" t="s">
        <v>1443</v>
      </c>
      <c r="K555" s="5" t="s">
        <v>45</v>
      </c>
      <c r="L555" s="5" t="s">
        <v>10</v>
      </c>
      <c r="M555" s="5" t="s">
        <v>10</v>
      </c>
      <c r="N555" s="5" t="s">
        <v>10</v>
      </c>
      <c r="O555" s="86" t="s">
        <v>46</v>
      </c>
      <c r="P555" s="101">
        <v>46154</v>
      </c>
      <c r="Q555" s="100">
        <f t="shared" si="100"/>
        <v>46338</v>
      </c>
      <c r="R555" s="5" t="s">
        <v>2259</v>
      </c>
      <c r="S555" s="5" t="s">
        <v>5453</v>
      </c>
      <c r="T555" s="7">
        <v>0.34799999999999998</v>
      </c>
      <c r="U555" s="7" t="s">
        <v>10</v>
      </c>
      <c r="V555" s="7">
        <f t="shared" si="97"/>
        <v>0.34799999999999998</v>
      </c>
      <c r="W555" s="5">
        <v>0.5</v>
      </c>
      <c r="X555" s="5" t="s">
        <v>55</v>
      </c>
      <c r="Y555" s="7" t="s">
        <v>56</v>
      </c>
      <c r="Z555" s="48" t="str">
        <f t="shared" si="98"/>
        <v>APROVADO</v>
      </c>
      <c r="AA555" s="5">
        <v>11542005</v>
      </c>
      <c r="AB555" s="5" t="s">
        <v>2869</v>
      </c>
      <c r="AC555" s="5" t="s">
        <v>48</v>
      </c>
      <c r="AD555" s="5" t="s">
        <v>5530</v>
      </c>
      <c r="AE555" s="5" t="str">
        <f t="shared" ca="1" si="101"/>
        <v>NO PRAZO</v>
      </c>
      <c r="AF555" s="51"/>
    </row>
    <row r="556" spans="1:32" ht="30" customHeight="1" x14ac:dyDescent="0.25">
      <c r="A556" s="5" t="s">
        <v>1468</v>
      </c>
      <c r="B556" s="5" t="s">
        <v>10</v>
      </c>
      <c r="C556" s="5" t="s">
        <v>5863</v>
      </c>
      <c r="D556" s="7" t="s">
        <v>151</v>
      </c>
      <c r="E556" s="7" t="s">
        <v>68</v>
      </c>
      <c r="F556" s="34" t="s">
        <v>69</v>
      </c>
      <c r="G556" s="7" t="s">
        <v>1460</v>
      </c>
      <c r="H556" s="7" t="s">
        <v>1445</v>
      </c>
      <c r="I556" s="7" t="s">
        <v>199</v>
      </c>
      <c r="J556" s="7" t="s">
        <v>1420</v>
      </c>
      <c r="K556" s="5" t="s">
        <v>10</v>
      </c>
      <c r="L556" s="5" t="s">
        <v>10</v>
      </c>
      <c r="M556" s="5" t="s">
        <v>10</v>
      </c>
      <c r="N556" s="5" t="s">
        <v>45</v>
      </c>
      <c r="O556" s="80" t="s">
        <v>56</v>
      </c>
      <c r="P556" s="101">
        <v>46154</v>
      </c>
      <c r="Q556" s="100">
        <f t="shared" si="100"/>
        <v>46338</v>
      </c>
      <c r="R556" s="5" t="s">
        <v>2260</v>
      </c>
      <c r="S556" s="5" t="s">
        <v>5454</v>
      </c>
      <c r="T556" s="7">
        <v>0.249</v>
      </c>
      <c r="U556" s="7" t="s">
        <v>10</v>
      </c>
      <c r="V556" s="7">
        <f t="shared" si="97"/>
        <v>0.249</v>
      </c>
      <c r="W556" s="5">
        <v>0.5</v>
      </c>
      <c r="X556" s="5" t="s">
        <v>55</v>
      </c>
      <c r="Y556" s="7" t="s">
        <v>56</v>
      </c>
      <c r="Z556" s="48" t="str">
        <f t="shared" si="98"/>
        <v>APROVADO</v>
      </c>
      <c r="AA556" s="5">
        <v>11542006</v>
      </c>
      <c r="AB556" s="5" t="s">
        <v>2870</v>
      </c>
      <c r="AC556" s="5" t="s">
        <v>48</v>
      </c>
      <c r="AD556" s="5" t="s">
        <v>5530</v>
      </c>
      <c r="AE556" s="5" t="str">
        <f t="shared" ca="1" si="101"/>
        <v>NO PRAZO</v>
      </c>
      <c r="AF556" s="51"/>
    </row>
    <row r="557" spans="1:32" ht="30" customHeight="1" x14ac:dyDescent="0.25">
      <c r="A557" s="5" t="s">
        <v>1469</v>
      </c>
      <c r="B557" s="5" t="s">
        <v>10</v>
      </c>
      <c r="C557" s="5" t="s">
        <v>5863</v>
      </c>
      <c r="D557" s="7" t="s">
        <v>151</v>
      </c>
      <c r="E557" s="7" t="s">
        <v>68</v>
      </c>
      <c r="F557" s="34" t="s">
        <v>69</v>
      </c>
      <c r="G557" s="7" t="s">
        <v>1460</v>
      </c>
      <c r="H557" s="7" t="s">
        <v>1447</v>
      </c>
      <c r="I557" s="7" t="s">
        <v>199</v>
      </c>
      <c r="J557" s="7" t="s">
        <v>1420</v>
      </c>
      <c r="K557" s="5" t="s">
        <v>10</v>
      </c>
      <c r="L557" s="5" t="s">
        <v>10</v>
      </c>
      <c r="M557" s="5" t="s">
        <v>10</v>
      </c>
      <c r="N557" s="5" t="s">
        <v>45</v>
      </c>
      <c r="O557" s="80" t="s">
        <v>56</v>
      </c>
      <c r="P557" s="101">
        <v>46154</v>
      </c>
      <c r="Q557" s="100">
        <f t="shared" si="100"/>
        <v>46338</v>
      </c>
      <c r="R557" s="5" t="s">
        <v>2261</v>
      </c>
      <c r="S557" s="5" t="s">
        <v>5455</v>
      </c>
      <c r="T557" s="7">
        <v>0.39800000000000002</v>
      </c>
      <c r="U557" s="7" t="s">
        <v>10</v>
      </c>
      <c r="V557" s="7">
        <f t="shared" si="97"/>
        <v>0.39800000000000002</v>
      </c>
      <c r="W557" s="5">
        <v>0.5</v>
      </c>
      <c r="X557" s="5" t="s">
        <v>55</v>
      </c>
      <c r="Y557" s="7" t="s">
        <v>56</v>
      </c>
      <c r="Z557" s="48" t="str">
        <f t="shared" si="98"/>
        <v>APROVADO</v>
      </c>
      <c r="AA557" s="5">
        <v>11542000</v>
      </c>
      <c r="AB557" s="5" t="s">
        <v>2871</v>
      </c>
      <c r="AC557" s="5" t="s">
        <v>48</v>
      </c>
      <c r="AD557" s="5" t="s">
        <v>5530</v>
      </c>
      <c r="AE557" s="5" t="str">
        <f t="shared" ca="1" si="101"/>
        <v>NO PRAZO</v>
      </c>
      <c r="AF557" s="51"/>
    </row>
    <row r="558" spans="1:32" ht="30" customHeight="1" x14ac:dyDescent="0.25">
      <c r="A558" s="5" t="s">
        <v>1470</v>
      </c>
      <c r="B558" s="5" t="s">
        <v>10</v>
      </c>
      <c r="C558" s="5" t="s">
        <v>5863</v>
      </c>
      <c r="D558" s="7" t="s">
        <v>151</v>
      </c>
      <c r="E558" s="7" t="s">
        <v>68</v>
      </c>
      <c r="F558" s="34" t="s">
        <v>69</v>
      </c>
      <c r="G558" s="7" t="s">
        <v>1460</v>
      </c>
      <c r="H558" s="7" t="s">
        <v>1449</v>
      </c>
      <c r="I558" s="7" t="s">
        <v>199</v>
      </c>
      <c r="J558" s="7" t="s">
        <v>1420</v>
      </c>
      <c r="K558" s="5" t="s">
        <v>10</v>
      </c>
      <c r="L558" s="5" t="s">
        <v>45</v>
      </c>
      <c r="M558" s="5" t="s">
        <v>10</v>
      </c>
      <c r="N558" s="5" t="s">
        <v>10</v>
      </c>
      <c r="O558" s="86" t="s">
        <v>46</v>
      </c>
      <c r="P558" s="101">
        <v>46154</v>
      </c>
      <c r="Q558" s="100">
        <f t="shared" si="100"/>
        <v>46338</v>
      </c>
      <c r="R558" s="5" t="s">
        <v>2262</v>
      </c>
      <c r="S558" s="5" t="s">
        <v>5456</v>
      </c>
      <c r="T558" s="7">
        <v>0.47299999999999998</v>
      </c>
      <c r="U558" s="7" t="s">
        <v>10</v>
      </c>
      <c r="V558" s="7">
        <f t="shared" si="97"/>
        <v>0.47299999999999998</v>
      </c>
      <c r="W558" s="5">
        <v>0.5</v>
      </c>
      <c r="X558" s="5" t="s">
        <v>55</v>
      </c>
      <c r="Y558" s="7" t="s">
        <v>56</v>
      </c>
      <c r="Z558" s="48" t="str">
        <f t="shared" si="98"/>
        <v>APROVADO</v>
      </c>
      <c r="AA558" s="5">
        <v>11542001</v>
      </c>
      <c r="AB558" s="5" t="s">
        <v>2872</v>
      </c>
      <c r="AC558" s="5" t="s">
        <v>48</v>
      </c>
      <c r="AD558" s="5" t="s">
        <v>5530</v>
      </c>
      <c r="AE558" s="5" t="str">
        <f t="shared" ca="1" si="101"/>
        <v>NO PRAZO</v>
      </c>
      <c r="AF558" s="51"/>
    </row>
    <row r="559" spans="1:32" ht="30" customHeight="1" x14ac:dyDescent="0.25">
      <c r="A559" s="5" t="s">
        <v>1471</v>
      </c>
      <c r="B559" s="5" t="s">
        <v>10</v>
      </c>
      <c r="C559" s="5" t="s">
        <v>5863</v>
      </c>
      <c r="D559" s="7" t="s">
        <v>151</v>
      </c>
      <c r="E559" s="7" t="s">
        <v>68</v>
      </c>
      <c r="F559" s="34" t="s">
        <v>69</v>
      </c>
      <c r="G559" s="7" t="s">
        <v>1460</v>
      </c>
      <c r="H559" s="7" t="s">
        <v>1451</v>
      </c>
      <c r="I559" s="7" t="s">
        <v>199</v>
      </c>
      <c r="J559" s="7" t="s">
        <v>1420</v>
      </c>
      <c r="K559" s="5" t="s">
        <v>10</v>
      </c>
      <c r="L559" s="5" t="s">
        <v>10</v>
      </c>
      <c r="M559" s="5" t="s">
        <v>10</v>
      </c>
      <c r="N559" s="5" t="s">
        <v>45</v>
      </c>
      <c r="O559" s="80" t="s">
        <v>56</v>
      </c>
      <c r="P559" s="101">
        <v>46154</v>
      </c>
      <c r="Q559" s="100">
        <f t="shared" si="100"/>
        <v>46338</v>
      </c>
      <c r="R559" s="5" t="s">
        <v>2263</v>
      </c>
      <c r="S559" s="5" t="s">
        <v>5457</v>
      </c>
      <c r="T559" s="7">
        <v>0.27100000000000002</v>
      </c>
      <c r="U559" s="7" t="s">
        <v>10</v>
      </c>
      <c r="V559" s="7">
        <f t="shared" si="97"/>
        <v>0.27100000000000002</v>
      </c>
      <c r="W559" s="5">
        <v>0.5</v>
      </c>
      <c r="X559" s="5" t="s">
        <v>55</v>
      </c>
      <c r="Y559" s="7" t="s">
        <v>56</v>
      </c>
      <c r="Z559" s="48" t="str">
        <f t="shared" si="98"/>
        <v>APROVADO</v>
      </c>
      <c r="AA559" s="5">
        <v>11604076</v>
      </c>
      <c r="AB559" s="5" t="s">
        <v>2873</v>
      </c>
      <c r="AC559" s="5" t="s">
        <v>48</v>
      </c>
      <c r="AD559" s="5" t="s">
        <v>5530</v>
      </c>
      <c r="AE559" s="5" t="str">
        <f t="shared" ca="1" si="101"/>
        <v>NO PRAZO</v>
      </c>
      <c r="AF559" s="51"/>
    </row>
    <row r="560" spans="1:32" ht="30" customHeight="1" x14ac:dyDescent="0.25">
      <c r="A560" s="5" t="s">
        <v>1537</v>
      </c>
      <c r="B560" s="5" t="s">
        <v>10</v>
      </c>
      <c r="C560" s="5" t="s">
        <v>5862</v>
      </c>
      <c r="D560" s="61" t="s">
        <v>348</v>
      </c>
      <c r="E560" s="7" t="s">
        <v>68</v>
      </c>
      <c r="F560" s="7" t="s">
        <v>69</v>
      </c>
      <c r="G560" s="7" t="s">
        <v>1460</v>
      </c>
      <c r="H560" s="7" t="s">
        <v>1431</v>
      </c>
      <c r="I560" s="145" t="s">
        <v>5680</v>
      </c>
      <c r="J560" s="7" t="s">
        <v>1420</v>
      </c>
      <c r="K560" s="5" t="s">
        <v>45</v>
      </c>
      <c r="L560" s="5" t="s">
        <v>10</v>
      </c>
      <c r="M560" s="5" t="s">
        <v>10</v>
      </c>
      <c r="N560" s="5" t="s">
        <v>10</v>
      </c>
      <c r="O560" s="46" t="s">
        <v>46</v>
      </c>
      <c r="P560" s="101">
        <v>46169</v>
      </c>
      <c r="Q560" s="100">
        <f t="shared" ref="Q560:Q570" si="102">IF(P560="","",P560+184)</f>
        <v>46353</v>
      </c>
      <c r="R560" s="5" t="s">
        <v>2397</v>
      </c>
      <c r="S560" s="5" t="s">
        <v>5601</v>
      </c>
      <c r="T560" s="7">
        <v>0.19</v>
      </c>
      <c r="U560" s="7" t="s">
        <v>10</v>
      </c>
      <c r="V560" s="7">
        <f t="shared" si="97"/>
        <v>0.19</v>
      </c>
      <c r="W560" s="5">
        <v>0.5</v>
      </c>
      <c r="X560" s="5" t="s">
        <v>55</v>
      </c>
      <c r="Y560" s="7" t="s">
        <v>56</v>
      </c>
      <c r="Z560" s="48" t="str">
        <f t="shared" si="98"/>
        <v>APROVADO</v>
      </c>
      <c r="AA560" s="5">
        <v>11541786</v>
      </c>
      <c r="AB560" s="5" t="s">
        <v>2916</v>
      </c>
      <c r="AC560" s="5" t="s">
        <v>48</v>
      </c>
      <c r="AD560" s="5" t="s">
        <v>5530</v>
      </c>
      <c r="AE560" s="5" t="str">
        <f t="shared" ca="1" si="101"/>
        <v>NO PRAZO</v>
      </c>
      <c r="AF560" s="51"/>
    </row>
    <row r="561" spans="1:32" ht="30" customHeight="1" x14ac:dyDescent="0.25">
      <c r="A561" s="5" t="s">
        <v>1538</v>
      </c>
      <c r="B561" s="5" t="s">
        <v>10</v>
      </c>
      <c r="C561" s="5" t="s">
        <v>5862</v>
      </c>
      <c r="D561" s="61" t="s">
        <v>348</v>
      </c>
      <c r="E561" s="7" t="s">
        <v>68</v>
      </c>
      <c r="F561" s="7" t="s">
        <v>69</v>
      </c>
      <c r="G561" s="7" t="s">
        <v>1460</v>
      </c>
      <c r="H561" s="7" t="s">
        <v>3053</v>
      </c>
      <c r="I561" s="7" t="s">
        <v>349</v>
      </c>
      <c r="J561" s="7" t="s">
        <v>1420</v>
      </c>
      <c r="K561" s="5" t="s">
        <v>45</v>
      </c>
      <c r="L561" s="5" t="s">
        <v>10</v>
      </c>
      <c r="M561" s="5" t="s">
        <v>10</v>
      </c>
      <c r="N561" s="5" t="s">
        <v>10</v>
      </c>
      <c r="O561" s="46" t="s">
        <v>46</v>
      </c>
      <c r="P561" s="101">
        <v>46154</v>
      </c>
      <c r="Q561" s="100">
        <f t="shared" si="102"/>
        <v>46338</v>
      </c>
      <c r="R561" s="5" t="s">
        <v>2398</v>
      </c>
      <c r="S561" s="5" t="s">
        <v>5681</v>
      </c>
      <c r="T561" s="7">
        <v>0.151</v>
      </c>
      <c r="U561" s="7" t="s">
        <v>10</v>
      </c>
      <c r="V561" s="7">
        <f t="shared" si="97"/>
        <v>0.151</v>
      </c>
      <c r="W561" s="5">
        <v>0.5</v>
      </c>
      <c r="X561" s="5" t="s">
        <v>55</v>
      </c>
      <c r="Y561" s="7" t="s">
        <v>56</v>
      </c>
      <c r="Z561" s="48" t="str">
        <f t="shared" si="98"/>
        <v>APROVADO</v>
      </c>
      <c r="AA561" s="5">
        <v>11541787</v>
      </c>
      <c r="AB561" s="5" t="s">
        <v>2917</v>
      </c>
      <c r="AC561" s="5" t="s">
        <v>48</v>
      </c>
      <c r="AD561" s="5" t="s">
        <v>5530</v>
      </c>
      <c r="AE561" s="5" t="str">
        <f t="shared" ca="1" si="101"/>
        <v>NO PRAZO</v>
      </c>
      <c r="AF561" s="51"/>
    </row>
    <row r="562" spans="1:32" ht="30" customHeight="1" x14ac:dyDescent="0.25">
      <c r="A562" s="5" t="s">
        <v>1539</v>
      </c>
      <c r="B562" s="5" t="s">
        <v>10</v>
      </c>
      <c r="C562" s="5" t="s">
        <v>5863</v>
      </c>
      <c r="D562" s="61" t="s">
        <v>348</v>
      </c>
      <c r="E562" s="7" t="s">
        <v>68</v>
      </c>
      <c r="F562" s="7" t="s">
        <v>69</v>
      </c>
      <c r="G562" s="7" t="s">
        <v>1460</v>
      </c>
      <c r="H562" s="7" t="s">
        <v>1434</v>
      </c>
      <c r="I562" s="7" t="s">
        <v>349</v>
      </c>
      <c r="J562" s="7" t="s">
        <v>1420</v>
      </c>
      <c r="K562" s="5" t="s">
        <v>10</v>
      </c>
      <c r="L562" s="5" t="s">
        <v>45</v>
      </c>
      <c r="M562" s="5" t="s">
        <v>10</v>
      </c>
      <c r="N562" s="5" t="s">
        <v>10</v>
      </c>
      <c r="O562" s="46" t="s">
        <v>46</v>
      </c>
      <c r="P562" s="101">
        <v>46154</v>
      </c>
      <c r="Q562" s="100">
        <f t="shared" si="102"/>
        <v>46338</v>
      </c>
      <c r="R562" s="5" t="s">
        <v>2266</v>
      </c>
      <c r="S562" s="5" t="s">
        <v>5439</v>
      </c>
      <c r="T562" s="7">
        <v>0.19</v>
      </c>
      <c r="U562" s="7" t="s">
        <v>10</v>
      </c>
      <c r="V562" s="7">
        <f t="shared" si="97"/>
        <v>0.19</v>
      </c>
      <c r="W562" s="5">
        <v>0.5</v>
      </c>
      <c r="X562" s="5" t="s">
        <v>55</v>
      </c>
      <c r="Y562" s="7" t="s">
        <v>56</v>
      </c>
      <c r="Z562" s="48" t="str">
        <f t="shared" si="98"/>
        <v>APROVADO</v>
      </c>
      <c r="AA562" s="5">
        <v>11540631</v>
      </c>
      <c r="AB562" s="5" t="s">
        <v>2879</v>
      </c>
      <c r="AC562" s="5" t="s">
        <v>48</v>
      </c>
      <c r="AD562" s="5" t="s">
        <v>5530</v>
      </c>
      <c r="AE562" s="5" t="str">
        <f t="shared" ca="1" si="101"/>
        <v>NO PRAZO</v>
      </c>
      <c r="AF562" s="51"/>
    </row>
    <row r="563" spans="1:32" ht="30" customHeight="1" x14ac:dyDescent="0.25">
      <c r="A563" s="5" t="s">
        <v>1540</v>
      </c>
      <c r="B563" s="5" t="s">
        <v>10</v>
      </c>
      <c r="C563" s="5" t="s">
        <v>5863</v>
      </c>
      <c r="D563" s="61" t="s">
        <v>348</v>
      </c>
      <c r="E563" s="7" t="s">
        <v>68</v>
      </c>
      <c r="F563" s="7" t="s">
        <v>69</v>
      </c>
      <c r="G563" s="7" t="s">
        <v>1460</v>
      </c>
      <c r="H563" s="7" t="s">
        <v>1436</v>
      </c>
      <c r="I563" s="7" t="s">
        <v>349</v>
      </c>
      <c r="J563" s="7" t="s">
        <v>1420</v>
      </c>
      <c r="K563" s="5" t="s">
        <v>10</v>
      </c>
      <c r="L563" s="5" t="s">
        <v>45</v>
      </c>
      <c r="M563" s="5" t="s">
        <v>10</v>
      </c>
      <c r="N563" s="5" t="s">
        <v>10</v>
      </c>
      <c r="O563" s="46" t="s">
        <v>46</v>
      </c>
      <c r="P563" s="101">
        <v>46154</v>
      </c>
      <c r="Q563" s="100">
        <f t="shared" si="102"/>
        <v>46338</v>
      </c>
      <c r="R563" s="5" t="s">
        <v>2267</v>
      </c>
      <c r="S563" s="5" t="s">
        <v>5440</v>
      </c>
      <c r="T563" s="7">
        <v>0.17</v>
      </c>
      <c r="U563" s="7" t="s">
        <v>10</v>
      </c>
      <c r="V563" s="7">
        <f t="shared" si="97"/>
        <v>0.17</v>
      </c>
      <c r="W563" s="5">
        <v>0.5</v>
      </c>
      <c r="X563" s="5" t="s">
        <v>55</v>
      </c>
      <c r="Y563" s="7" t="s">
        <v>56</v>
      </c>
      <c r="Z563" s="48" t="str">
        <f t="shared" si="98"/>
        <v>APROVADO</v>
      </c>
      <c r="AA563" s="5">
        <v>11541788</v>
      </c>
      <c r="AB563" s="5" t="s">
        <v>2880</v>
      </c>
      <c r="AC563" s="5" t="s">
        <v>48</v>
      </c>
      <c r="AD563" s="5" t="s">
        <v>5530</v>
      </c>
      <c r="AE563" s="5" t="str">
        <f t="shared" ca="1" si="101"/>
        <v>NO PRAZO</v>
      </c>
      <c r="AF563" s="51"/>
    </row>
    <row r="564" spans="1:32" ht="30" customHeight="1" x14ac:dyDescent="0.25">
      <c r="A564" s="5" t="s">
        <v>1541</v>
      </c>
      <c r="B564" s="5" t="s">
        <v>10</v>
      </c>
      <c r="C564" s="5" t="s">
        <v>5863</v>
      </c>
      <c r="D564" s="61" t="s">
        <v>348</v>
      </c>
      <c r="E564" s="7" t="s">
        <v>68</v>
      </c>
      <c r="F564" s="7" t="s">
        <v>69</v>
      </c>
      <c r="G564" s="7" t="s">
        <v>1460</v>
      </c>
      <c r="H564" s="7" t="s">
        <v>1438</v>
      </c>
      <c r="I564" s="7" t="s">
        <v>349</v>
      </c>
      <c r="J564" s="7" t="s">
        <v>1420</v>
      </c>
      <c r="K564" s="5" t="s">
        <v>10</v>
      </c>
      <c r="L564" s="5" t="s">
        <v>45</v>
      </c>
      <c r="M564" s="5" t="s">
        <v>10</v>
      </c>
      <c r="N564" s="5" t="s">
        <v>10</v>
      </c>
      <c r="O564" s="46" t="s">
        <v>46</v>
      </c>
      <c r="P564" s="101">
        <v>46154</v>
      </c>
      <c r="Q564" s="100">
        <f t="shared" si="102"/>
        <v>46338</v>
      </c>
      <c r="R564" s="5" t="s">
        <v>2268</v>
      </c>
      <c r="S564" s="5" t="s">
        <v>5441</v>
      </c>
      <c r="T564" s="7">
        <v>0.17100000000000001</v>
      </c>
      <c r="U564" s="7" t="s">
        <v>10</v>
      </c>
      <c r="V564" s="7">
        <f t="shared" si="97"/>
        <v>0.17100000000000001</v>
      </c>
      <c r="W564" s="5">
        <v>0.5</v>
      </c>
      <c r="X564" s="5" t="s">
        <v>55</v>
      </c>
      <c r="Y564" s="7" t="s">
        <v>56</v>
      </c>
      <c r="Z564" s="48" t="str">
        <f t="shared" si="98"/>
        <v>APROVADO</v>
      </c>
      <c r="AA564" s="5">
        <v>11541789</v>
      </c>
      <c r="AB564" s="5" t="s">
        <v>2881</v>
      </c>
      <c r="AC564" s="5" t="s">
        <v>48</v>
      </c>
      <c r="AD564" s="5" t="s">
        <v>5530</v>
      </c>
      <c r="AE564" s="5" t="str">
        <f t="shared" ca="1" si="101"/>
        <v>NO PRAZO</v>
      </c>
      <c r="AF564" s="51"/>
    </row>
    <row r="565" spans="1:32" ht="30" customHeight="1" x14ac:dyDescent="0.25">
      <c r="A565" s="5" t="s">
        <v>1542</v>
      </c>
      <c r="B565" s="5" t="s">
        <v>10</v>
      </c>
      <c r="C565" s="5" t="s">
        <v>5863</v>
      </c>
      <c r="D565" s="61" t="s">
        <v>348</v>
      </c>
      <c r="E565" s="7" t="s">
        <v>68</v>
      </c>
      <c r="F565" s="7" t="s">
        <v>69</v>
      </c>
      <c r="G565" s="7" t="s">
        <v>1460</v>
      </c>
      <c r="H565" s="7" t="s">
        <v>1440</v>
      </c>
      <c r="I565" s="7" t="s">
        <v>349</v>
      </c>
      <c r="J565" s="7" t="s">
        <v>1420</v>
      </c>
      <c r="K565" s="5" t="s">
        <v>10</v>
      </c>
      <c r="L565" s="5" t="s">
        <v>45</v>
      </c>
      <c r="M565" s="5" t="s">
        <v>10</v>
      </c>
      <c r="N565" s="5" t="s">
        <v>10</v>
      </c>
      <c r="O565" s="46" t="s">
        <v>46</v>
      </c>
      <c r="P565" s="101">
        <v>46154</v>
      </c>
      <c r="Q565" s="100">
        <f t="shared" si="102"/>
        <v>46338</v>
      </c>
      <c r="R565" s="5" t="s">
        <v>2269</v>
      </c>
      <c r="S565" s="5" t="s">
        <v>5442</v>
      </c>
      <c r="T565" s="7">
        <v>0.17499999999999999</v>
      </c>
      <c r="U565" s="7" t="s">
        <v>10</v>
      </c>
      <c r="V565" s="7">
        <f t="shared" si="97"/>
        <v>0.17499999999999999</v>
      </c>
      <c r="W565" s="5">
        <v>0.5</v>
      </c>
      <c r="X565" s="5" t="s">
        <v>55</v>
      </c>
      <c r="Y565" s="7" t="s">
        <v>56</v>
      </c>
      <c r="Z565" s="48" t="str">
        <f t="shared" si="98"/>
        <v>APROVADO</v>
      </c>
      <c r="AA565" s="5">
        <v>11541790</v>
      </c>
      <c r="AB565" s="5" t="s">
        <v>4158</v>
      </c>
      <c r="AC565" s="5" t="s">
        <v>48</v>
      </c>
      <c r="AD565" s="5" t="s">
        <v>5530</v>
      </c>
      <c r="AE565" s="5" t="str">
        <f t="shared" ca="1" si="101"/>
        <v>NO PRAZO</v>
      </c>
      <c r="AF565" s="51"/>
    </row>
    <row r="566" spans="1:32" ht="30" customHeight="1" x14ac:dyDescent="0.25">
      <c r="A566" s="5" t="s">
        <v>1543</v>
      </c>
      <c r="B566" s="5" t="s">
        <v>10</v>
      </c>
      <c r="C566" s="5" t="s">
        <v>5862</v>
      </c>
      <c r="D566" s="61" t="s">
        <v>348</v>
      </c>
      <c r="E566" s="7" t="s">
        <v>68</v>
      </c>
      <c r="F566" s="7" t="s">
        <v>69</v>
      </c>
      <c r="G566" s="7" t="s">
        <v>1460</v>
      </c>
      <c r="H566" s="7" t="s">
        <v>5799</v>
      </c>
      <c r="I566" s="7" t="s">
        <v>349</v>
      </c>
      <c r="J566" s="7" t="s">
        <v>1443</v>
      </c>
      <c r="K566" s="5" t="s">
        <v>45</v>
      </c>
      <c r="L566" s="5" t="s">
        <v>10</v>
      </c>
      <c r="M566" s="5" t="s">
        <v>10</v>
      </c>
      <c r="N566" s="5" t="s">
        <v>10</v>
      </c>
      <c r="O566" s="46" t="s">
        <v>46</v>
      </c>
      <c r="P566" s="101">
        <v>46154</v>
      </c>
      <c r="Q566" s="100">
        <f t="shared" si="102"/>
        <v>46338</v>
      </c>
      <c r="R566" s="7" t="s">
        <v>2399</v>
      </c>
      <c r="S566" s="7" t="s">
        <v>5682</v>
      </c>
      <c r="T566" s="7">
        <v>0.151</v>
      </c>
      <c r="U566" s="7" t="s">
        <v>10</v>
      </c>
      <c r="V566" s="7">
        <f t="shared" si="97"/>
        <v>0.151</v>
      </c>
      <c r="W566" s="5">
        <v>0.5</v>
      </c>
      <c r="X566" s="5" t="s">
        <v>55</v>
      </c>
      <c r="Y566" s="7" t="s">
        <v>56</v>
      </c>
      <c r="Z566" s="48" t="str">
        <f t="shared" si="98"/>
        <v>APROVADO</v>
      </c>
      <c r="AA566" s="5">
        <v>11604077</v>
      </c>
      <c r="AB566" s="5" t="s">
        <v>2918</v>
      </c>
      <c r="AC566" s="5" t="s">
        <v>48</v>
      </c>
      <c r="AD566" s="5" t="s">
        <v>5530</v>
      </c>
      <c r="AE566" s="5" t="str">
        <f t="shared" ca="1" si="101"/>
        <v>NO PRAZO</v>
      </c>
      <c r="AF566" s="51"/>
    </row>
    <row r="567" spans="1:32" ht="30" customHeight="1" x14ac:dyDescent="0.25">
      <c r="A567" s="5" t="s">
        <v>1544</v>
      </c>
      <c r="B567" s="5" t="s">
        <v>10</v>
      </c>
      <c r="C567" s="5" t="s">
        <v>5863</v>
      </c>
      <c r="D567" s="61" t="s">
        <v>348</v>
      </c>
      <c r="E567" s="7" t="s">
        <v>68</v>
      </c>
      <c r="F567" s="7" t="s">
        <v>69</v>
      </c>
      <c r="G567" s="7" t="s">
        <v>1460</v>
      </c>
      <c r="H567" s="7" t="s">
        <v>1445</v>
      </c>
      <c r="I567" s="7" t="s">
        <v>349</v>
      </c>
      <c r="J567" s="7" t="s">
        <v>1420</v>
      </c>
      <c r="K567" s="5" t="s">
        <v>10</v>
      </c>
      <c r="L567" s="5" t="s">
        <v>45</v>
      </c>
      <c r="M567" s="5" t="s">
        <v>10</v>
      </c>
      <c r="N567" s="5" t="s">
        <v>10</v>
      </c>
      <c r="O567" s="46" t="s">
        <v>46</v>
      </c>
      <c r="P567" s="101">
        <v>46154</v>
      </c>
      <c r="Q567" s="100">
        <f t="shared" si="102"/>
        <v>46338</v>
      </c>
      <c r="R567" s="5" t="s">
        <v>2408</v>
      </c>
      <c r="S567" s="5" t="s">
        <v>5443</v>
      </c>
      <c r="T567" s="7">
        <v>7.0999999999999994E-2</v>
      </c>
      <c r="U567" s="7" t="s">
        <v>10</v>
      </c>
      <c r="V567" s="7">
        <f t="shared" si="97"/>
        <v>7.0999999999999994E-2</v>
      </c>
      <c r="W567" s="5">
        <v>0.5</v>
      </c>
      <c r="X567" s="5" t="s">
        <v>55</v>
      </c>
      <c r="Y567" s="7" t="s">
        <v>56</v>
      </c>
      <c r="Z567" s="48" t="str">
        <f t="shared" si="98"/>
        <v>APROVADO</v>
      </c>
      <c r="AA567" s="5">
        <v>11604078</v>
      </c>
      <c r="AB567" s="5" t="s">
        <v>2882</v>
      </c>
      <c r="AC567" s="5" t="s">
        <v>48</v>
      </c>
      <c r="AD567" s="5" t="s">
        <v>5530</v>
      </c>
      <c r="AE567" s="5" t="str">
        <f t="shared" ca="1" si="101"/>
        <v>NO PRAZO</v>
      </c>
      <c r="AF567" s="51"/>
    </row>
    <row r="568" spans="1:32" ht="30" customHeight="1" x14ac:dyDescent="0.25">
      <c r="A568" s="5" t="s">
        <v>1545</v>
      </c>
      <c r="B568" s="5" t="s">
        <v>10</v>
      </c>
      <c r="C568" s="5" t="s">
        <v>5863</v>
      </c>
      <c r="D568" s="61" t="s">
        <v>348</v>
      </c>
      <c r="E568" s="7" t="s">
        <v>68</v>
      </c>
      <c r="F568" s="7" t="s">
        <v>69</v>
      </c>
      <c r="G568" s="7" t="s">
        <v>1460</v>
      </c>
      <c r="H568" s="7" t="s">
        <v>1447</v>
      </c>
      <c r="I568" s="7" t="s">
        <v>349</v>
      </c>
      <c r="J568" s="7" t="s">
        <v>1420</v>
      </c>
      <c r="K568" s="5" t="s">
        <v>10</v>
      </c>
      <c r="L568" s="5" t="s">
        <v>45</v>
      </c>
      <c r="M568" s="5" t="s">
        <v>10</v>
      </c>
      <c r="N568" s="5" t="s">
        <v>10</v>
      </c>
      <c r="O568" s="46" t="s">
        <v>46</v>
      </c>
      <c r="P568" s="101">
        <v>46154</v>
      </c>
      <c r="Q568" s="100">
        <f t="shared" si="102"/>
        <v>46338</v>
      </c>
      <c r="R568" s="5" t="s">
        <v>2409</v>
      </c>
      <c r="S568" s="5" t="s">
        <v>5444</v>
      </c>
      <c r="T568" s="7">
        <v>0.17100000000000001</v>
      </c>
      <c r="U568" s="7" t="s">
        <v>10</v>
      </c>
      <c r="V568" s="7">
        <f t="shared" si="97"/>
        <v>0.17100000000000001</v>
      </c>
      <c r="W568" s="5">
        <v>0.5</v>
      </c>
      <c r="X568" s="5" t="s">
        <v>55</v>
      </c>
      <c r="Y568" s="7" t="s">
        <v>56</v>
      </c>
      <c r="Z568" s="48" t="str">
        <f t="shared" si="98"/>
        <v>APROVADO</v>
      </c>
      <c r="AA568" s="5">
        <v>11604079</v>
      </c>
      <c r="AB568" s="5" t="s">
        <v>2883</v>
      </c>
      <c r="AC568" s="5" t="s">
        <v>48</v>
      </c>
      <c r="AD568" s="5" t="s">
        <v>5530</v>
      </c>
      <c r="AE568" s="5" t="str">
        <f t="shared" ca="1" si="101"/>
        <v>NO PRAZO</v>
      </c>
      <c r="AF568" s="51"/>
    </row>
    <row r="569" spans="1:32" ht="30" customHeight="1" x14ac:dyDescent="0.25">
      <c r="A569" s="5" t="s">
        <v>1546</v>
      </c>
      <c r="B569" s="5" t="s">
        <v>10</v>
      </c>
      <c r="C569" s="5" t="s">
        <v>5863</v>
      </c>
      <c r="D569" s="61" t="s">
        <v>348</v>
      </c>
      <c r="E569" s="7" t="s">
        <v>68</v>
      </c>
      <c r="F569" s="7" t="s">
        <v>69</v>
      </c>
      <c r="G569" s="7" t="s">
        <v>1460</v>
      </c>
      <c r="H569" s="7" t="s">
        <v>1449</v>
      </c>
      <c r="I569" s="7" t="s">
        <v>349</v>
      </c>
      <c r="J569" s="7" t="s">
        <v>1420</v>
      </c>
      <c r="K569" s="5" t="s">
        <v>10</v>
      </c>
      <c r="L569" s="5" t="s">
        <v>45</v>
      </c>
      <c r="M569" s="5" t="s">
        <v>10</v>
      </c>
      <c r="N569" s="5" t="s">
        <v>10</v>
      </c>
      <c r="O569" s="46" t="s">
        <v>46</v>
      </c>
      <c r="P569" s="101">
        <v>46154</v>
      </c>
      <c r="Q569" s="100">
        <f t="shared" si="102"/>
        <v>46338</v>
      </c>
      <c r="R569" s="5" t="s">
        <v>2410</v>
      </c>
      <c r="S569" s="5" t="s">
        <v>5445</v>
      </c>
      <c r="T569" s="7">
        <v>0.17100000000000001</v>
      </c>
      <c r="U569" s="7" t="s">
        <v>10</v>
      </c>
      <c r="V569" s="7">
        <f t="shared" si="97"/>
        <v>0.17100000000000001</v>
      </c>
      <c r="W569" s="5">
        <v>0.5</v>
      </c>
      <c r="X569" s="5" t="s">
        <v>55</v>
      </c>
      <c r="Y569" s="7" t="s">
        <v>56</v>
      </c>
      <c r="Z569" s="48" t="str">
        <f t="shared" si="98"/>
        <v>APROVADO</v>
      </c>
      <c r="AA569" s="5">
        <v>11540629</v>
      </c>
      <c r="AB569" s="5" t="s">
        <v>2884</v>
      </c>
      <c r="AC569" s="5" t="s">
        <v>48</v>
      </c>
      <c r="AD569" s="5" t="s">
        <v>5530</v>
      </c>
      <c r="AE569" s="5" t="str">
        <f t="shared" ca="1" si="101"/>
        <v>NO PRAZO</v>
      </c>
      <c r="AF569" s="51"/>
    </row>
    <row r="570" spans="1:32" ht="30" customHeight="1" x14ac:dyDescent="0.25">
      <c r="A570" s="5" t="s">
        <v>1547</v>
      </c>
      <c r="B570" s="5" t="s">
        <v>10</v>
      </c>
      <c r="C570" s="5" t="s">
        <v>5863</v>
      </c>
      <c r="D570" s="61" t="s">
        <v>348</v>
      </c>
      <c r="E570" s="7" t="s">
        <v>68</v>
      </c>
      <c r="F570" s="7" t="s">
        <v>69</v>
      </c>
      <c r="G570" s="7" t="s">
        <v>1460</v>
      </c>
      <c r="H570" s="7" t="s">
        <v>1451</v>
      </c>
      <c r="I570" s="7" t="s">
        <v>349</v>
      </c>
      <c r="J570" s="7" t="s">
        <v>1420</v>
      </c>
      <c r="K570" s="5" t="s">
        <v>10</v>
      </c>
      <c r="L570" s="5" t="s">
        <v>45</v>
      </c>
      <c r="M570" s="5" t="s">
        <v>10</v>
      </c>
      <c r="N570" s="5" t="s">
        <v>10</v>
      </c>
      <c r="O570" s="46" t="s">
        <v>46</v>
      </c>
      <c r="P570" s="101">
        <v>46154</v>
      </c>
      <c r="Q570" s="100">
        <f t="shared" si="102"/>
        <v>46338</v>
      </c>
      <c r="R570" s="5" t="s">
        <v>2411</v>
      </c>
      <c r="S570" s="5" t="s">
        <v>5446</v>
      </c>
      <c r="T570" s="7">
        <v>0.17100000000000001</v>
      </c>
      <c r="U570" s="7" t="s">
        <v>10</v>
      </c>
      <c r="V570" s="7">
        <f t="shared" si="97"/>
        <v>0.17100000000000001</v>
      </c>
      <c r="W570" s="5">
        <v>0.5</v>
      </c>
      <c r="X570" s="5" t="s">
        <v>55</v>
      </c>
      <c r="Y570" s="7" t="s">
        <v>56</v>
      </c>
      <c r="Z570" s="48" t="str">
        <f t="shared" si="98"/>
        <v>APROVADO</v>
      </c>
      <c r="AA570" s="5">
        <v>11540630</v>
      </c>
      <c r="AB570" s="5" t="s">
        <v>2885</v>
      </c>
      <c r="AC570" s="5" t="s">
        <v>48</v>
      </c>
      <c r="AD570" s="5" t="s">
        <v>5530</v>
      </c>
      <c r="AE570" s="5" t="str">
        <f t="shared" ca="1" si="101"/>
        <v>NO PRAZO</v>
      </c>
      <c r="AF570" s="51"/>
    </row>
    <row r="571" spans="1:32" ht="30" customHeight="1" x14ac:dyDescent="0.25"/>
    <row r="572" spans="1:32" ht="30" customHeight="1" x14ac:dyDescent="0.25"/>
    <row r="573" spans="1:32" ht="30" customHeight="1" x14ac:dyDescent="0.25"/>
    <row r="574" spans="1:32" ht="30" customHeight="1" x14ac:dyDescent="0.25"/>
    <row r="575" spans="1:32" ht="30" customHeight="1" x14ac:dyDescent="0.25"/>
    <row r="576" spans="1:32" ht="30" customHeight="1" x14ac:dyDescent="0.25">
      <c r="B576" s="20"/>
      <c r="U576" s="20" t="s">
        <v>5602</v>
      </c>
    </row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</sheetData>
  <sheetProtection selectLockedCells="1" autoFilter="0" selectUnlockedCells="1"/>
  <autoFilter ref="A9:AF570" xr:uid="{00000000-0001-0000-0000-000000000000}"/>
  <mergeCells count="9">
    <mergeCell ref="A1:B3"/>
    <mergeCell ref="D7:AF7"/>
    <mergeCell ref="AE1:AE3"/>
    <mergeCell ref="AF1:AF3"/>
    <mergeCell ref="E1:AC3"/>
    <mergeCell ref="E4:AF4"/>
    <mergeCell ref="E6:AF6"/>
    <mergeCell ref="C4:D4"/>
    <mergeCell ref="C6:D6"/>
  </mergeCells>
  <phoneticPr fontId="15" type="noConversion"/>
  <conditionalFormatting sqref="A268:A272 D268:D272 G268:H272 G277:H277 G278:I278 G279:H283 G284:I285 D285 G286:H286 I325 G325:H326 H327:H341 H343:H351 A419:A436 G420:I420 D421:D436 G421:H436 G480:I480 G482:I482 G484:I484 G486:I487 G495:I495 G497:I497 G499:I499 D501 G501:I501 G503:I503 G505:I505 G511:I511 G567:I570 A277:A330 G287:I324 D289:D326">
    <cfRule type="expression" dxfId="5378" priority="7016">
      <formula>$H268="PROX. VENCIMENTO (2 MESES)"</formula>
    </cfRule>
    <cfRule type="expression" dxfId="5377" priority="7017">
      <formula>$H268="CALIBRAÇÃO VENCIDA"</formula>
    </cfRule>
    <cfRule type="expression" dxfId="5376" priority="7018">
      <formula>$H268="PROX. VENCIMENTO"</formula>
    </cfRule>
    <cfRule type="expression" dxfId="5375" priority="7019">
      <formula>$H268="CALIBRADO"</formula>
    </cfRule>
    <cfRule type="expression" dxfId="5374" priority="7020">
      <formula>$H268="DANIFICADO"</formula>
    </cfRule>
    <cfRule type="expression" dxfId="5373" priority="7021">
      <formula>$H268="VENCIDO"</formula>
    </cfRule>
    <cfRule type="expression" dxfId="5372" priority="7022">
      <formula>$H268="NO PRAZO"</formula>
    </cfRule>
    <cfRule type="expression" dxfId="5371" priority="7023">
      <formula>$H268="CALIBRAR"</formula>
    </cfRule>
    <cfRule type="expression" dxfId="5370" priority="7024">
      <formula>$H268="SEM CALIBRAÇÃO"</formula>
    </cfRule>
  </conditionalFormatting>
  <conditionalFormatting sqref="A268:A272">
    <cfRule type="duplicateValues" dxfId="5369" priority="65986"/>
    <cfRule type="duplicateValues" dxfId="5368" priority="65987"/>
  </conditionalFormatting>
  <conditionalFormatting sqref="A273:A276 B129:B132 B240 A10:A159 A172:A267 B135:B138">
    <cfRule type="duplicateValues" dxfId="5367" priority="58072"/>
  </conditionalFormatting>
  <conditionalFormatting sqref="A277:A288">
    <cfRule type="duplicateValues" dxfId="5366" priority="74155"/>
  </conditionalFormatting>
  <conditionalFormatting sqref="A327:A330">
    <cfRule type="duplicateValues" dxfId="5365" priority="47761"/>
    <cfRule type="duplicateValues" dxfId="5364" priority="47762"/>
  </conditionalFormatting>
  <conditionalFormatting sqref="A331:A351">
    <cfRule type="duplicateValues" dxfId="5363" priority="63205"/>
    <cfRule type="duplicateValues" dxfId="5362" priority="63206"/>
    <cfRule type="duplicateValues" dxfId="5361" priority="63207"/>
    <cfRule type="duplicateValues" dxfId="5360" priority="63208"/>
  </conditionalFormatting>
  <conditionalFormatting sqref="A352:A376 B375">
    <cfRule type="duplicateValues" dxfId="5359" priority="63564"/>
  </conditionalFormatting>
  <conditionalFormatting sqref="A377:A395 B377:B382">
    <cfRule type="duplicateValues" dxfId="5358" priority="58015"/>
    <cfRule type="duplicateValues" dxfId="5357" priority="58016"/>
    <cfRule type="duplicateValues" dxfId="5356" priority="58017"/>
    <cfRule type="duplicateValues" dxfId="5355" priority="58018"/>
    <cfRule type="duplicateValues" dxfId="5354" priority="58019"/>
  </conditionalFormatting>
  <conditionalFormatting sqref="A396:A407 A409:A420">
    <cfRule type="duplicateValues" dxfId="5353" priority="63927"/>
  </conditionalFormatting>
  <conditionalFormatting sqref="A396:A407 A409:A436 B129:B132 B240 A10:A159 B375 A172:A376 B135:B138">
    <cfRule type="duplicateValues" dxfId="5352" priority="63930"/>
  </conditionalFormatting>
  <conditionalFormatting sqref="A396:A407 A409:A436">
    <cfRule type="duplicateValues" dxfId="5351" priority="63938"/>
    <cfRule type="duplicateValues" dxfId="5350" priority="63939"/>
    <cfRule type="duplicateValues" dxfId="5349" priority="63940"/>
    <cfRule type="duplicateValues" dxfId="5348" priority="63941"/>
  </conditionalFormatting>
  <conditionalFormatting sqref="A409:A436 B129:B132 B240 A10:A159 B375 B377:B382 A172:A407 B135:B138">
    <cfRule type="duplicateValues" dxfId="5347" priority="63950"/>
  </conditionalFormatting>
  <conditionalFormatting sqref="A421:A436">
    <cfRule type="duplicateValues" dxfId="5346" priority="58637"/>
  </conditionalFormatting>
  <conditionalFormatting sqref="A437">
    <cfRule type="duplicateValues" dxfId="5345" priority="45922"/>
  </conditionalFormatting>
  <conditionalFormatting sqref="A438:A446">
    <cfRule type="duplicateValues" dxfId="5344" priority="59206"/>
  </conditionalFormatting>
  <conditionalFormatting sqref="A447:A448">
    <cfRule type="duplicateValues" dxfId="5343" priority="5454"/>
    <cfRule type="duplicateValues" dxfId="5342" priority="5455"/>
    <cfRule type="duplicateValues" dxfId="5341" priority="5456"/>
    <cfRule type="duplicateValues" dxfId="5340" priority="5457"/>
    <cfRule type="duplicateValues" dxfId="5339" priority="5458"/>
    <cfRule type="duplicateValues" dxfId="5338" priority="5459"/>
  </conditionalFormatting>
  <conditionalFormatting sqref="A471:A478">
    <cfRule type="expression" dxfId="5337" priority="4219">
      <formula>COUNTIF(A:A,A471) &gt; 1</formula>
    </cfRule>
  </conditionalFormatting>
  <conditionalFormatting sqref="A479:A521 B511">
    <cfRule type="duplicateValues" dxfId="5336" priority="57106"/>
  </conditionalFormatting>
  <conditionalFormatting sqref="A479:A523 B511">
    <cfRule type="duplicateValues" dxfId="5335" priority="57107"/>
  </conditionalFormatting>
  <conditionalFormatting sqref="A479:A535 B525:B526 B511">
    <cfRule type="duplicateValues" dxfId="5334" priority="68632"/>
    <cfRule type="duplicateValues" dxfId="5333" priority="68633"/>
    <cfRule type="duplicateValues" dxfId="5332" priority="68634"/>
    <cfRule type="duplicateValues" dxfId="5331" priority="68635"/>
    <cfRule type="duplicateValues" dxfId="5330" priority="68636"/>
  </conditionalFormatting>
  <conditionalFormatting sqref="A480">
    <cfRule type="expression" dxfId="5329" priority="4021">
      <formula>$H480="PROX. VENCIMENTO (2 MESES)"</formula>
    </cfRule>
    <cfRule type="expression" dxfId="5328" priority="4022">
      <formula>$H480="CALIBRAÇÃO VENCIDA"</formula>
    </cfRule>
    <cfRule type="expression" dxfId="5327" priority="4023">
      <formula>$H480="PROX. VENCIMENTO"</formula>
    </cfRule>
    <cfRule type="expression" dxfId="5326" priority="4024">
      <formula>$H480="CALIBRADO"</formula>
    </cfRule>
    <cfRule type="expression" dxfId="5325" priority="4025">
      <formula>$H480="DANIFICADO"</formula>
    </cfRule>
    <cfRule type="expression" dxfId="5324" priority="4026">
      <formula>$H480="VENCIDO"</formula>
    </cfRule>
    <cfRule type="expression" dxfId="5323" priority="4027">
      <formula>$H480="NO PRAZO"</formula>
    </cfRule>
    <cfRule type="expression" dxfId="5322" priority="4028">
      <formula>$H480="CALIBRAR"</formula>
    </cfRule>
    <cfRule type="expression" dxfId="5321" priority="4029">
      <formula>$H480="SEM CALIBRAÇÃO"</formula>
    </cfRule>
  </conditionalFormatting>
  <conditionalFormatting sqref="A482">
    <cfRule type="expression" dxfId="5320" priority="4008">
      <formula>$H482="PROX. VENCIMENTO (2 MESES)"</formula>
    </cfRule>
    <cfRule type="expression" dxfId="5319" priority="4009">
      <formula>$H482="CALIBRAÇÃO VENCIDA"</formula>
    </cfRule>
    <cfRule type="expression" dxfId="5318" priority="4010">
      <formula>$H482="PROX. VENCIMENTO"</formula>
    </cfRule>
    <cfRule type="expression" dxfId="5317" priority="4011">
      <formula>$H482="CALIBRADO"</formula>
    </cfRule>
    <cfRule type="expression" dxfId="5316" priority="4012">
      <formula>$H482="DANIFICADO"</formula>
    </cfRule>
    <cfRule type="expression" dxfId="5315" priority="4013">
      <formula>$H482="VENCIDO"</formula>
    </cfRule>
    <cfRule type="expression" dxfId="5314" priority="4014">
      <formula>$H482="NO PRAZO"</formula>
    </cfRule>
    <cfRule type="expression" dxfId="5313" priority="4015">
      <formula>$H482="CALIBRAR"</formula>
    </cfRule>
    <cfRule type="expression" dxfId="5312" priority="4016">
      <formula>$H482="SEM CALIBRAÇÃO"</formula>
    </cfRule>
  </conditionalFormatting>
  <conditionalFormatting sqref="A484">
    <cfRule type="expression" dxfId="5311" priority="3995">
      <formula>$H484="PROX. VENCIMENTO (2 MESES)"</formula>
    </cfRule>
    <cfRule type="expression" dxfId="5310" priority="3996">
      <formula>$H484="CALIBRAÇÃO VENCIDA"</formula>
    </cfRule>
    <cfRule type="expression" dxfId="5309" priority="3997">
      <formula>$H484="PROX. VENCIMENTO"</formula>
    </cfRule>
    <cfRule type="expression" dxfId="5308" priority="3998">
      <formula>$H484="CALIBRADO"</formula>
    </cfRule>
    <cfRule type="expression" dxfId="5307" priority="3999">
      <formula>$H484="DANIFICADO"</formula>
    </cfRule>
    <cfRule type="expression" dxfId="5306" priority="4000">
      <formula>$H484="VENCIDO"</formula>
    </cfRule>
    <cfRule type="expression" dxfId="5305" priority="4001">
      <formula>$H484="NO PRAZO"</formula>
    </cfRule>
    <cfRule type="expression" dxfId="5304" priority="4002">
      <formula>$H484="CALIBRAR"</formula>
    </cfRule>
    <cfRule type="expression" dxfId="5303" priority="4003">
      <formula>$H484="SEM CALIBRAÇÃO"</formula>
    </cfRule>
  </conditionalFormatting>
  <conditionalFormatting sqref="A486:A487">
    <cfRule type="expression" dxfId="5302" priority="3982">
      <formula>$H486="PROX. VENCIMENTO (2 MESES)"</formula>
    </cfRule>
    <cfRule type="expression" dxfId="5301" priority="3983">
      <formula>$H486="CALIBRAÇÃO VENCIDA"</formula>
    </cfRule>
    <cfRule type="expression" dxfId="5300" priority="3984">
      <formula>$H486="PROX. VENCIMENTO"</formula>
    </cfRule>
    <cfRule type="expression" dxfId="5299" priority="3985">
      <formula>$H486="CALIBRADO"</formula>
    </cfRule>
    <cfRule type="expression" dxfId="5298" priority="3986">
      <formula>$H486="DANIFICADO"</formula>
    </cfRule>
    <cfRule type="expression" dxfId="5297" priority="3987">
      <formula>$H486="VENCIDO"</formula>
    </cfRule>
    <cfRule type="expression" dxfId="5296" priority="3988">
      <formula>$H486="NO PRAZO"</formula>
    </cfRule>
    <cfRule type="expression" dxfId="5295" priority="3989">
      <formula>$H486="CALIBRAR"</formula>
    </cfRule>
    <cfRule type="expression" dxfId="5294" priority="3990">
      <formula>$H486="SEM CALIBRAÇÃO"</formula>
    </cfRule>
  </conditionalFormatting>
  <conditionalFormatting sqref="A495">
    <cfRule type="expression" dxfId="5293" priority="3917">
      <formula>$H495="PROX. VENCIMENTO (2 MESES)"</formula>
    </cfRule>
    <cfRule type="expression" dxfId="5292" priority="3918">
      <formula>$H495="CALIBRAÇÃO VENCIDA"</formula>
    </cfRule>
    <cfRule type="expression" dxfId="5291" priority="3919">
      <formula>$H495="PROX. VENCIMENTO"</formula>
    </cfRule>
    <cfRule type="expression" dxfId="5290" priority="3920">
      <formula>$H495="CALIBRADO"</formula>
    </cfRule>
    <cfRule type="expression" dxfId="5289" priority="3921">
      <formula>$H495="DANIFICADO"</formula>
    </cfRule>
    <cfRule type="expression" dxfId="5288" priority="3922">
      <formula>$H495="VENCIDO"</formula>
    </cfRule>
    <cfRule type="expression" dxfId="5287" priority="3923">
      <formula>$H495="NO PRAZO"</formula>
    </cfRule>
    <cfRule type="expression" dxfId="5286" priority="3924">
      <formula>$H495="CALIBRAR"</formula>
    </cfRule>
    <cfRule type="expression" dxfId="5285" priority="3925">
      <formula>$H495="SEM CALIBRAÇÃO"</formula>
    </cfRule>
  </conditionalFormatting>
  <conditionalFormatting sqref="A497">
    <cfRule type="expression" dxfId="5284" priority="3904">
      <formula>$H497="PROX. VENCIMENTO (2 MESES)"</formula>
    </cfRule>
    <cfRule type="expression" dxfId="5283" priority="3905">
      <formula>$H497="CALIBRAÇÃO VENCIDA"</formula>
    </cfRule>
    <cfRule type="expression" dxfId="5282" priority="3906">
      <formula>$H497="PROX. VENCIMENTO"</formula>
    </cfRule>
    <cfRule type="expression" dxfId="5281" priority="3907">
      <formula>$H497="CALIBRADO"</formula>
    </cfRule>
    <cfRule type="expression" dxfId="5280" priority="3908">
      <formula>$H497="DANIFICADO"</formula>
    </cfRule>
    <cfRule type="expression" dxfId="5279" priority="3909">
      <formula>$H497="VENCIDO"</formula>
    </cfRule>
    <cfRule type="expression" dxfId="5278" priority="3910">
      <formula>$H497="NO PRAZO"</formula>
    </cfRule>
    <cfRule type="expression" dxfId="5277" priority="3911">
      <formula>$H497="CALIBRAR"</formula>
    </cfRule>
    <cfRule type="expression" dxfId="5276" priority="3912">
      <formula>$H497="SEM CALIBRAÇÃO"</formula>
    </cfRule>
  </conditionalFormatting>
  <conditionalFormatting sqref="A499">
    <cfRule type="expression" dxfId="5275" priority="3891">
      <formula>$H499="PROX. VENCIMENTO (2 MESES)"</formula>
    </cfRule>
    <cfRule type="expression" dxfId="5274" priority="3892">
      <formula>$H499="CALIBRAÇÃO VENCIDA"</formula>
    </cfRule>
    <cfRule type="expression" dxfId="5273" priority="3893">
      <formula>$H499="PROX. VENCIMENTO"</formula>
    </cfRule>
    <cfRule type="expression" dxfId="5272" priority="3894">
      <formula>$H499="CALIBRADO"</formula>
    </cfRule>
    <cfRule type="expression" dxfId="5271" priority="3895">
      <formula>$H499="DANIFICADO"</formula>
    </cfRule>
    <cfRule type="expression" dxfId="5270" priority="3896">
      <formula>$H499="VENCIDO"</formula>
    </cfRule>
    <cfRule type="expression" dxfId="5269" priority="3897">
      <formula>$H499="NO PRAZO"</formula>
    </cfRule>
    <cfRule type="expression" dxfId="5268" priority="3898">
      <formula>$H499="CALIBRAR"</formula>
    </cfRule>
    <cfRule type="expression" dxfId="5267" priority="3899">
      <formula>$H499="SEM CALIBRAÇÃO"</formula>
    </cfRule>
  </conditionalFormatting>
  <conditionalFormatting sqref="A501">
    <cfRule type="expression" dxfId="5266" priority="3878">
      <formula>$H501="PROX. VENCIMENTO (2 MESES)"</formula>
    </cfRule>
    <cfRule type="expression" dxfId="5265" priority="3879">
      <formula>$H501="CALIBRAÇÃO VENCIDA"</formula>
    </cfRule>
    <cfRule type="expression" dxfId="5264" priority="3880">
      <formula>$H501="PROX. VENCIMENTO"</formula>
    </cfRule>
    <cfRule type="expression" dxfId="5263" priority="3881">
      <formula>$H501="CALIBRADO"</formula>
    </cfRule>
    <cfRule type="expression" dxfId="5262" priority="3882">
      <formula>$H501="DANIFICADO"</formula>
    </cfRule>
    <cfRule type="expression" dxfId="5261" priority="3883">
      <formula>$H501="VENCIDO"</formula>
    </cfRule>
    <cfRule type="expression" dxfId="5260" priority="3884">
      <formula>$H501="NO PRAZO"</formula>
    </cfRule>
    <cfRule type="expression" dxfId="5259" priority="3885">
      <formula>$H501="CALIBRAR"</formula>
    </cfRule>
    <cfRule type="expression" dxfId="5258" priority="3886">
      <formula>$H501="SEM CALIBRAÇÃO"</formula>
    </cfRule>
  </conditionalFormatting>
  <conditionalFormatting sqref="A503">
    <cfRule type="expression" dxfId="5257" priority="3865">
      <formula>$H503="PROX. VENCIMENTO (2 MESES)"</formula>
    </cfRule>
    <cfRule type="expression" dxfId="5256" priority="3866">
      <formula>$H503="CALIBRAÇÃO VENCIDA"</formula>
    </cfRule>
    <cfRule type="expression" dxfId="5255" priority="3867">
      <formula>$H503="PROX. VENCIMENTO"</formula>
    </cfRule>
    <cfRule type="expression" dxfId="5254" priority="3868">
      <formula>$H503="CALIBRADO"</formula>
    </cfRule>
    <cfRule type="expression" dxfId="5253" priority="3869">
      <formula>$H503="DANIFICADO"</formula>
    </cfRule>
    <cfRule type="expression" dxfId="5252" priority="3870">
      <formula>$H503="VENCIDO"</formula>
    </cfRule>
    <cfRule type="expression" dxfId="5251" priority="3871">
      <formula>$H503="NO PRAZO"</formula>
    </cfRule>
    <cfRule type="expression" dxfId="5250" priority="3872">
      <formula>$H503="CALIBRAR"</formula>
    </cfRule>
    <cfRule type="expression" dxfId="5249" priority="3873">
      <formula>$H503="SEM CALIBRAÇÃO"</formula>
    </cfRule>
  </conditionalFormatting>
  <conditionalFormatting sqref="A505">
    <cfRule type="expression" dxfId="5248" priority="3852">
      <formula>$H505="PROX. VENCIMENTO (2 MESES)"</formula>
    </cfRule>
    <cfRule type="expression" dxfId="5247" priority="3853">
      <formula>$H505="CALIBRAÇÃO VENCIDA"</formula>
    </cfRule>
    <cfRule type="expression" dxfId="5246" priority="3854">
      <formula>$H505="PROX. VENCIMENTO"</formula>
    </cfRule>
    <cfRule type="expression" dxfId="5245" priority="3855">
      <formula>$H505="CALIBRADO"</formula>
    </cfRule>
    <cfRule type="expression" dxfId="5244" priority="3856">
      <formula>$H505="DANIFICADO"</formula>
    </cfRule>
    <cfRule type="expression" dxfId="5243" priority="3857">
      <formula>$H505="VENCIDO"</formula>
    </cfRule>
    <cfRule type="expression" dxfId="5242" priority="3858">
      <formula>$H505="NO PRAZO"</formula>
    </cfRule>
    <cfRule type="expression" dxfId="5241" priority="3859">
      <formula>$H505="CALIBRAR"</formula>
    </cfRule>
    <cfRule type="expression" dxfId="5240" priority="3860">
      <formula>$H505="SEM CALIBRAÇÃO"</formula>
    </cfRule>
  </conditionalFormatting>
  <conditionalFormatting sqref="A521:A523 D521:D524 A546 G546:I546">
    <cfRule type="expression" dxfId="5239" priority="1994">
      <formula>$H521="CALIBRAÇÃO VENCIDA"</formula>
    </cfRule>
    <cfRule type="expression" dxfId="5238" priority="1995">
      <formula>$H521="PROX. VENCIMENTO"</formula>
    </cfRule>
    <cfRule type="expression" dxfId="5237" priority="1996">
      <formula>$H521="CALIBRADO"</formula>
    </cfRule>
    <cfRule type="expression" dxfId="5236" priority="1997">
      <formula>$H521="DANIFICADO"</formula>
    </cfRule>
    <cfRule type="expression" dxfId="5235" priority="1998">
      <formula>$H521="VENCIDO"</formula>
    </cfRule>
    <cfRule type="expression" dxfId="5234" priority="1999">
      <formula>$H521="NO PRAZO"</formula>
    </cfRule>
    <cfRule type="expression" dxfId="5233" priority="2000">
      <formula>$H521="CALIBRAR"</formula>
    </cfRule>
    <cfRule type="expression" dxfId="5232" priority="2001">
      <formula>$H521="SEM CALIBRAÇÃO"</formula>
    </cfRule>
  </conditionalFormatting>
  <conditionalFormatting sqref="A521:A523 G536:I539 A536:A544 D537:D544 G543:I544 D521:D524 A546 G546:I546 G521:I521">
    <cfRule type="expression" dxfId="5231" priority="3809">
      <formula>$H521="PROX. VENCIMENTO (2 MESES)"</formula>
    </cfRule>
  </conditionalFormatting>
  <conditionalFormatting sqref="A522:A523">
    <cfRule type="duplicateValues" dxfId="5230" priority="3798"/>
  </conditionalFormatting>
  <conditionalFormatting sqref="A524:A535 B525:B526">
    <cfRule type="expression" dxfId="5229" priority="68642">
      <formula>$G524="PROX. VENCIMENTO (2 MESES)"</formula>
    </cfRule>
    <cfRule type="expression" dxfId="5228" priority="68643">
      <formula>$G524="CALIBRAÇÃO VENCIDA"</formula>
    </cfRule>
    <cfRule type="expression" dxfId="5227" priority="68644">
      <formula>$G524="PROX. VENCIMENTO"</formula>
    </cfRule>
    <cfRule type="expression" dxfId="5226" priority="68645">
      <formula>$G524="CALIBRADO"</formula>
    </cfRule>
    <cfRule type="expression" dxfId="5225" priority="68646">
      <formula>$G524="DANIFICADO"</formula>
    </cfRule>
    <cfRule type="expression" dxfId="5224" priority="68647">
      <formula>$G524="VENCIDO"</formula>
    </cfRule>
    <cfRule type="expression" dxfId="5223" priority="68648">
      <formula>$G524="NO PRAZO"</formula>
    </cfRule>
    <cfRule type="expression" dxfId="5222" priority="68649">
      <formula>$G524="CALIBRAR"</formula>
    </cfRule>
    <cfRule type="expression" dxfId="5221" priority="68650">
      <formula>$G524="SEM CALIBRAÇÃO"</formula>
    </cfRule>
    <cfRule type="duplicateValues" dxfId="5220" priority="68651"/>
  </conditionalFormatting>
  <conditionalFormatting sqref="A536">
    <cfRule type="duplicateValues" dxfId="5219" priority="69321"/>
  </conditionalFormatting>
  <conditionalFormatting sqref="A536:A544 G536:I539 D537:D544 G543:I544">
    <cfRule type="expression" dxfId="5218" priority="2093">
      <formula>$H536="CALIBRAÇÃO VENCIDA"</formula>
    </cfRule>
  </conditionalFormatting>
  <conditionalFormatting sqref="A539">
    <cfRule type="duplicateValues" dxfId="5217" priority="69422"/>
    <cfRule type="duplicateValues" dxfId="5216" priority="69423"/>
    <cfRule type="duplicateValues" dxfId="5215" priority="69424"/>
    <cfRule type="duplicateValues" dxfId="5214" priority="69425"/>
    <cfRule type="duplicateValues" dxfId="5213" priority="69426"/>
    <cfRule type="duplicateValues" dxfId="5212" priority="69427"/>
    <cfRule type="duplicateValues" dxfId="5211" priority="69428"/>
    <cfRule type="duplicateValues" dxfId="5210" priority="69429"/>
    <cfRule type="duplicateValues" dxfId="5209" priority="69430"/>
  </conditionalFormatting>
  <conditionalFormatting sqref="A540:A544 A536:A538">
    <cfRule type="duplicateValues" dxfId="5208" priority="69373"/>
    <cfRule type="duplicateValues" dxfId="5207" priority="69374"/>
    <cfRule type="duplicateValues" dxfId="5206" priority="69375"/>
    <cfRule type="duplicateValues" dxfId="5205" priority="69376"/>
    <cfRule type="duplicateValues" dxfId="5204" priority="69377"/>
    <cfRule type="duplicateValues" dxfId="5203" priority="69378"/>
  </conditionalFormatting>
  <conditionalFormatting sqref="A543:A544 A536:A538">
    <cfRule type="duplicateValues" dxfId="5202" priority="69391"/>
    <cfRule type="duplicateValues" dxfId="5201" priority="69392"/>
  </conditionalFormatting>
  <conditionalFormatting sqref="A543:A544 A537:A538">
    <cfRule type="duplicateValues" dxfId="5200" priority="69395"/>
  </conditionalFormatting>
  <conditionalFormatting sqref="A545">
    <cfRule type="duplicateValues" dxfId="5199" priority="2031"/>
  </conditionalFormatting>
  <conditionalFormatting sqref="A545:A546">
    <cfRule type="duplicateValues" dxfId="5198" priority="69219"/>
    <cfRule type="duplicateValues" dxfId="5197" priority="69220"/>
    <cfRule type="duplicateValues" dxfId="5196" priority="69221"/>
    <cfRule type="duplicateValues" dxfId="5195" priority="69222"/>
    <cfRule type="duplicateValues" dxfId="5194" priority="69223"/>
    <cfRule type="duplicateValues" dxfId="5193" priority="69224"/>
    <cfRule type="duplicateValues" dxfId="5192" priority="69225"/>
    <cfRule type="duplicateValues" dxfId="5191" priority="69226"/>
  </conditionalFormatting>
  <conditionalFormatting sqref="A546">
    <cfRule type="duplicateValues" dxfId="5190" priority="69181"/>
  </conditionalFormatting>
  <conditionalFormatting sqref="A547:A559">
    <cfRule type="duplicateValues" dxfId="5189" priority="798"/>
    <cfRule type="duplicateValues" dxfId="5188" priority="799"/>
  </conditionalFormatting>
  <conditionalFormatting sqref="A547:A570">
    <cfRule type="duplicateValues" dxfId="5187" priority="79033"/>
    <cfRule type="duplicateValues" dxfId="5186" priority="79034"/>
  </conditionalFormatting>
  <conditionalFormatting sqref="A549:A562">
    <cfRule type="expression" dxfId="5185" priority="746">
      <formula>$H549="PROX. VENCIMENTO (2 MESES)"</formula>
    </cfRule>
    <cfRule type="expression" dxfId="5184" priority="747">
      <formula>$H549="CALIBRAÇÃO VENCIDA"</formula>
    </cfRule>
    <cfRule type="expression" dxfId="5183" priority="748">
      <formula>$H549="PROX. VENCIMENTO"</formula>
    </cfRule>
    <cfRule type="expression" dxfId="5182" priority="749">
      <formula>$H549="CALIBRADO"</formula>
    </cfRule>
    <cfRule type="expression" dxfId="5181" priority="766">
      <formula>$H549="DANIFICADO"</formula>
    </cfRule>
    <cfRule type="expression" dxfId="5180" priority="767">
      <formula>$H549="VENCIDO"</formula>
    </cfRule>
    <cfRule type="expression" dxfId="5179" priority="768">
      <formula>$H549="NO PRAZO"</formula>
    </cfRule>
    <cfRule type="expression" dxfId="5178" priority="769">
      <formula>$H549="CALIBRAR"</formula>
    </cfRule>
    <cfRule type="expression" dxfId="5177" priority="770">
      <formula>$H549="SEM CALIBRAÇÃO"</formula>
    </cfRule>
  </conditionalFormatting>
  <conditionalFormatting sqref="A564:A566">
    <cfRule type="duplicateValues" dxfId="5176" priority="762"/>
    <cfRule type="duplicateValues" dxfId="5175" priority="763"/>
    <cfRule type="duplicateValues" dxfId="5174" priority="764"/>
    <cfRule type="duplicateValues" dxfId="5173" priority="765"/>
  </conditionalFormatting>
  <conditionalFormatting sqref="A564:A570">
    <cfRule type="expression" dxfId="5172" priority="786">
      <formula>$H564="PROX. VENCIMENTO (2 MESES)"</formula>
    </cfRule>
    <cfRule type="expression" dxfId="5171" priority="787">
      <formula>$H564="CALIBRAÇÃO VENCIDA"</formula>
    </cfRule>
    <cfRule type="expression" dxfId="5170" priority="788">
      <formula>$H564="PROX. VENCIMENTO"</formula>
    </cfRule>
    <cfRule type="expression" dxfId="5169" priority="789">
      <formula>$H564="CALIBRADO"</formula>
    </cfRule>
    <cfRule type="expression" dxfId="5168" priority="790">
      <formula>$H564="DANIFICADO"</formula>
    </cfRule>
    <cfRule type="expression" dxfId="5167" priority="791">
      <formula>$H564="VENCIDO"</formula>
    </cfRule>
    <cfRule type="expression" dxfId="5166" priority="792">
      <formula>$H564="NO PRAZO"</formula>
    </cfRule>
    <cfRule type="expression" dxfId="5165" priority="793">
      <formula>$H564="CALIBRAR"</formula>
    </cfRule>
    <cfRule type="expression" dxfId="5164" priority="794">
      <formula>$H564="SEM CALIBRAÇÃO"</formula>
    </cfRule>
  </conditionalFormatting>
  <conditionalFormatting sqref="A567:A570 A547:A563">
    <cfRule type="duplicateValues" dxfId="5163" priority="796"/>
    <cfRule type="duplicateValues" dxfId="5162" priority="797"/>
  </conditionalFormatting>
  <conditionalFormatting sqref="A567:A570 A560:A562">
    <cfRule type="duplicateValues" dxfId="5161" priority="759"/>
    <cfRule type="duplicateValues" dxfId="5160" priority="760"/>
    <cfRule type="duplicateValues" dxfId="5159" priority="761"/>
  </conditionalFormatting>
  <conditionalFormatting sqref="A511:B511">
    <cfRule type="expression" dxfId="5158" priority="3969">
      <formula>$H511="PROX. VENCIMENTO (2 MESES)"</formula>
    </cfRule>
    <cfRule type="expression" dxfId="5157" priority="3970">
      <formula>$H511="CALIBRAÇÃO VENCIDA"</formula>
    </cfRule>
    <cfRule type="expression" dxfId="5156" priority="3971">
      <formula>$H511="PROX. VENCIMENTO"</formula>
    </cfRule>
    <cfRule type="expression" dxfId="5155" priority="3972">
      <formula>$H511="CALIBRADO"</formula>
    </cfRule>
    <cfRule type="expression" dxfId="5154" priority="3973">
      <formula>$H511="DANIFICADO"</formula>
    </cfRule>
    <cfRule type="expression" dxfId="5153" priority="3974">
      <formula>$H511="VENCIDO"</formula>
    </cfRule>
    <cfRule type="expression" dxfId="5152" priority="3975">
      <formula>$H511="NO PRAZO"</formula>
    </cfRule>
    <cfRule type="expression" dxfId="5151" priority="3976">
      <formula>$H511="CALIBRAR"</formula>
    </cfRule>
    <cfRule type="expression" dxfId="5150" priority="3977">
      <formula>$H511="SEM CALIBRAÇÃO"</formula>
    </cfRule>
  </conditionalFormatting>
  <conditionalFormatting sqref="A540:B540 A542:B542 A541">
    <cfRule type="duplicateValues" dxfId="5149" priority="2063"/>
    <cfRule type="duplicateValues" dxfId="5148" priority="2064"/>
  </conditionalFormatting>
  <conditionalFormatting sqref="B10">
    <cfRule type="duplicateValues" dxfId="5147" priority="63979"/>
    <cfRule type="duplicateValues" dxfId="5146" priority="63980"/>
    <cfRule type="duplicateValues" dxfId="5145" priority="63981"/>
    <cfRule type="duplicateValues" dxfId="5144" priority="63982"/>
    <cfRule type="duplicateValues" dxfId="5143" priority="63983"/>
    <cfRule type="duplicateValues" dxfId="5142" priority="63984"/>
    <cfRule type="duplicateValues" dxfId="5141" priority="63985"/>
  </conditionalFormatting>
  <conditionalFormatting sqref="B27">
    <cfRule type="duplicateValues" dxfId="5140" priority="63986"/>
    <cfRule type="duplicateValues" dxfId="5139" priority="63987"/>
    <cfRule type="duplicateValues" dxfId="5138" priority="63988"/>
    <cfRule type="duplicateValues" dxfId="5137" priority="63989"/>
    <cfRule type="duplicateValues" dxfId="5136" priority="63990"/>
    <cfRule type="duplicateValues" dxfId="5135" priority="63991"/>
    <cfRule type="duplicateValues" dxfId="5134" priority="63992"/>
    <cfRule type="duplicateValues" dxfId="5133" priority="63993"/>
  </conditionalFormatting>
  <conditionalFormatting sqref="B136">
    <cfRule type="duplicateValues" dxfId="5132" priority="133"/>
  </conditionalFormatting>
  <conditionalFormatting sqref="B144">
    <cfRule type="duplicateValues" dxfId="5131" priority="63994"/>
    <cfRule type="duplicateValues" dxfId="5130" priority="63995"/>
    <cfRule type="duplicateValues" dxfId="5129" priority="63996"/>
  </conditionalFormatting>
  <conditionalFormatting sqref="B151">
    <cfRule type="duplicateValues" dxfId="5128" priority="63997"/>
    <cfRule type="duplicateValues" dxfId="5127" priority="63998"/>
    <cfRule type="duplicateValues" dxfId="5126" priority="63999"/>
    <cfRule type="duplicateValues" dxfId="5125" priority="64000"/>
    <cfRule type="duplicateValues" dxfId="5124" priority="64001"/>
    <cfRule type="duplicateValues" dxfId="5123" priority="64002"/>
    <cfRule type="duplicateValues" dxfId="5122" priority="64003"/>
    <cfRule type="duplicateValues" dxfId="5121" priority="64004"/>
  </conditionalFormatting>
  <conditionalFormatting sqref="B183">
    <cfRule type="duplicateValues" dxfId="5120" priority="64005"/>
    <cfRule type="duplicateValues" dxfId="5119" priority="64006"/>
    <cfRule type="duplicateValues" dxfId="5118" priority="64007"/>
    <cfRule type="duplicateValues" dxfId="5117" priority="64008"/>
    <cfRule type="duplicateValues" dxfId="5116" priority="64009"/>
    <cfRule type="duplicateValues" dxfId="5115" priority="64010"/>
    <cfRule type="duplicateValues" dxfId="5114" priority="64011"/>
    <cfRule type="duplicateValues" dxfId="5113" priority="64012"/>
    <cfRule type="duplicateValues" dxfId="5112" priority="64013"/>
  </conditionalFormatting>
  <conditionalFormatting sqref="B184">
    <cfRule type="duplicateValues" dxfId="5111" priority="64014"/>
    <cfRule type="duplicateValues" dxfId="5110" priority="64015"/>
    <cfRule type="duplicateValues" dxfId="5109" priority="64016"/>
  </conditionalFormatting>
  <conditionalFormatting sqref="B188">
    <cfRule type="duplicateValues" dxfId="5108" priority="64017"/>
    <cfRule type="duplicateValues" dxfId="5107" priority="64018"/>
    <cfRule type="duplicateValues" dxfId="5106" priority="64019"/>
    <cfRule type="duplicateValues" dxfId="5105" priority="64020"/>
    <cfRule type="duplicateValues" dxfId="5104" priority="64021"/>
    <cfRule type="duplicateValues" dxfId="5103" priority="64022"/>
    <cfRule type="duplicateValues" dxfId="5102" priority="64023"/>
    <cfRule type="duplicateValues" dxfId="5101" priority="64024"/>
    <cfRule type="duplicateValues" dxfId="5100" priority="64025"/>
  </conditionalFormatting>
  <conditionalFormatting sqref="B189">
    <cfRule type="duplicateValues" dxfId="5099" priority="64026"/>
    <cfRule type="duplicateValues" dxfId="5098" priority="64027"/>
    <cfRule type="duplicateValues" dxfId="5097" priority="64028"/>
    <cfRule type="duplicateValues" dxfId="5096" priority="64029"/>
    <cfRule type="duplicateValues" dxfId="5095" priority="64030"/>
    <cfRule type="duplicateValues" dxfId="5094" priority="64031"/>
    <cfRule type="duplicateValues" dxfId="5093" priority="64032"/>
    <cfRule type="duplicateValues" dxfId="5092" priority="64033"/>
    <cfRule type="duplicateValues" dxfId="5091" priority="64034"/>
  </conditionalFormatting>
  <conditionalFormatting sqref="B198">
    <cfRule type="duplicateValues" dxfId="5090" priority="64035"/>
    <cfRule type="duplicateValues" dxfId="5089" priority="64036"/>
    <cfRule type="duplicateValues" dxfId="5088" priority="64037"/>
    <cfRule type="duplicateValues" dxfId="5087" priority="64038"/>
    <cfRule type="duplicateValues" dxfId="5086" priority="64039"/>
    <cfRule type="duplicateValues" dxfId="5085" priority="64040"/>
    <cfRule type="duplicateValues" dxfId="5084" priority="64041"/>
    <cfRule type="duplicateValues" dxfId="5083" priority="64042"/>
  </conditionalFormatting>
  <conditionalFormatting sqref="B214">
    <cfRule type="duplicateValues" dxfId="5082" priority="64043"/>
    <cfRule type="duplicateValues" dxfId="5081" priority="64044"/>
    <cfRule type="duplicateValues" dxfId="5080" priority="64045"/>
    <cfRule type="duplicateValues" dxfId="5079" priority="64046"/>
    <cfRule type="duplicateValues" dxfId="5078" priority="64047"/>
    <cfRule type="duplicateValues" dxfId="5077" priority="64048"/>
    <cfRule type="duplicateValues" dxfId="5076" priority="64049"/>
    <cfRule type="duplicateValues" dxfId="5075" priority="64050"/>
  </conditionalFormatting>
  <conditionalFormatting sqref="B217">
    <cfRule type="duplicateValues" dxfId="5074" priority="64051"/>
    <cfRule type="duplicateValues" dxfId="5073" priority="64052"/>
    <cfRule type="duplicateValues" dxfId="5072" priority="64053"/>
    <cfRule type="duplicateValues" dxfId="5071" priority="64054"/>
    <cfRule type="duplicateValues" dxfId="5070" priority="64055"/>
    <cfRule type="duplicateValues" dxfId="5069" priority="64056"/>
    <cfRule type="duplicateValues" dxfId="5068" priority="64057"/>
    <cfRule type="duplicateValues" dxfId="5067" priority="64058"/>
    <cfRule type="duplicateValues" dxfId="5066" priority="64059"/>
  </conditionalFormatting>
  <conditionalFormatting sqref="B218">
    <cfRule type="duplicateValues" dxfId="5065" priority="64060"/>
    <cfRule type="duplicateValues" dxfId="5064" priority="64061"/>
    <cfRule type="duplicateValues" dxfId="5063" priority="64062"/>
    <cfRule type="duplicateValues" dxfId="5062" priority="64063"/>
    <cfRule type="duplicateValues" dxfId="5061" priority="64064"/>
    <cfRule type="duplicateValues" dxfId="5060" priority="64065"/>
    <cfRule type="duplicateValues" dxfId="5059" priority="64066"/>
    <cfRule type="duplicateValues" dxfId="5058" priority="64067"/>
    <cfRule type="duplicateValues" dxfId="5057" priority="64068"/>
  </conditionalFormatting>
  <conditionalFormatting sqref="B225">
    <cfRule type="duplicateValues" dxfId="5056" priority="64069"/>
    <cfRule type="duplicateValues" dxfId="5055" priority="64070"/>
    <cfRule type="duplicateValues" dxfId="5054" priority="64071"/>
  </conditionalFormatting>
  <conditionalFormatting sqref="B238">
    <cfRule type="duplicateValues" dxfId="5053" priority="991"/>
    <cfRule type="duplicateValues" dxfId="5052" priority="992"/>
    <cfRule type="duplicateValues" dxfId="5051" priority="993"/>
    <cfRule type="duplicateValues" dxfId="5050" priority="994"/>
    <cfRule type="duplicateValues" dxfId="5049" priority="995"/>
    <cfRule type="duplicateValues" dxfId="5048" priority="996"/>
    <cfRule type="duplicateValues" dxfId="5047" priority="997"/>
    <cfRule type="duplicateValues" dxfId="5046" priority="998"/>
    <cfRule type="duplicateValues" dxfId="5045" priority="999"/>
    <cfRule type="duplicateValues" dxfId="5044" priority="1000"/>
  </conditionalFormatting>
  <conditionalFormatting sqref="B242">
    <cfRule type="duplicateValues" dxfId="5043" priority="64072"/>
    <cfRule type="duplicateValues" dxfId="5042" priority="64073"/>
    <cfRule type="duplicateValues" dxfId="5041" priority="64074"/>
    <cfRule type="duplicateValues" dxfId="5040" priority="64075"/>
    <cfRule type="duplicateValues" dxfId="5039" priority="64076"/>
    <cfRule type="duplicateValues" dxfId="5038" priority="64077"/>
    <cfRule type="duplicateValues" dxfId="5037" priority="64078"/>
    <cfRule type="duplicateValues" dxfId="5036" priority="64079"/>
  </conditionalFormatting>
  <conditionalFormatting sqref="B243">
    <cfRule type="duplicateValues" dxfId="5035" priority="1583"/>
    <cfRule type="duplicateValues" dxfId="5034" priority="1584"/>
    <cfRule type="duplicateValues" dxfId="5033" priority="1585"/>
    <cfRule type="duplicateValues" dxfId="5032" priority="1586"/>
    <cfRule type="duplicateValues" dxfId="5031" priority="1587"/>
    <cfRule type="duplicateValues" dxfId="5030" priority="1588"/>
    <cfRule type="duplicateValues" dxfId="5029" priority="1589"/>
    <cfRule type="duplicateValues" dxfId="5028" priority="1590"/>
    <cfRule type="duplicateValues" dxfId="5027" priority="1591"/>
    <cfRule type="duplicateValues" dxfId="5026" priority="1592"/>
  </conditionalFormatting>
  <conditionalFormatting sqref="B245">
    <cfRule type="duplicateValues" dxfId="5025" priority="1573"/>
    <cfRule type="duplicateValues" dxfId="5024" priority="1574"/>
    <cfRule type="duplicateValues" dxfId="5023" priority="1575"/>
    <cfRule type="duplicateValues" dxfId="5022" priority="1576"/>
    <cfRule type="duplicateValues" dxfId="5021" priority="1577"/>
    <cfRule type="duplicateValues" dxfId="5020" priority="1578"/>
    <cfRule type="duplicateValues" dxfId="5019" priority="1579"/>
    <cfRule type="duplicateValues" dxfId="5018" priority="1580"/>
    <cfRule type="duplicateValues" dxfId="5017" priority="1581"/>
    <cfRule type="duplicateValues" dxfId="5016" priority="1582"/>
  </conditionalFormatting>
  <conditionalFormatting sqref="B249">
    <cfRule type="duplicateValues" dxfId="5015" priority="186"/>
    <cfRule type="duplicateValues" dxfId="5014" priority="187"/>
    <cfRule type="duplicateValues" dxfId="5013" priority="188"/>
    <cfRule type="duplicateValues" dxfId="5012" priority="189"/>
    <cfRule type="duplicateValues" dxfId="5011" priority="190"/>
    <cfRule type="duplicateValues" dxfId="5010" priority="191"/>
    <cfRule type="duplicateValues" dxfId="5009" priority="192"/>
    <cfRule type="duplicateValues" dxfId="5008" priority="193"/>
    <cfRule type="duplicateValues" dxfId="5007" priority="194"/>
    <cfRule type="duplicateValues" dxfId="5006" priority="195"/>
  </conditionalFormatting>
  <conditionalFormatting sqref="B252">
    <cfRule type="duplicateValues" dxfId="5005" priority="957"/>
    <cfRule type="duplicateValues" dxfId="5004" priority="958"/>
    <cfRule type="duplicateValues" dxfId="5003" priority="959"/>
    <cfRule type="duplicateValues" dxfId="5002" priority="960"/>
    <cfRule type="duplicateValues" dxfId="5001" priority="961"/>
    <cfRule type="duplicateValues" dxfId="5000" priority="962"/>
    <cfRule type="duplicateValues" dxfId="4999" priority="963"/>
    <cfRule type="duplicateValues" dxfId="4998" priority="964"/>
    <cfRule type="duplicateValues" dxfId="4997" priority="965"/>
    <cfRule type="duplicateValues" dxfId="4996" priority="966"/>
  </conditionalFormatting>
  <conditionalFormatting sqref="B257">
    <cfRule type="duplicateValues" dxfId="4995" priority="1502"/>
    <cfRule type="duplicateValues" dxfId="4994" priority="1503"/>
    <cfRule type="duplicateValues" dxfId="4993" priority="1504"/>
    <cfRule type="duplicateValues" dxfId="4992" priority="1505"/>
    <cfRule type="duplicateValues" dxfId="4991" priority="1506"/>
    <cfRule type="duplicateValues" dxfId="4990" priority="1507"/>
    <cfRule type="duplicateValues" dxfId="4989" priority="1508"/>
    <cfRule type="duplicateValues" dxfId="4988" priority="1509"/>
    <cfRule type="duplicateValues" dxfId="4987" priority="1510"/>
    <cfRule type="duplicateValues" dxfId="4986" priority="1511"/>
  </conditionalFormatting>
  <conditionalFormatting sqref="B272">
    <cfRule type="expression" dxfId="4985" priority="64089">
      <formula>$H272="PROX. VENCIMENTO (2 MESES)"</formula>
    </cfRule>
    <cfRule type="expression" dxfId="4984" priority="64090">
      <formula>$H272="CALIBRAÇÃO VENCIDA"</formula>
    </cfRule>
    <cfRule type="expression" dxfId="4983" priority="64091">
      <formula>$H272="PROX. VENCIMENTO"</formula>
    </cfRule>
    <cfRule type="expression" dxfId="4982" priority="64092">
      <formula>$H272="CALIBRADO"</formula>
    </cfRule>
    <cfRule type="expression" dxfId="4981" priority="64093">
      <formula>$H272="DANIFICADO"</formula>
    </cfRule>
    <cfRule type="expression" dxfId="4980" priority="64094">
      <formula>$H272="VENCIDO"</formula>
    </cfRule>
    <cfRule type="expression" dxfId="4979" priority="64095">
      <formula>$H272="NO PRAZO"</formula>
    </cfRule>
    <cfRule type="expression" dxfId="4978" priority="64096">
      <formula>$H272="CALIBRAR"</formula>
    </cfRule>
    <cfRule type="expression" dxfId="4977" priority="64097">
      <formula>$H272="SEM CALIBRAÇÃO"</formula>
    </cfRule>
    <cfRule type="duplicateValues" dxfId="4976" priority="64098"/>
    <cfRule type="duplicateValues" dxfId="4975" priority="64099"/>
    <cfRule type="duplicateValues" dxfId="4974" priority="64100"/>
    <cfRule type="duplicateValues" dxfId="4973" priority="64101"/>
    <cfRule type="duplicateValues" dxfId="4972" priority="64102"/>
    <cfRule type="duplicateValues" dxfId="4971" priority="64103"/>
    <cfRule type="duplicateValues" dxfId="4970" priority="64104"/>
    <cfRule type="duplicateValues" dxfId="4969" priority="64105"/>
  </conditionalFormatting>
  <conditionalFormatting sqref="B273">
    <cfRule type="duplicateValues" dxfId="4968" priority="64106"/>
    <cfRule type="duplicateValues" dxfId="4967" priority="64107"/>
    <cfRule type="duplicateValues" dxfId="4966" priority="64108"/>
    <cfRule type="duplicateValues" dxfId="4965" priority="64109"/>
    <cfRule type="duplicateValues" dxfId="4964" priority="64110"/>
    <cfRule type="duplicateValues" dxfId="4963" priority="64111"/>
    <cfRule type="duplicateValues" dxfId="4962" priority="64112"/>
    <cfRule type="duplicateValues" dxfId="4961" priority="64113"/>
    <cfRule type="duplicateValues" dxfId="4960" priority="64114"/>
  </conditionalFormatting>
  <conditionalFormatting sqref="B343">
    <cfRule type="duplicateValues" dxfId="4959" priority="64130"/>
    <cfRule type="duplicateValues" dxfId="4958" priority="64131"/>
    <cfRule type="duplicateValues" dxfId="4957" priority="64132"/>
    <cfRule type="duplicateValues" dxfId="4956" priority="64133"/>
    <cfRule type="duplicateValues" dxfId="4955" priority="64134"/>
    <cfRule type="duplicateValues" dxfId="4954" priority="64135"/>
    <cfRule type="duplicateValues" dxfId="4953" priority="64136"/>
    <cfRule type="duplicateValues" dxfId="4952" priority="64137"/>
    <cfRule type="duplicateValues" dxfId="4951" priority="64138"/>
  </conditionalFormatting>
  <conditionalFormatting sqref="B361">
    <cfRule type="duplicateValues" dxfId="4950" priority="64139"/>
    <cfRule type="duplicateValues" dxfId="4949" priority="64140"/>
    <cfRule type="duplicateValues" dxfId="4948" priority="64141"/>
  </conditionalFormatting>
  <conditionalFormatting sqref="B375 B129:B132 B240 A10:A159 B377:B382 A172:A436 B135:B138">
    <cfRule type="duplicateValues" dxfId="4947" priority="64149"/>
  </conditionalFormatting>
  <conditionalFormatting sqref="B375 B129:B132 B240 A10:A159 B377:B382 A172:A478 B135:B138">
    <cfRule type="duplicateValues" dxfId="4946" priority="69724"/>
  </conditionalFormatting>
  <conditionalFormatting sqref="B375 B129:B132 B240 A55:A159 B377:B382 A172:A470 B135:B138">
    <cfRule type="duplicateValues" dxfId="4945" priority="69732"/>
  </conditionalFormatting>
  <conditionalFormatting sqref="B375">
    <cfRule type="duplicateValues" dxfId="4944" priority="952"/>
    <cfRule type="duplicateValues" dxfId="4943" priority="953"/>
  </conditionalFormatting>
  <conditionalFormatting sqref="B380">
    <cfRule type="duplicateValues" dxfId="4942" priority="1898"/>
    <cfRule type="duplicateValues" dxfId="4941" priority="1899"/>
  </conditionalFormatting>
  <conditionalFormatting sqref="B381">
    <cfRule type="duplicateValues" dxfId="4940" priority="1896"/>
    <cfRule type="duplicateValues" dxfId="4939" priority="1897"/>
  </conditionalFormatting>
  <conditionalFormatting sqref="B382">
    <cfRule type="duplicateValues" dxfId="4938" priority="1894"/>
    <cfRule type="duplicateValues" dxfId="4937" priority="1895"/>
  </conditionalFormatting>
  <conditionalFormatting sqref="B391">
    <cfRule type="duplicateValues" dxfId="4936" priority="1883"/>
    <cfRule type="duplicateValues" dxfId="4935" priority="1884"/>
    <cfRule type="duplicateValues" dxfId="4934" priority="1885"/>
    <cfRule type="duplicateValues" dxfId="4933" priority="1886"/>
    <cfRule type="duplicateValues" dxfId="4932" priority="1887"/>
    <cfRule type="duplicateValues" dxfId="4931" priority="1888"/>
    <cfRule type="duplicateValues" dxfId="4930" priority="1889"/>
    <cfRule type="duplicateValues" dxfId="4929" priority="1890"/>
    <cfRule type="duplicateValues" dxfId="4928" priority="1891"/>
    <cfRule type="duplicateValues" dxfId="4927" priority="1892"/>
    <cfRule type="duplicateValues" dxfId="4926" priority="1893"/>
  </conditionalFormatting>
  <conditionalFormatting sqref="B398">
    <cfRule type="duplicateValues" dxfId="4925" priority="64142"/>
    <cfRule type="duplicateValues" dxfId="4924" priority="64143"/>
    <cfRule type="duplicateValues" dxfId="4923" priority="64144"/>
    <cfRule type="duplicateValues" dxfId="4922" priority="64145"/>
    <cfRule type="duplicateValues" dxfId="4921" priority="64146"/>
    <cfRule type="duplicateValues" dxfId="4920" priority="64147"/>
    <cfRule type="duplicateValues" dxfId="4919" priority="64148"/>
  </conditionalFormatting>
  <conditionalFormatting sqref="B406">
    <cfRule type="duplicateValues" dxfId="4918" priority="64167"/>
    <cfRule type="duplicateValues" dxfId="4917" priority="64168"/>
    <cfRule type="duplicateValues" dxfId="4916" priority="64169"/>
    <cfRule type="duplicateValues" dxfId="4915" priority="64170"/>
    <cfRule type="duplicateValues" dxfId="4914" priority="64171"/>
    <cfRule type="duplicateValues" dxfId="4913" priority="64172"/>
    <cfRule type="duplicateValues" dxfId="4912" priority="64173"/>
    <cfRule type="duplicateValues" dxfId="4911" priority="64174"/>
    <cfRule type="duplicateValues" dxfId="4910" priority="64175"/>
    <cfRule type="duplicateValues" dxfId="4909" priority="64176"/>
  </conditionalFormatting>
  <conditionalFormatting sqref="B407">
    <cfRule type="duplicateValues" dxfId="4908" priority="64177"/>
    <cfRule type="duplicateValues" dxfId="4907" priority="64178"/>
    <cfRule type="duplicateValues" dxfId="4906" priority="64179"/>
    <cfRule type="duplicateValues" dxfId="4905" priority="64180"/>
    <cfRule type="duplicateValues" dxfId="4904" priority="64181"/>
    <cfRule type="duplicateValues" dxfId="4903" priority="64182"/>
    <cfRule type="duplicateValues" dxfId="4902" priority="64183"/>
    <cfRule type="duplicateValues" dxfId="4901" priority="64184"/>
    <cfRule type="duplicateValues" dxfId="4900" priority="64185"/>
    <cfRule type="duplicateValues" dxfId="4899" priority="64186"/>
  </conditionalFormatting>
  <conditionalFormatting sqref="B410">
    <cfRule type="duplicateValues" dxfId="4898" priority="64187"/>
    <cfRule type="duplicateValues" dxfId="4897" priority="64188"/>
    <cfRule type="duplicateValues" dxfId="4896" priority="64189"/>
    <cfRule type="duplicateValues" dxfId="4895" priority="64190"/>
    <cfRule type="duplicateValues" dxfId="4894" priority="64191"/>
    <cfRule type="duplicateValues" dxfId="4893" priority="64192"/>
    <cfRule type="duplicateValues" dxfId="4892" priority="64193"/>
    <cfRule type="duplicateValues" dxfId="4891" priority="64194"/>
    <cfRule type="duplicateValues" dxfId="4890" priority="64195"/>
    <cfRule type="duplicateValues" dxfId="4889" priority="64196"/>
  </conditionalFormatting>
  <conditionalFormatting sqref="B416">
    <cfRule type="duplicateValues" dxfId="4888" priority="64197"/>
    <cfRule type="duplicateValues" dxfId="4887" priority="64198"/>
    <cfRule type="duplicateValues" dxfId="4886" priority="64199"/>
    <cfRule type="duplicateValues" dxfId="4885" priority="64200"/>
    <cfRule type="duplicateValues" dxfId="4884" priority="64201"/>
    <cfRule type="duplicateValues" dxfId="4883" priority="64202"/>
    <cfRule type="duplicateValues" dxfId="4882" priority="64203"/>
    <cfRule type="duplicateValues" dxfId="4881" priority="64204"/>
    <cfRule type="duplicateValues" dxfId="4880" priority="64205"/>
    <cfRule type="duplicateValues" dxfId="4879" priority="64206"/>
  </conditionalFormatting>
  <conditionalFormatting sqref="B419">
    <cfRule type="expression" dxfId="4878" priority="64207">
      <formula>$H419="PROX. VENCIMENTO (2 MESES)"</formula>
    </cfRule>
    <cfRule type="expression" dxfId="4877" priority="64208">
      <formula>$H419="CALIBRAÇÃO VENCIDA"</formula>
    </cfRule>
    <cfRule type="expression" dxfId="4876" priority="64209">
      <formula>$H419="PROX. VENCIMENTO"</formula>
    </cfRule>
    <cfRule type="expression" dxfId="4875" priority="64210">
      <formula>$H419="CALIBRADO"</formula>
    </cfRule>
    <cfRule type="expression" dxfId="4874" priority="64211">
      <formula>$H419="DANIFICADO"</formula>
    </cfRule>
    <cfRule type="expression" dxfId="4873" priority="64212">
      <formula>$H419="VENCIDO"</formula>
    </cfRule>
    <cfRule type="expression" dxfId="4872" priority="64213">
      <formula>$H419="NO PRAZO"</formula>
    </cfRule>
    <cfRule type="expression" dxfId="4871" priority="64214">
      <formula>$H419="CALIBRAR"</formula>
    </cfRule>
    <cfRule type="expression" dxfId="4870" priority="64215">
      <formula>$H419="SEM CALIBRAÇÃO"</formula>
    </cfRule>
    <cfRule type="duplicateValues" dxfId="4869" priority="64216"/>
    <cfRule type="duplicateValues" dxfId="4868" priority="64217"/>
    <cfRule type="duplicateValues" dxfId="4867" priority="64218"/>
    <cfRule type="duplicateValues" dxfId="4866" priority="64219"/>
    <cfRule type="duplicateValues" dxfId="4865" priority="64220"/>
    <cfRule type="duplicateValues" dxfId="4864" priority="64221"/>
    <cfRule type="duplicateValues" dxfId="4863" priority="64222"/>
    <cfRule type="duplicateValues" dxfId="4862" priority="64223"/>
    <cfRule type="duplicateValues" dxfId="4861" priority="64224"/>
    <cfRule type="duplicateValues" dxfId="4860" priority="64225"/>
  </conditionalFormatting>
  <conditionalFormatting sqref="B511 A10:A546 B135:B138">
    <cfRule type="duplicateValues" dxfId="4859" priority="74397"/>
  </conditionalFormatting>
  <conditionalFormatting sqref="B511 A273:A546">
    <cfRule type="duplicateValues" dxfId="4858" priority="74395"/>
  </conditionalFormatting>
  <conditionalFormatting sqref="B519">
    <cfRule type="duplicateValues" dxfId="4857" priority="982"/>
    <cfRule type="duplicateValues" dxfId="4856" priority="983"/>
    <cfRule type="duplicateValues" dxfId="4855" priority="984"/>
    <cfRule type="duplicateValues" dxfId="4854" priority="985"/>
    <cfRule type="duplicateValues" dxfId="4853" priority="986"/>
    <cfRule type="duplicateValues" dxfId="4852" priority="987"/>
    <cfRule type="duplicateValues" dxfId="4851" priority="988"/>
    <cfRule type="duplicateValues" dxfId="4850" priority="989"/>
    <cfRule type="duplicateValues" dxfId="4849" priority="990"/>
  </conditionalFormatting>
  <conditionalFormatting sqref="B526">
    <cfRule type="duplicateValues" dxfId="4848" priority="1849"/>
    <cfRule type="duplicateValues" dxfId="4847" priority="1850"/>
  </conditionalFormatting>
  <conditionalFormatting sqref="B540 B542">
    <cfRule type="expression" dxfId="4846" priority="1556">
      <formula>$H540="PROX. VENCIMENTO"</formula>
    </cfRule>
    <cfRule type="expression" dxfId="4845" priority="1557">
      <formula>$H540="CALIBRADO"</formula>
    </cfRule>
    <cfRule type="expression" dxfId="4844" priority="1558">
      <formula>$H540="DANIFICADO"</formula>
    </cfRule>
    <cfRule type="expression" dxfId="4843" priority="1559">
      <formula>$H540="VENCIDO"</formula>
    </cfRule>
    <cfRule type="expression" dxfId="4842" priority="1560">
      <formula>$H540="NO PRAZO"</formula>
    </cfRule>
    <cfRule type="expression" dxfId="4841" priority="1561">
      <formula>$H540="CALIBRAR"</formula>
    </cfRule>
    <cfRule type="expression" dxfId="4840" priority="1562">
      <formula>$H540="SEM CALIBRAÇÃO"</formula>
    </cfRule>
    <cfRule type="duplicateValues" dxfId="4839" priority="1563"/>
    <cfRule type="duplicateValues" dxfId="4838" priority="1564"/>
    <cfRule type="duplicateValues" dxfId="4837" priority="1565"/>
    <cfRule type="duplicateValues" dxfId="4836" priority="1566"/>
    <cfRule type="duplicateValues" dxfId="4835" priority="1567"/>
    <cfRule type="duplicateValues" dxfId="4834" priority="1568"/>
    <cfRule type="expression" dxfId="4833" priority="1569">
      <formula>$H540="CALIBRAÇÃO VENCIDA"</formula>
    </cfRule>
    <cfRule type="expression" dxfId="4832" priority="1570">
      <formula>$H540="PROX. VENCIMENTO (2 MESES)"</formula>
    </cfRule>
    <cfRule type="duplicateValues" dxfId="4831" priority="1571"/>
    <cfRule type="duplicateValues" dxfId="4830" priority="1572"/>
  </conditionalFormatting>
  <conditionalFormatting sqref="B545">
    <cfRule type="duplicateValues" dxfId="4829" priority="2003"/>
    <cfRule type="duplicateValues" dxfId="4828" priority="2004"/>
    <cfRule type="duplicateValues" dxfId="4827" priority="2005"/>
    <cfRule type="duplicateValues" dxfId="4826" priority="2006"/>
    <cfRule type="duplicateValues" dxfId="4825" priority="2007"/>
    <cfRule type="duplicateValues" dxfId="4824" priority="2008"/>
    <cfRule type="duplicateValues" dxfId="4823" priority="2009"/>
    <cfRule type="duplicateValues" dxfId="4822" priority="2010"/>
    <cfRule type="duplicateValues" dxfId="4821" priority="2011"/>
  </conditionalFormatting>
  <conditionalFormatting sqref="B548">
    <cfRule type="duplicateValues" dxfId="4820" priority="478"/>
    <cfRule type="duplicateValues" dxfId="4819" priority="479"/>
    <cfRule type="duplicateValues" dxfId="4818" priority="480"/>
    <cfRule type="duplicateValues" dxfId="4817" priority="481"/>
    <cfRule type="duplicateValues" dxfId="4816" priority="482"/>
    <cfRule type="duplicateValues" dxfId="4815" priority="483"/>
  </conditionalFormatting>
  <conditionalFormatting sqref="B555">
    <cfRule type="expression" dxfId="4814" priority="771">
      <formula>$H555="PROX. VENCIMENTO (2 MESES)"</formula>
    </cfRule>
    <cfRule type="expression" dxfId="4813" priority="772">
      <formula>$H555="CALIBRAÇÃO VENCIDA"</formula>
    </cfRule>
    <cfRule type="expression" dxfId="4812" priority="773">
      <formula>$H555="PROX. VENCIMENTO"</formula>
    </cfRule>
    <cfRule type="expression" dxfId="4811" priority="774">
      <formula>$H555="CALIBRADO"</formula>
    </cfRule>
    <cfRule type="expression" dxfId="4810" priority="775">
      <formula>$H555="DANIFICADO"</formula>
    </cfRule>
    <cfRule type="expression" dxfId="4809" priority="776">
      <formula>$H555="VENCIDO"</formula>
    </cfRule>
    <cfRule type="expression" dxfId="4808" priority="777">
      <formula>$H555="NO PRAZO"</formula>
    </cfRule>
    <cfRule type="expression" dxfId="4807" priority="778">
      <formula>$H555="CALIBRAR"</formula>
    </cfRule>
    <cfRule type="expression" dxfId="4806" priority="779">
      <formula>$H555="SEM CALIBRAÇÃO"</formula>
    </cfRule>
    <cfRule type="duplicateValues" dxfId="4805" priority="780"/>
    <cfRule type="duplicateValues" dxfId="4804" priority="781"/>
    <cfRule type="duplicateValues" dxfId="4803" priority="782"/>
    <cfRule type="duplicateValues" dxfId="4802" priority="783"/>
    <cfRule type="duplicateValues" dxfId="4801" priority="784"/>
    <cfRule type="duplicateValues" dxfId="4800" priority="785"/>
  </conditionalFormatting>
  <conditionalFormatting sqref="D192 I244 A437:A446 D437:D446 G437:H446">
    <cfRule type="expression" dxfId="4799" priority="4442">
      <formula>$H192="PROX. VENCIMENTO (2 MESES)"</formula>
    </cfRule>
    <cfRule type="expression" dxfId="4798" priority="4443">
      <formula>$H192="CALIBRAÇÃO VENCIDA"</formula>
    </cfRule>
    <cfRule type="expression" dxfId="4797" priority="4444">
      <formula>$H192="PROX. VENCIMENTO"</formula>
    </cfRule>
    <cfRule type="expression" dxfId="4796" priority="4445">
      <formula>$H192="CALIBRADO"</formula>
    </cfRule>
    <cfRule type="expression" dxfId="4795" priority="4446">
      <formula>$H192="DANIFICADO"</formula>
    </cfRule>
    <cfRule type="expression" dxfId="4794" priority="4447">
      <formula>$H192="VENCIDO"</formula>
    </cfRule>
    <cfRule type="expression" dxfId="4793" priority="4448">
      <formula>$H192="NO PRAZO"</formula>
    </cfRule>
    <cfRule type="expression" dxfId="4792" priority="4449">
      <formula>$H192="CALIBRAR"</formula>
    </cfRule>
    <cfRule type="expression" dxfId="4791" priority="4450">
      <formula>$H192="SEM CALIBRAÇÃO"</formula>
    </cfRule>
  </conditionalFormatting>
  <conditionalFormatting sqref="D244">
    <cfRule type="expression" dxfId="4790" priority="4559">
      <formula>$H244="PROX. VENCIMENTO (2 MESES)"</formula>
    </cfRule>
    <cfRule type="expression" dxfId="4789" priority="4560">
      <formula>$H244="CALIBRAÇÃO VENCIDA"</formula>
    </cfRule>
    <cfRule type="expression" dxfId="4788" priority="4561">
      <formula>$H244="PROX. VENCIMENTO"</formula>
    </cfRule>
    <cfRule type="expression" dxfId="4787" priority="4562">
      <formula>$H244="CALIBRADO"</formula>
    </cfRule>
    <cfRule type="expression" dxfId="4786" priority="4563">
      <formula>$H244="DANIFICADO"</formula>
    </cfRule>
    <cfRule type="expression" dxfId="4785" priority="4564">
      <formula>$H244="VENCIDO"</formula>
    </cfRule>
    <cfRule type="expression" dxfId="4784" priority="4565">
      <formula>$H244="NO PRAZO"</formula>
    </cfRule>
    <cfRule type="expression" dxfId="4783" priority="4566">
      <formula>$H244="CALIBRAR"</formula>
    </cfRule>
    <cfRule type="expression" dxfId="4782" priority="4567">
      <formula>$H244="SEM CALIBRAÇÃO"</formula>
    </cfRule>
  </conditionalFormatting>
  <conditionalFormatting sqref="D252">
    <cfRule type="expression" dxfId="4781" priority="3417">
      <formula>$H252="PROX. VENCIMENTO (2 MESES)"</formula>
    </cfRule>
    <cfRule type="expression" dxfId="4780" priority="3418">
      <formula>$H252="CALIBRAÇÃO VENCIDA"</formula>
    </cfRule>
    <cfRule type="expression" dxfId="4779" priority="3419">
      <formula>$H252="PROX. VENCIMENTO"</formula>
    </cfRule>
    <cfRule type="expression" dxfId="4778" priority="3420">
      <formula>$H252="CALIBRADO"</formula>
    </cfRule>
    <cfRule type="expression" dxfId="4777" priority="3421">
      <formula>$H252="DANIFICADO"</formula>
    </cfRule>
    <cfRule type="expression" dxfId="4776" priority="3422">
      <formula>$H252="VENCIDO"</formula>
    </cfRule>
    <cfRule type="expression" dxfId="4775" priority="3423">
      <formula>$H252="NO PRAZO"</formula>
    </cfRule>
    <cfRule type="expression" dxfId="4774" priority="3424">
      <formula>$H252="CALIBRAR"</formula>
    </cfRule>
    <cfRule type="expression" dxfId="4773" priority="3425">
      <formula>$H252="SEM CALIBRAÇÃO"</formula>
    </cfRule>
  </conditionalFormatting>
  <conditionalFormatting sqref="D449">
    <cfRule type="expression" dxfId="4772" priority="3444">
      <formula>$H449="PROX. VENCIMENTO (2 MESES)"</formula>
    </cfRule>
    <cfRule type="expression" dxfId="4771" priority="3445">
      <formula>$H449="CALIBRAÇÃO VENCIDA"</formula>
    </cfRule>
    <cfRule type="expression" dxfId="4770" priority="3446">
      <formula>$H449="PROX. VENCIMENTO"</formula>
    </cfRule>
    <cfRule type="expression" dxfId="4769" priority="3447">
      <formula>$H449="CALIBRADO"</formula>
    </cfRule>
    <cfRule type="expression" dxfId="4768" priority="3448">
      <formula>$H449="DANIFICADO"</formula>
    </cfRule>
    <cfRule type="expression" dxfId="4767" priority="3449">
      <formula>$H449="VENCIDO"</formula>
    </cfRule>
    <cfRule type="expression" dxfId="4766" priority="3450">
      <formula>$H449="NO PRAZO"</formula>
    </cfRule>
    <cfRule type="expression" dxfId="4765" priority="3451">
      <formula>$H449="CALIBRAR"</formula>
    </cfRule>
    <cfRule type="expression" dxfId="4764" priority="3452">
      <formula>$H449="SEM CALIBRAÇÃO"</formula>
    </cfRule>
  </conditionalFormatting>
  <conditionalFormatting sqref="D545">
    <cfRule type="expression" dxfId="4763" priority="2012">
      <formula>$H545="PROX. VENCIMENTO (2 MESES)"</formula>
    </cfRule>
    <cfRule type="expression" dxfId="4762" priority="2013">
      <formula>$H545="CALIBRAÇÃO VENCIDA"</formula>
    </cfRule>
    <cfRule type="expression" dxfId="4761" priority="2014">
      <formula>$H545="PROX. VENCIMENTO"</formula>
    </cfRule>
    <cfRule type="expression" dxfId="4760" priority="2015">
      <formula>$H545="CALIBRADO"</formula>
    </cfRule>
    <cfRule type="expression" dxfId="4759" priority="2016">
      <formula>$H545="DANIFICADO"</formula>
    </cfRule>
    <cfRule type="expression" dxfId="4758" priority="2017">
      <formula>$H545="VENCIDO"</formula>
    </cfRule>
    <cfRule type="expression" dxfId="4757" priority="2018">
      <formula>$H545="NO PRAZO"</formula>
    </cfRule>
    <cfRule type="expression" dxfId="4756" priority="2019">
      <formula>$H545="CALIBRAR"</formula>
    </cfRule>
    <cfRule type="expression" dxfId="4755" priority="2020">
      <formula>$H545="SEM CALIBRAÇÃO"</formula>
    </cfRule>
  </conditionalFormatting>
  <conditionalFormatting sqref="D549:D570">
    <cfRule type="expression" dxfId="4754" priority="728">
      <formula>$H549="PROX. VENCIMENTO (2 MESES)"</formula>
    </cfRule>
    <cfRule type="expression" dxfId="4753" priority="729">
      <formula>$H549="CALIBRAÇÃO VENCIDA"</formula>
    </cfRule>
    <cfRule type="expression" dxfId="4752" priority="730">
      <formula>$H549="PROX. VENCIMENTO"</formula>
    </cfRule>
    <cfRule type="expression" dxfId="4751" priority="731">
      <formula>$H549="CALIBRADO"</formula>
    </cfRule>
    <cfRule type="expression" dxfId="4750" priority="732">
      <formula>$H549="DANIFICADO"</formula>
    </cfRule>
    <cfRule type="expression" dxfId="4749" priority="733">
      <formula>$H549="VENCIDO"</formula>
    </cfRule>
    <cfRule type="expression" dxfId="4748" priority="734">
      <formula>$H549="NO PRAZO"</formula>
    </cfRule>
    <cfRule type="expression" dxfId="4747" priority="735">
      <formula>$H549="CALIBRAR"</formula>
    </cfRule>
    <cfRule type="expression" dxfId="4746" priority="736">
      <formula>$H549="SEM CALIBRAÇÃO"</formula>
    </cfRule>
  </conditionalFormatting>
  <conditionalFormatting sqref="G419:H419">
    <cfRule type="expression" dxfId="4745" priority="6233">
      <formula>$H419="PROX. VENCIMENTO (2 MESES)"</formula>
    </cfRule>
    <cfRule type="expression" dxfId="4744" priority="6234">
      <formula>$H419="CALIBRAÇÃO VENCIDA"</formula>
    </cfRule>
    <cfRule type="expression" dxfId="4743" priority="6235">
      <formula>$H419="PROX. VENCIMENTO"</formula>
    </cfRule>
    <cfRule type="expression" dxfId="4742" priority="6236">
      <formula>$H419="CALIBRADO"</formula>
    </cfRule>
    <cfRule type="expression" dxfId="4741" priority="6237">
      <formula>$H419="DANIFICADO"</formula>
    </cfRule>
    <cfRule type="expression" dxfId="4740" priority="6238">
      <formula>$H419="VENCIDO"</formula>
    </cfRule>
    <cfRule type="expression" dxfId="4739" priority="6239">
      <formula>$H419="NO PRAZO"</formula>
    </cfRule>
    <cfRule type="expression" dxfId="4738" priority="6240">
      <formula>$H419="CALIBRAR"</formula>
    </cfRule>
    <cfRule type="expression" dxfId="4737" priority="6241">
      <formula>$H419="SEM CALIBRAÇÃO"</formula>
    </cfRule>
  </conditionalFormatting>
  <conditionalFormatting sqref="G522:H523">
    <cfRule type="expression" dxfId="4736" priority="3780">
      <formula>$H522="PROX. VENCIMENTO (2 MESES)"</formula>
    </cfRule>
    <cfRule type="expression" dxfId="4735" priority="3781">
      <formula>$H522="CALIBRAÇÃO VENCIDA"</formula>
    </cfRule>
    <cfRule type="expression" dxfId="4734" priority="3782">
      <formula>$H522="PROX. VENCIMENTO"</formula>
    </cfRule>
    <cfRule type="expression" dxfId="4733" priority="3783">
      <formula>$H522="CALIBRADO"</formula>
    </cfRule>
    <cfRule type="expression" dxfId="4732" priority="3784">
      <formula>$H522="DANIFICADO"</formula>
    </cfRule>
    <cfRule type="expression" dxfId="4731" priority="3785">
      <formula>$H522="VENCIDO"</formula>
    </cfRule>
    <cfRule type="expression" dxfId="4730" priority="3786">
      <formula>$H522="NO PRAZO"</formula>
    </cfRule>
    <cfRule type="expression" dxfId="4729" priority="3787">
      <formula>$H522="CALIBRAR"</formula>
    </cfRule>
    <cfRule type="expression" dxfId="4728" priority="3788">
      <formula>$H522="SEM CALIBRAÇÃO"</formula>
    </cfRule>
  </conditionalFormatting>
  <conditionalFormatting sqref="G540:H542">
    <cfRule type="expression" dxfId="4727" priority="2054">
      <formula>$H540="PROX. VENCIMENTO (2 MESES)"</formula>
    </cfRule>
    <cfRule type="expression" dxfId="4726" priority="2055">
      <formula>$H540="CALIBRAÇÃO VENCIDA"</formula>
    </cfRule>
    <cfRule type="expression" dxfId="4725" priority="2056">
      <formula>$H540="PROX. VENCIMENTO"</formula>
    </cfRule>
    <cfRule type="expression" dxfId="4724" priority="2057">
      <formula>$H540="CALIBRADO"</formula>
    </cfRule>
    <cfRule type="expression" dxfId="4723" priority="2058">
      <formula>$H540="DANIFICADO"</formula>
    </cfRule>
    <cfRule type="expression" dxfId="4722" priority="2059">
      <formula>$H540="VENCIDO"</formula>
    </cfRule>
    <cfRule type="expression" dxfId="4721" priority="2060">
      <formula>$H540="NO PRAZO"</formula>
    </cfRule>
    <cfRule type="expression" dxfId="4720" priority="2061">
      <formula>$H540="CALIBRAR"</formula>
    </cfRule>
    <cfRule type="expression" dxfId="4719" priority="2062">
      <formula>$H540="SEM CALIBRAÇÃO"</formula>
    </cfRule>
  </conditionalFormatting>
  <conditionalFormatting sqref="G562:H566">
    <cfRule type="expression" dxfId="4718" priority="737">
      <formula>$H562="PROX. VENCIMENTO (2 MESES)"</formula>
    </cfRule>
    <cfRule type="expression" dxfId="4717" priority="738">
      <formula>$H562="CALIBRAÇÃO VENCIDA"</formula>
    </cfRule>
    <cfRule type="expression" dxfId="4716" priority="739">
      <formula>$H562="PROX. VENCIMENTO"</formula>
    </cfRule>
    <cfRule type="expression" dxfId="4715" priority="740">
      <formula>$H562="CALIBRADO"</formula>
    </cfRule>
    <cfRule type="expression" dxfId="4714" priority="741">
      <formula>$H562="DANIFICADO"</formula>
    </cfRule>
    <cfRule type="expression" dxfId="4713" priority="742">
      <formula>$H562="VENCIDO"</formula>
    </cfRule>
    <cfRule type="expression" dxfId="4712" priority="743">
      <formula>$H562="NO PRAZO"</formula>
    </cfRule>
    <cfRule type="expression" dxfId="4711" priority="744">
      <formula>$H562="CALIBRAR"</formula>
    </cfRule>
    <cfRule type="expression" dxfId="4710" priority="745">
      <formula>$H562="SEM CALIBRAÇÃO"</formula>
    </cfRule>
  </conditionalFormatting>
  <conditionalFormatting sqref="G447:I447">
    <cfRule type="expression" dxfId="4709" priority="4568">
      <formula>$H447="PROX. VENCIMENTO (2 MESES)"</formula>
    </cfRule>
    <cfRule type="expression" dxfId="4708" priority="4569">
      <formula>$H447="CALIBRAÇÃO VENCIDA"</formula>
    </cfRule>
    <cfRule type="expression" dxfId="4707" priority="4570">
      <formula>$H447="PROX. VENCIMENTO"</formula>
    </cfRule>
    <cfRule type="expression" dxfId="4706" priority="4571">
      <formula>$H447="CALIBRADO"</formula>
    </cfRule>
    <cfRule type="expression" dxfId="4705" priority="4572">
      <formula>$H447="DANIFICADO"</formula>
    </cfRule>
    <cfRule type="expression" dxfId="4704" priority="4573">
      <formula>$H447="VENCIDO"</formula>
    </cfRule>
    <cfRule type="expression" dxfId="4703" priority="4574">
      <formula>$H447="NO PRAZO"</formula>
    </cfRule>
    <cfRule type="expression" dxfId="4702" priority="4575">
      <formula>$H447="CALIBRAR"</formula>
    </cfRule>
    <cfRule type="expression" dxfId="4701" priority="4576">
      <formula>$H447="SEM CALIBRAÇÃO"</formula>
    </cfRule>
  </conditionalFormatting>
  <conditionalFormatting sqref="G521:I521">
    <cfRule type="expression" dxfId="4700" priority="3810">
      <formula>$H521="CALIBRAÇÃO VENCIDA"</formula>
    </cfRule>
    <cfRule type="expression" dxfId="4699" priority="3811">
      <formula>$H521="PROX. VENCIMENTO"</formula>
    </cfRule>
    <cfRule type="expression" dxfId="4698" priority="3812">
      <formula>$H521="CALIBRADO"</formula>
    </cfRule>
    <cfRule type="expression" dxfId="4697" priority="3813">
      <formula>$H521="DANIFICADO"</formula>
    </cfRule>
    <cfRule type="expression" dxfId="4696" priority="3814">
      <formula>$H521="VENCIDO"</formula>
    </cfRule>
    <cfRule type="expression" dxfId="4695" priority="3815">
      <formula>$H521="NO PRAZO"</formula>
    </cfRule>
    <cfRule type="expression" dxfId="4694" priority="3816">
      <formula>$H521="CALIBRAR"</formula>
    </cfRule>
    <cfRule type="expression" dxfId="4693" priority="3817">
      <formula>$H521="SEM CALIBRAÇÃO"</formula>
    </cfRule>
  </conditionalFormatting>
  <conditionalFormatting sqref="G524:I529 D526:D535 H530:I530 G531:I534 G535:H535">
    <cfRule type="expression" dxfId="4692" priority="3771">
      <formula>$G524="PROX. VENCIMENTO (2 MESES)"</formula>
    </cfRule>
    <cfRule type="expression" dxfId="4691" priority="3772">
      <formula>$G524="CALIBRAÇÃO VENCIDA"</formula>
    </cfRule>
    <cfRule type="expression" dxfId="4690" priority="3773">
      <formula>$G524="PROX. VENCIMENTO"</formula>
    </cfRule>
    <cfRule type="expression" dxfId="4689" priority="3774">
      <formula>$G524="CALIBRADO"</formula>
    </cfRule>
    <cfRule type="expression" dxfId="4688" priority="3775">
      <formula>$G524="DANIFICADO"</formula>
    </cfRule>
    <cfRule type="expression" dxfId="4687" priority="3776">
      <formula>$G524="VENCIDO"</formula>
    </cfRule>
    <cfRule type="expression" dxfId="4686" priority="3777">
      <formula>$G524="NO PRAZO"</formula>
    </cfRule>
    <cfRule type="expression" dxfId="4685" priority="3778">
      <formula>$G524="CALIBRAR"</formula>
    </cfRule>
    <cfRule type="expression" dxfId="4684" priority="3779">
      <formula>$G524="SEM CALIBRAÇÃO"</formula>
    </cfRule>
  </conditionalFormatting>
  <conditionalFormatting sqref="G536:I539 A536:A544 D537:D544 G543:I544">
    <cfRule type="expression" dxfId="4683" priority="2094">
      <formula>$H536="PROX. VENCIMENTO"</formula>
    </cfRule>
    <cfRule type="expression" dxfId="4682" priority="2095">
      <formula>$H536="CALIBRADO"</formula>
    </cfRule>
    <cfRule type="expression" dxfId="4681" priority="2096">
      <formula>$H536="DANIFICADO"</formula>
    </cfRule>
    <cfRule type="expression" dxfId="4680" priority="2097">
      <formula>$H536="VENCIDO"</formula>
    </cfRule>
    <cfRule type="expression" dxfId="4679" priority="2098">
      <formula>$H536="NO PRAZO"</formula>
    </cfRule>
    <cfRule type="expression" dxfId="4678" priority="2099">
      <formula>$H536="CALIBRAR"</formula>
    </cfRule>
    <cfRule type="expression" dxfId="4677" priority="2100">
      <formula>$H536="SEM CALIBRAÇÃO"</formula>
    </cfRule>
  </conditionalFormatting>
  <conditionalFormatting sqref="G549:I561">
    <cfRule type="expression" dxfId="4676" priority="200">
      <formula>$H549="PROX. VENCIMENTO (2 MESES)"</formula>
    </cfRule>
    <cfRule type="expression" dxfId="4675" priority="201">
      <formula>$H549="CALIBRAÇÃO VENCIDA"</formula>
    </cfRule>
    <cfRule type="expression" dxfId="4674" priority="202">
      <formula>$H549="PROX. VENCIMENTO"</formula>
    </cfRule>
    <cfRule type="expression" dxfId="4673" priority="203">
      <formula>$H549="CALIBRADO"</formula>
    </cfRule>
    <cfRule type="expression" dxfId="4672" priority="204">
      <formula>$H549="DANIFICADO"</formula>
    </cfRule>
    <cfRule type="expression" dxfId="4671" priority="205">
      <formula>$H549="VENCIDO"</formula>
    </cfRule>
    <cfRule type="expression" dxfId="4670" priority="206">
      <formula>$H549="NO PRAZO"</formula>
    </cfRule>
    <cfRule type="expression" dxfId="4669" priority="207">
      <formula>$H549="CALIBRAR"</formula>
    </cfRule>
    <cfRule type="expression" dxfId="4668" priority="208">
      <formula>$H549="SEM CALIBRAÇÃO"</formula>
    </cfRule>
  </conditionalFormatting>
  <conditionalFormatting sqref="I176">
    <cfRule type="expression" dxfId="4667" priority="4550">
      <formula>$H176="PROX. VENCIMENTO (2 MESES)"</formula>
    </cfRule>
    <cfRule type="expression" dxfId="4666" priority="4551">
      <formula>$H176="CALIBRAÇÃO VENCIDA"</formula>
    </cfRule>
    <cfRule type="expression" dxfId="4665" priority="4552">
      <formula>$H176="PROX. VENCIMENTO"</formula>
    </cfRule>
    <cfRule type="expression" dxfId="4664" priority="4553">
      <formula>$H176="CALIBRADO"</formula>
    </cfRule>
    <cfRule type="expression" dxfId="4663" priority="4554">
      <formula>$H176="DANIFICADO"</formula>
    </cfRule>
    <cfRule type="expression" dxfId="4662" priority="4555">
      <formula>$H176="VENCIDO"</formula>
    </cfRule>
    <cfRule type="expression" dxfId="4661" priority="4556">
      <formula>$H176="NO PRAZO"</formula>
    </cfRule>
    <cfRule type="expression" dxfId="4660" priority="4557">
      <formula>$H176="CALIBRAR"</formula>
    </cfRule>
    <cfRule type="expression" dxfId="4659" priority="4558">
      <formula>$H176="SEM CALIBRAÇÃO"</formula>
    </cfRule>
  </conditionalFormatting>
  <conditionalFormatting sqref="I211:I213">
    <cfRule type="expression" dxfId="4658" priority="4523">
      <formula>$H211="PROX. VENCIMENTO (2 MESES)"</formula>
    </cfRule>
    <cfRule type="expression" dxfId="4657" priority="4524">
      <formula>$H211="CALIBRAÇÃO VENCIDA"</formula>
    </cfRule>
    <cfRule type="expression" dxfId="4656" priority="4525">
      <formula>$H211="PROX. VENCIMENTO"</formula>
    </cfRule>
    <cfRule type="expression" dxfId="4655" priority="4526">
      <formula>$H211="CALIBRADO"</formula>
    </cfRule>
    <cfRule type="expression" dxfId="4654" priority="4527">
      <formula>$H211="DANIFICADO"</formula>
    </cfRule>
    <cfRule type="expression" dxfId="4653" priority="4528">
      <formula>$H211="VENCIDO"</formula>
    </cfRule>
    <cfRule type="expression" dxfId="4652" priority="4529">
      <formula>$H211="NO PRAZO"</formula>
    </cfRule>
    <cfRule type="expression" dxfId="4651" priority="4530">
      <formula>$H211="CALIBRAR"</formula>
    </cfRule>
    <cfRule type="expression" dxfId="4650" priority="4531">
      <formula>$H211="SEM CALIBRAÇÃO"</formula>
    </cfRule>
  </conditionalFormatting>
  <conditionalFormatting sqref="I279">
    <cfRule type="expression" dxfId="4649" priority="4637">
      <formula>$H279="PROX. VENCIMENTO (2 MESES)"</formula>
    </cfRule>
    <cfRule type="expression" dxfId="4648" priority="4638">
      <formula>$H279="CALIBRAÇÃO VENCIDA"</formula>
    </cfRule>
    <cfRule type="expression" dxfId="4647" priority="4639">
      <formula>$H279="PROX. VENCIMENTO"</formula>
    </cfRule>
    <cfRule type="expression" dxfId="4646" priority="4640">
      <formula>$H279="CALIBRADO"</formula>
    </cfRule>
    <cfRule type="expression" dxfId="4645" priority="4641">
      <formula>$H279="DANIFICADO"</formula>
    </cfRule>
    <cfRule type="expression" dxfId="4644" priority="4642">
      <formula>$H279="VENCIDO"</formula>
    </cfRule>
    <cfRule type="expression" dxfId="4643" priority="4643">
      <formula>$H279="NO PRAZO"</formula>
    </cfRule>
    <cfRule type="expression" dxfId="4642" priority="4644">
      <formula>$H279="CALIBRAR"</formula>
    </cfRule>
    <cfRule type="expression" dxfId="4641" priority="4645">
      <formula>$H279="SEM CALIBRAÇÃO"</formula>
    </cfRule>
  </conditionalFormatting>
  <conditionalFormatting sqref="I421:I436">
    <cfRule type="expression" dxfId="4640" priority="28078">
      <formula>#REF!="PROX. VENCIMENTO (2 MESES)"</formula>
    </cfRule>
    <cfRule type="expression" dxfId="4639" priority="28079">
      <formula>#REF!="CALIBRAÇÃO VENCIDA"</formula>
    </cfRule>
    <cfRule type="expression" dxfId="4638" priority="28080">
      <formula>#REF!="PROX. VENCIMENTO"</formula>
    </cfRule>
    <cfRule type="expression" dxfId="4637" priority="28081">
      <formula>#REF!="CALIBRADO"</formula>
    </cfRule>
    <cfRule type="expression" dxfId="4636" priority="28082">
      <formula>#REF!="DANIFICADO"</formula>
    </cfRule>
    <cfRule type="expression" dxfId="4635" priority="28083">
      <formula>#REF!="VENCIDO"</formula>
    </cfRule>
    <cfRule type="expression" dxfId="4634" priority="28084">
      <formula>#REF!="NO PRAZO"</formula>
    </cfRule>
    <cfRule type="expression" dxfId="4633" priority="28085">
      <formula>#REF!="CALIBRAR"</formula>
    </cfRule>
    <cfRule type="expression" dxfId="4632" priority="28086">
      <formula>#REF!="SEM CALIBRAÇÃO"</formula>
    </cfRule>
  </conditionalFormatting>
  <conditionalFormatting sqref="I523">
    <cfRule type="expression" dxfId="4631" priority="3789">
      <formula>$H499="PROX. VENCIMENTO (2 MESES)"</formula>
    </cfRule>
    <cfRule type="expression" dxfId="4630" priority="3790">
      <formula>$H499="CALIBRAÇÃO VENCIDA"</formula>
    </cfRule>
    <cfRule type="expression" dxfId="4629" priority="3791">
      <formula>$H499="PROX. VENCIMENTO"</formula>
    </cfRule>
    <cfRule type="expression" dxfId="4628" priority="3792">
      <formula>$H499="CALIBRADO"</formula>
    </cfRule>
    <cfRule type="expression" dxfId="4627" priority="3793">
      <formula>$H499="DANIFICADO"</formula>
    </cfRule>
    <cfRule type="expression" dxfId="4626" priority="3794">
      <formula>$H499="VENCIDO"</formula>
    </cfRule>
    <cfRule type="expression" dxfId="4625" priority="3795">
      <formula>$H499="NO PRAZO"</formula>
    </cfRule>
    <cfRule type="expression" dxfId="4624" priority="3796">
      <formula>$H499="CALIBRAR"</formula>
    </cfRule>
    <cfRule type="expression" dxfId="4623" priority="3797">
      <formula>$H499="SEM CALIBRAÇÃO"</formula>
    </cfRule>
  </conditionalFormatting>
  <conditionalFormatting sqref="I545">
    <cfRule type="expression" dxfId="4622" priority="2021">
      <formula>$H545="PROX. VENCIMENTO (2 MESES)"</formula>
    </cfRule>
    <cfRule type="expression" dxfId="4621" priority="2022">
      <formula>$H545="CALIBRAÇÃO VENCIDA"</formula>
    </cfRule>
    <cfRule type="expression" dxfId="4620" priority="2023">
      <formula>$H545="PROX. VENCIMENTO"</formula>
    </cfRule>
    <cfRule type="expression" dxfId="4619" priority="2024">
      <formula>$H545="CALIBRADO"</formula>
    </cfRule>
    <cfRule type="expression" dxfId="4618" priority="2025">
      <formula>$H545="DANIFICADO"</formula>
    </cfRule>
    <cfRule type="expression" dxfId="4617" priority="2026">
      <formula>$H545="VENCIDO"</formula>
    </cfRule>
    <cfRule type="expression" dxfId="4616" priority="2027">
      <formula>$H545="NO PRAZO"</formula>
    </cfRule>
    <cfRule type="expression" dxfId="4615" priority="2028">
      <formula>$H545="CALIBRAR"</formula>
    </cfRule>
    <cfRule type="expression" dxfId="4614" priority="2029">
      <formula>$H545="SEM CALIBRAÇÃO"</formula>
    </cfRule>
  </conditionalFormatting>
  <conditionalFormatting sqref="J533">
    <cfRule type="expression" dxfId="4613" priority="3760">
      <formula>$G533="PROX. VENCIMENTO (2 MESES)"</formula>
    </cfRule>
    <cfRule type="expression" dxfId="4612" priority="3761">
      <formula>$G533="CALIBRAÇÃO VENCIDA"</formula>
    </cfRule>
    <cfRule type="expression" dxfId="4611" priority="3762">
      <formula>$G533="PROX. VENCIMENTO"</formula>
    </cfRule>
    <cfRule type="expression" dxfId="4610" priority="3763">
      <formula>$G533="CALIBRADO"</formula>
    </cfRule>
    <cfRule type="expression" dxfId="4609" priority="3764">
      <formula>$G533="DANIFICADO"</formula>
    </cfRule>
    <cfRule type="expression" dxfId="4608" priority="3765">
      <formula>$G533="VENCIDO"</formula>
    </cfRule>
    <cfRule type="expression" dxfId="4607" priority="3766">
      <formula>$G533="NO PRAZO"</formula>
    </cfRule>
    <cfRule type="expression" dxfId="4606" priority="3767">
      <formula>$G533="CALIBRAR"</formula>
    </cfRule>
    <cfRule type="expression" dxfId="4605" priority="3768">
      <formula>$G533="SEM CALIBRAÇÃO"</formula>
    </cfRule>
  </conditionalFormatting>
  <conditionalFormatting sqref="K160:K171 M160:M171 K449:O478">
    <cfRule type="cellIs" dxfId="4604" priority="2429" operator="equal">
      <formula>"X"</formula>
    </cfRule>
  </conditionalFormatting>
  <conditionalFormatting sqref="K408:N408 M437:N446">
    <cfRule type="cellIs" dxfId="4603" priority="5780" operator="equal">
      <formula>"X"</formula>
    </cfRule>
  </conditionalFormatting>
  <conditionalFormatting sqref="K10:O159 N160:O171 L160:L177 K172:K177 M172:O177 K409:O436 K437:L446 O437:O446 K178:O407">
    <cfRule type="cellIs" dxfId="4602" priority="5548" operator="equal">
      <formula>"X"</formula>
    </cfRule>
  </conditionalFormatting>
  <conditionalFormatting sqref="K447:O448">
    <cfRule type="cellIs" dxfId="4601" priority="5096" operator="equal">
      <formula>"X"</formula>
    </cfRule>
  </conditionalFormatting>
  <conditionalFormatting sqref="K479:O570">
    <cfRule type="cellIs" dxfId="4600" priority="795" operator="equal">
      <formula>"X"</formula>
    </cfRule>
  </conditionalFormatting>
  <conditionalFormatting sqref="O408">
    <cfRule type="cellIs" dxfId="4599" priority="6175" operator="equal">
      <formula>"X"</formula>
    </cfRule>
  </conditionalFormatting>
  <conditionalFormatting sqref="R10">
    <cfRule type="duplicateValues" dxfId="4598" priority="1062"/>
    <cfRule type="duplicateValues" dxfId="4597" priority="1063"/>
    <cfRule type="duplicateValues" dxfId="4596" priority="1064"/>
    <cfRule type="duplicateValues" dxfId="4595" priority="1065"/>
  </conditionalFormatting>
  <conditionalFormatting sqref="R11">
    <cfRule type="duplicateValues" dxfId="4594" priority="1058"/>
    <cfRule type="duplicateValues" dxfId="4593" priority="1059"/>
    <cfRule type="duplicateValues" dxfId="4592" priority="1060"/>
    <cfRule type="duplicateValues" dxfId="4591" priority="1061"/>
  </conditionalFormatting>
  <conditionalFormatting sqref="R12">
    <cfRule type="duplicateValues" dxfId="4590" priority="355"/>
    <cfRule type="duplicateValues" dxfId="4589" priority="356"/>
    <cfRule type="duplicateValues" dxfId="4588" priority="357"/>
    <cfRule type="duplicateValues" dxfId="4587" priority="358"/>
  </conditionalFormatting>
  <conditionalFormatting sqref="R13">
    <cfRule type="duplicateValues" dxfId="4586" priority="351"/>
    <cfRule type="duplicateValues" dxfId="4585" priority="352"/>
    <cfRule type="duplicateValues" dxfId="4584" priority="353"/>
    <cfRule type="duplicateValues" dxfId="4583" priority="354"/>
  </conditionalFormatting>
  <conditionalFormatting sqref="R14">
    <cfRule type="duplicateValues" dxfId="4582" priority="1054"/>
    <cfRule type="duplicateValues" dxfId="4581" priority="1055"/>
    <cfRule type="duplicateValues" dxfId="4580" priority="1056"/>
    <cfRule type="duplicateValues" dxfId="4579" priority="1057"/>
  </conditionalFormatting>
  <conditionalFormatting sqref="R15">
    <cfRule type="duplicateValues" dxfId="4578" priority="975"/>
    <cfRule type="duplicateValues" dxfId="4577" priority="976"/>
    <cfRule type="duplicateValues" dxfId="4576" priority="977"/>
    <cfRule type="duplicateValues" dxfId="4575" priority="978"/>
  </conditionalFormatting>
  <conditionalFormatting sqref="R16">
    <cfRule type="duplicateValues" dxfId="4574" priority="1499"/>
    <cfRule type="duplicateValues" dxfId="4573" priority="1500"/>
    <cfRule type="duplicateValues" dxfId="4572" priority="1501"/>
  </conditionalFormatting>
  <conditionalFormatting sqref="R17">
    <cfRule type="duplicateValues" dxfId="4571" priority="1496"/>
    <cfRule type="duplicateValues" dxfId="4570" priority="1497"/>
    <cfRule type="duplicateValues" dxfId="4569" priority="1498"/>
  </conditionalFormatting>
  <conditionalFormatting sqref="R18">
    <cfRule type="duplicateValues" dxfId="4568" priority="1490"/>
    <cfRule type="duplicateValues" dxfId="4567" priority="1491"/>
    <cfRule type="duplicateValues" dxfId="4566" priority="1492"/>
  </conditionalFormatting>
  <conditionalFormatting sqref="R19">
    <cfRule type="duplicateValues" dxfId="4565" priority="1487"/>
    <cfRule type="duplicateValues" dxfId="4564" priority="1488"/>
    <cfRule type="duplicateValues" dxfId="4563" priority="1489"/>
  </conditionalFormatting>
  <conditionalFormatting sqref="R20">
    <cfRule type="duplicateValues" dxfId="4562" priority="1218"/>
    <cfRule type="duplicateValues" dxfId="4561" priority="1219"/>
    <cfRule type="duplicateValues" dxfId="4560" priority="1220"/>
    <cfRule type="duplicateValues" dxfId="4559" priority="1221"/>
  </conditionalFormatting>
  <conditionalFormatting sqref="R21">
    <cfRule type="duplicateValues" dxfId="4558" priority="1163"/>
    <cfRule type="duplicateValues" dxfId="4557" priority="1164"/>
    <cfRule type="duplicateValues" dxfId="4556" priority="1165"/>
    <cfRule type="duplicateValues" dxfId="4555" priority="1166"/>
  </conditionalFormatting>
  <conditionalFormatting sqref="R22">
    <cfRule type="duplicateValues" dxfId="4554" priority="1147"/>
    <cfRule type="duplicateValues" dxfId="4553" priority="1148"/>
    <cfRule type="duplicateValues" dxfId="4552" priority="1149"/>
    <cfRule type="duplicateValues" dxfId="4551" priority="1150"/>
  </conditionalFormatting>
  <conditionalFormatting sqref="R23">
    <cfRule type="duplicateValues" dxfId="4550" priority="1107"/>
    <cfRule type="duplicateValues" dxfId="4549" priority="1108"/>
    <cfRule type="duplicateValues" dxfId="4548" priority="1109"/>
    <cfRule type="duplicateValues" dxfId="4547" priority="1110"/>
  </conditionalFormatting>
  <conditionalFormatting sqref="R24">
    <cfRule type="duplicateValues" dxfId="4546" priority="1123"/>
    <cfRule type="duplicateValues" dxfId="4545" priority="1124"/>
    <cfRule type="duplicateValues" dxfId="4544" priority="1125"/>
    <cfRule type="duplicateValues" dxfId="4543" priority="1126"/>
  </conditionalFormatting>
  <conditionalFormatting sqref="R25">
    <cfRule type="duplicateValues" dxfId="4542" priority="1159"/>
    <cfRule type="duplicateValues" dxfId="4541" priority="1160"/>
    <cfRule type="duplicateValues" dxfId="4540" priority="1161"/>
    <cfRule type="duplicateValues" dxfId="4539" priority="1162"/>
  </conditionalFormatting>
  <conditionalFormatting sqref="R26">
    <cfRule type="duplicateValues" dxfId="4538" priority="1143"/>
    <cfRule type="duplicateValues" dxfId="4537" priority="1144"/>
    <cfRule type="duplicateValues" dxfId="4536" priority="1145"/>
    <cfRule type="duplicateValues" dxfId="4535" priority="1146"/>
  </conditionalFormatting>
  <conditionalFormatting sqref="R27">
    <cfRule type="duplicateValues" dxfId="4534" priority="1103"/>
    <cfRule type="duplicateValues" dxfId="4533" priority="1104"/>
    <cfRule type="duplicateValues" dxfId="4532" priority="1105"/>
    <cfRule type="duplicateValues" dxfId="4531" priority="1106"/>
  </conditionalFormatting>
  <conditionalFormatting sqref="R28">
    <cfRule type="duplicateValues" dxfId="4530" priority="1119"/>
    <cfRule type="duplicateValues" dxfId="4529" priority="1120"/>
    <cfRule type="duplicateValues" dxfId="4528" priority="1121"/>
    <cfRule type="duplicateValues" dxfId="4527" priority="1122"/>
  </conditionalFormatting>
  <conditionalFormatting sqref="R29">
    <cfRule type="duplicateValues" dxfId="4526" priority="1155"/>
    <cfRule type="duplicateValues" dxfId="4525" priority="1156"/>
    <cfRule type="duplicateValues" dxfId="4524" priority="1157"/>
    <cfRule type="duplicateValues" dxfId="4523" priority="1158"/>
  </conditionalFormatting>
  <conditionalFormatting sqref="R30">
    <cfRule type="duplicateValues" dxfId="4522" priority="1139"/>
    <cfRule type="duplicateValues" dxfId="4521" priority="1140"/>
    <cfRule type="duplicateValues" dxfId="4520" priority="1141"/>
    <cfRule type="duplicateValues" dxfId="4519" priority="1142"/>
  </conditionalFormatting>
  <conditionalFormatting sqref="R31">
    <cfRule type="duplicateValues" dxfId="4518" priority="1099"/>
    <cfRule type="duplicateValues" dxfId="4517" priority="1100"/>
    <cfRule type="duplicateValues" dxfId="4516" priority="1101"/>
    <cfRule type="duplicateValues" dxfId="4515" priority="1102"/>
  </conditionalFormatting>
  <conditionalFormatting sqref="R32">
    <cfRule type="duplicateValues" dxfId="4514" priority="1115"/>
    <cfRule type="duplicateValues" dxfId="4513" priority="1116"/>
    <cfRule type="duplicateValues" dxfId="4512" priority="1117"/>
    <cfRule type="duplicateValues" dxfId="4511" priority="1118"/>
  </conditionalFormatting>
  <conditionalFormatting sqref="R33">
    <cfRule type="duplicateValues" dxfId="4510" priority="1151"/>
    <cfRule type="duplicateValues" dxfId="4509" priority="1152"/>
    <cfRule type="duplicateValues" dxfId="4508" priority="1153"/>
    <cfRule type="duplicateValues" dxfId="4507" priority="1154"/>
  </conditionalFormatting>
  <conditionalFormatting sqref="R34">
    <cfRule type="duplicateValues" dxfId="4506" priority="1135"/>
    <cfRule type="duplicateValues" dxfId="4505" priority="1136"/>
    <cfRule type="duplicateValues" dxfId="4504" priority="1137"/>
    <cfRule type="duplicateValues" dxfId="4503" priority="1138"/>
  </conditionalFormatting>
  <conditionalFormatting sqref="R35">
    <cfRule type="duplicateValues" dxfId="4502" priority="1095"/>
    <cfRule type="duplicateValues" dxfId="4501" priority="1096"/>
    <cfRule type="duplicateValues" dxfId="4500" priority="1097"/>
    <cfRule type="duplicateValues" dxfId="4499" priority="1098"/>
  </conditionalFormatting>
  <conditionalFormatting sqref="R36">
    <cfRule type="duplicateValues" dxfId="4498" priority="1111"/>
    <cfRule type="duplicateValues" dxfId="4497" priority="1112"/>
    <cfRule type="duplicateValues" dxfId="4496" priority="1113"/>
    <cfRule type="duplicateValues" dxfId="4495" priority="1114"/>
  </conditionalFormatting>
  <conditionalFormatting sqref="R37">
    <cfRule type="duplicateValues" dxfId="4494" priority="1091"/>
    <cfRule type="duplicateValues" dxfId="4493" priority="1092"/>
    <cfRule type="duplicateValues" dxfId="4492" priority="1093"/>
    <cfRule type="duplicateValues" dxfId="4491" priority="1094"/>
  </conditionalFormatting>
  <conditionalFormatting sqref="R38">
    <cfRule type="duplicateValues" dxfId="4490" priority="1087"/>
    <cfRule type="duplicateValues" dxfId="4489" priority="1088"/>
    <cfRule type="duplicateValues" dxfId="4488" priority="1089"/>
    <cfRule type="duplicateValues" dxfId="4487" priority="1090"/>
  </conditionalFormatting>
  <conditionalFormatting sqref="R39">
    <cfRule type="duplicateValues" dxfId="4486" priority="1083"/>
    <cfRule type="duplicateValues" dxfId="4485" priority="1084"/>
    <cfRule type="duplicateValues" dxfId="4484" priority="1085"/>
    <cfRule type="duplicateValues" dxfId="4483" priority="1086"/>
  </conditionalFormatting>
  <conditionalFormatting sqref="R41">
    <cfRule type="duplicateValues" dxfId="4482" priority="4992"/>
    <cfRule type="duplicateValues" dxfId="4481" priority="4993"/>
  </conditionalFormatting>
  <conditionalFormatting sqref="R42">
    <cfRule type="duplicateValues" dxfId="4480" priority="1525"/>
    <cfRule type="duplicateValues" dxfId="4479" priority="1526"/>
    <cfRule type="duplicateValues" dxfId="4478" priority="1527"/>
  </conditionalFormatting>
  <conditionalFormatting sqref="R43">
    <cfRule type="duplicateValues" dxfId="4477" priority="1522"/>
    <cfRule type="duplicateValues" dxfId="4476" priority="1523"/>
    <cfRule type="duplicateValues" dxfId="4475" priority="1524"/>
  </conditionalFormatting>
  <conditionalFormatting sqref="R44">
    <cfRule type="duplicateValues" dxfId="4474" priority="1519"/>
    <cfRule type="duplicateValues" dxfId="4473" priority="1520"/>
    <cfRule type="duplicateValues" dxfId="4472" priority="1521"/>
  </conditionalFormatting>
  <conditionalFormatting sqref="R45">
    <cfRule type="duplicateValues" dxfId="4471" priority="1516"/>
    <cfRule type="duplicateValues" dxfId="4470" priority="1517"/>
    <cfRule type="duplicateValues" dxfId="4469" priority="1518"/>
  </conditionalFormatting>
  <conditionalFormatting sqref="R46">
    <cfRule type="duplicateValues" dxfId="4468" priority="1513"/>
    <cfRule type="duplicateValues" dxfId="4467" priority="1514"/>
    <cfRule type="duplicateValues" dxfId="4466" priority="1515"/>
  </conditionalFormatting>
  <conditionalFormatting sqref="R47">
    <cfRule type="duplicateValues" dxfId="4465" priority="1484"/>
    <cfRule type="duplicateValues" dxfId="4464" priority="1485"/>
    <cfRule type="duplicateValues" dxfId="4463" priority="1486"/>
  </conditionalFormatting>
  <conditionalFormatting sqref="R48">
    <cfRule type="duplicateValues" dxfId="4462" priority="1481"/>
    <cfRule type="duplicateValues" dxfId="4461" priority="1482"/>
    <cfRule type="duplicateValues" dxfId="4460" priority="1483"/>
  </conditionalFormatting>
  <conditionalFormatting sqref="R49">
    <cfRule type="duplicateValues" dxfId="4459" priority="1478"/>
    <cfRule type="duplicateValues" dxfId="4458" priority="1479"/>
    <cfRule type="duplicateValues" dxfId="4457" priority="1480"/>
  </conditionalFormatting>
  <conditionalFormatting sqref="R50">
    <cfRule type="duplicateValues" dxfId="4456" priority="1475"/>
    <cfRule type="duplicateValues" dxfId="4455" priority="1476"/>
    <cfRule type="duplicateValues" dxfId="4454" priority="1477"/>
  </conditionalFormatting>
  <conditionalFormatting sqref="R51">
    <cfRule type="duplicateValues" dxfId="4453" priority="1472"/>
    <cfRule type="duplicateValues" dxfId="4452" priority="1473"/>
    <cfRule type="duplicateValues" dxfId="4451" priority="1474"/>
  </conditionalFormatting>
  <conditionalFormatting sqref="R52">
    <cfRule type="duplicateValues" dxfId="4450" priority="1469"/>
    <cfRule type="duplicateValues" dxfId="4449" priority="1470"/>
    <cfRule type="duplicateValues" dxfId="4448" priority="1471"/>
  </conditionalFormatting>
  <conditionalFormatting sqref="R53">
    <cfRule type="duplicateValues" dxfId="4447" priority="1463"/>
    <cfRule type="duplicateValues" dxfId="4446" priority="1464"/>
    <cfRule type="duplicateValues" dxfId="4445" priority="1465"/>
  </conditionalFormatting>
  <conditionalFormatting sqref="R54">
    <cfRule type="duplicateValues" dxfId="4444" priority="1460"/>
    <cfRule type="duplicateValues" dxfId="4443" priority="1461"/>
    <cfRule type="duplicateValues" dxfId="4442" priority="1462"/>
  </conditionalFormatting>
  <conditionalFormatting sqref="R55">
    <cfRule type="duplicateValues" dxfId="4441" priority="1658"/>
    <cfRule type="duplicateValues" dxfId="4440" priority="1659"/>
    <cfRule type="duplicateValues" dxfId="4439" priority="1660"/>
  </conditionalFormatting>
  <conditionalFormatting sqref="R56">
    <cfRule type="duplicateValues" dxfId="4438" priority="1655"/>
    <cfRule type="duplicateValues" dxfId="4437" priority="1656"/>
    <cfRule type="duplicateValues" dxfId="4436" priority="1657"/>
  </conditionalFormatting>
  <conditionalFormatting sqref="R57">
    <cfRule type="duplicateValues" dxfId="4435" priority="1652"/>
    <cfRule type="duplicateValues" dxfId="4434" priority="1653"/>
    <cfRule type="duplicateValues" dxfId="4433" priority="1654"/>
  </conditionalFormatting>
  <conditionalFormatting sqref="R58">
    <cfRule type="duplicateValues" dxfId="4432" priority="1649"/>
    <cfRule type="duplicateValues" dxfId="4431" priority="1650"/>
    <cfRule type="duplicateValues" dxfId="4430" priority="1651"/>
  </conditionalFormatting>
  <conditionalFormatting sqref="R59">
    <cfRule type="duplicateValues" dxfId="4429" priority="1646"/>
    <cfRule type="duplicateValues" dxfId="4428" priority="1647"/>
    <cfRule type="duplicateValues" dxfId="4427" priority="1648"/>
  </conditionalFormatting>
  <conditionalFormatting sqref="R60">
    <cfRule type="duplicateValues" dxfId="4426" priority="1643"/>
    <cfRule type="duplicateValues" dxfId="4425" priority="1644"/>
    <cfRule type="duplicateValues" dxfId="4424" priority="1645"/>
  </conditionalFormatting>
  <conditionalFormatting sqref="R61">
    <cfRule type="duplicateValues" dxfId="4423" priority="1214"/>
    <cfRule type="duplicateValues" dxfId="4422" priority="1215"/>
    <cfRule type="duplicateValues" dxfId="4421" priority="1216"/>
    <cfRule type="duplicateValues" dxfId="4420" priority="1217"/>
  </conditionalFormatting>
  <conditionalFormatting sqref="R62">
    <cfRule type="duplicateValues" dxfId="4419" priority="1640"/>
    <cfRule type="duplicateValues" dxfId="4418" priority="1641"/>
    <cfRule type="duplicateValues" dxfId="4417" priority="1642"/>
  </conditionalFormatting>
  <conditionalFormatting sqref="R63">
    <cfRule type="duplicateValues" dxfId="4416" priority="1637"/>
    <cfRule type="duplicateValues" dxfId="4415" priority="1638"/>
    <cfRule type="duplicateValues" dxfId="4414" priority="1639"/>
  </conditionalFormatting>
  <conditionalFormatting sqref="R64">
    <cfRule type="duplicateValues" dxfId="4413" priority="1634"/>
    <cfRule type="duplicateValues" dxfId="4412" priority="1635"/>
    <cfRule type="duplicateValues" dxfId="4411" priority="1636"/>
  </conditionalFormatting>
  <conditionalFormatting sqref="R65">
    <cfRule type="duplicateValues" dxfId="4410" priority="1633"/>
  </conditionalFormatting>
  <conditionalFormatting sqref="R66">
    <cfRule type="duplicateValues" dxfId="4409" priority="1632"/>
  </conditionalFormatting>
  <conditionalFormatting sqref="R67">
    <cfRule type="duplicateValues" dxfId="4408" priority="1629"/>
    <cfRule type="duplicateValues" dxfId="4407" priority="1630"/>
    <cfRule type="duplicateValues" dxfId="4406" priority="1631"/>
  </conditionalFormatting>
  <conditionalFormatting sqref="R68">
    <cfRule type="duplicateValues" dxfId="4405" priority="1210"/>
    <cfRule type="duplicateValues" dxfId="4404" priority="1211"/>
    <cfRule type="duplicateValues" dxfId="4403" priority="1212"/>
    <cfRule type="duplicateValues" dxfId="4402" priority="1213"/>
  </conditionalFormatting>
  <conditionalFormatting sqref="R69">
    <cfRule type="duplicateValues" dxfId="4401" priority="1206"/>
    <cfRule type="duplicateValues" dxfId="4400" priority="1207"/>
    <cfRule type="duplicateValues" dxfId="4399" priority="1208"/>
    <cfRule type="duplicateValues" dxfId="4398" priority="1209"/>
  </conditionalFormatting>
  <conditionalFormatting sqref="R70">
    <cfRule type="duplicateValues" dxfId="4397" priority="4978"/>
    <cfRule type="duplicateValues" dxfId="4396" priority="4979"/>
  </conditionalFormatting>
  <conditionalFormatting sqref="R71">
    <cfRule type="duplicateValues" dxfId="4395" priority="1531"/>
    <cfRule type="duplicateValues" dxfId="4394" priority="1532"/>
    <cfRule type="duplicateValues" dxfId="4393" priority="1533"/>
  </conditionalFormatting>
  <conditionalFormatting sqref="R72">
    <cfRule type="duplicateValues" dxfId="4392" priority="894"/>
    <cfRule type="duplicateValues" dxfId="4391" priority="895"/>
    <cfRule type="duplicateValues" dxfId="4390" priority="896"/>
    <cfRule type="duplicateValues" dxfId="4389" priority="897"/>
  </conditionalFormatting>
  <conditionalFormatting sqref="R73">
    <cfRule type="duplicateValues" dxfId="4388" priority="890"/>
    <cfRule type="duplicateValues" dxfId="4387" priority="891"/>
    <cfRule type="duplicateValues" dxfId="4386" priority="892"/>
    <cfRule type="duplicateValues" dxfId="4385" priority="893"/>
  </conditionalFormatting>
  <conditionalFormatting sqref="R74">
    <cfRule type="duplicateValues" dxfId="4384" priority="347"/>
    <cfRule type="duplicateValues" dxfId="4383" priority="348"/>
    <cfRule type="duplicateValues" dxfId="4382" priority="349"/>
  </conditionalFormatting>
  <conditionalFormatting sqref="R75">
    <cfRule type="duplicateValues" dxfId="4381" priority="343"/>
    <cfRule type="duplicateValues" dxfId="4380" priority="344"/>
    <cfRule type="duplicateValues" dxfId="4379" priority="345"/>
    <cfRule type="duplicateValues" dxfId="4378" priority="346"/>
  </conditionalFormatting>
  <conditionalFormatting sqref="R76">
    <cfRule type="duplicateValues" dxfId="4377" priority="886"/>
    <cfRule type="duplicateValues" dxfId="4376" priority="887"/>
    <cfRule type="duplicateValues" dxfId="4375" priority="888"/>
    <cfRule type="duplicateValues" dxfId="4374" priority="889"/>
  </conditionalFormatting>
  <conditionalFormatting sqref="R77">
    <cfRule type="duplicateValues" dxfId="4373" priority="882"/>
    <cfRule type="duplicateValues" dxfId="4372" priority="883"/>
    <cfRule type="duplicateValues" dxfId="4371" priority="884"/>
    <cfRule type="duplicateValues" dxfId="4370" priority="885"/>
  </conditionalFormatting>
  <conditionalFormatting sqref="R78">
    <cfRule type="duplicateValues" dxfId="4369" priority="1539"/>
    <cfRule type="duplicateValues" dxfId="4368" priority="1540"/>
    <cfRule type="duplicateValues" dxfId="4367" priority="1541"/>
  </conditionalFormatting>
  <conditionalFormatting sqref="R79">
    <cfRule type="duplicateValues" dxfId="4366" priority="878"/>
    <cfRule type="duplicateValues" dxfId="4365" priority="879"/>
    <cfRule type="duplicateValues" dxfId="4364" priority="880"/>
    <cfRule type="duplicateValues" dxfId="4363" priority="881"/>
  </conditionalFormatting>
  <conditionalFormatting sqref="R80">
    <cfRule type="duplicateValues" dxfId="4362" priority="874"/>
    <cfRule type="duplicateValues" dxfId="4361" priority="875"/>
    <cfRule type="duplicateValues" dxfId="4360" priority="876"/>
    <cfRule type="duplicateValues" dxfId="4359" priority="877"/>
  </conditionalFormatting>
  <conditionalFormatting sqref="R81">
    <cfRule type="duplicateValues" dxfId="4358" priority="1228"/>
    <cfRule type="duplicateValues" dxfId="4357" priority="1229"/>
    <cfRule type="duplicateValues" dxfId="4356" priority="1230"/>
  </conditionalFormatting>
  <conditionalFormatting sqref="R82">
    <cfRule type="duplicateValues" dxfId="4355" priority="870"/>
    <cfRule type="duplicateValues" dxfId="4354" priority="871"/>
    <cfRule type="duplicateValues" dxfId="4353" priority="872"/>
    <cfRule type="duplicateValues" dxfId="4352" priority="873"/>
  </conditionalFormatting>
  <conditionalFormatting sqref="R83">
    <cfRule type="duplicateValues" dxfId="4351" priority="866"/>
    <cfRule type="duplicateValues" dxfId="4350" priority="867"/>
    <cfRule type="duplicateValues" dxfId="4349" priority="868"/>
    <cfRule type="duplicateValues" dxfId="4348" priority="869"/>
  </conditionalFormatting>
  <conditionalFormatting sqref="R84">
    <cfRule type="duplicateValues" dxfId="4347" priority="1528"/>
    <cfRule type="duplicateValues" dxfId="4346" priority="1529"/>
    <cfRule type="duplicateValues" dxfId="4345" priority="1530"/>
  </conditionalFormatting>
  <conditionalFormatting sqref="R85">
    <cfRule type="duplicateValues" dxfId="4344" priority="372"/>
    <cfRule type="duplicateValues" dxfId="4343" priority="373"/>
    <cfRule type="duplicateValues" dxfId="4342" priority="374"/>
    <cfRule type="duplicateValues" dxfId="4341" priority="375"/>
  </conditionalFormatting>
  <conditionalFormatting sqref="R86">
    <cfRule type="duplicateValues" dxfId="4340" priority="339"/>
    <cfRule type="duplicateValues" dxfId="4339" priority="340"/>
    <cfRule type="duplicateValues" dxfId="4338" priority="341"/>
    <cfRule type="duplicateValues" dxfId="4337" priority="342"/>
  </conditionalFormatting>
  <conditionalFormatting sqref="R87">
    <cfRule type="duplicateValues" dxfId="4336" priority="335"/>
    <cfRule type="duplicateValues" dxfId="4335" priority="336"/>
    <cfRule type="duplicateValues" dxfId="4334" priority="337"/>
    <cfRule type="duplicateValues" dxfId="4333" priority="338"/>
  </conditionalFormatting>
  <conditionalFormatting sqref="R88">
    <cfRule type="duplicateValues" dxfId="4332" priority="331"/>
    <cfRule type="duplicateValues" dxfId="4331" priority="332"/>
    <cfRule type="duplicateValues" dxfId="4330" priority="333"/>
    <cfRule type="duplicateValues" dxfId="4329" priority="334"/>
  </conditionalFormatting>
  <conditionalFormatting sqref="R89">
    <cfRule type="duplicateValues" dxfId="4328" priority="327"/>
    <cfRule type="duplicateValues" dxfId="4327" priority="328"/>
    <cfRule type="duplicateValues" dxfId="4326" priority="329"/>
    <cfRule type="duplicateValues" dxfId="4325" priority="330"/>
  </conditionalFormatting>
  <conditionalFormatting sqref="R90">
    <cfRule type="duplicateValues" dxfId="4324" priority="323"/>
    <cfRule type="duplicateValues" dxfId="4323" priority="324"/>
    <cfRule type="duplicateValues" dxfId="4322" priority="325"/>
    <cfRule type="duplicateValues" dxfId="4321" priority="326"/>
  </conditionalFormatting>
  <conditionalFormatting sqref="R91">
    <cfRule type="duplicateValues" dxfId="4320" priority="319"/>
    <cfRule type="duplicateValues" dxfId="4319" priority="320"/>
    <cfRule type="duplicateValues" dxfId="4318" priority="321"/>
    <cfRule type="duplicateValues" dxfId="4317" priority="322"/>
  </conditionalFormatting>
  <conditionalFormatting sqref="R92">
    <cfRule type="duplicateValues" dxfId="4316" priority="862"/>
    <cfRule type="duplicateValues" dxfId="4315" priority="863"/>
    <cfRule type="duplicateValues" dxfId="4314" priority="864"/>
    <cfRule type="duplicateValues" dxfId="4313" priority="865"/>
  </conditionalFormatting>
  <conditionalFormatting sqref="R93">
    <cfRule type="duplicateValues" dxfId="4312" priority="858"/>
    <cfRule type="duplicateValues" dxfId="4311" priority="859"/>
    <cfRule type="duplicateValues" dxfId="4310" priority="860"/>
    <cfRule type="duplicateValues" dxfId="4309" priority="861"/>
  </conditionalFormatting>
  <conditionalFormatting sqref="R94">
    <cfRule type="duplicateValues" dxfId="4308" priority="854"/>
    <cfRule type="duplicateValues" dxfId="4307" priority="855"/>
    <cfRule type="duplicateValues" dxfId="4306" priority="856"/>
    <cfRule type="duplicateValues" dxfId="4305" priority="857"/>
  </conditionalFormatting>
  <conditionalFormatting sqref="R95">
    <cfRule type="duplicateValues" dxfId="4304" priority="850"/>
    <cfRule type="duplicateValues" dxfId="4303" priority="851"/>
    <cfRule type="duplicateValues" dxfId="4302" priority="852"/>
    <cfRule type="duplicateValues" dxfId="4301" priority="853"/>
  </conditionalFormatting>
  <conditionalFormatting sqref="R96">
    <cfRule type="duplicateValues" dxfId="4300" priority="1457"/>
    <cfRule type="duplicateValues" dxfId="4299" priority="1458"/>
    <cfRule type="duplicateValues" dxfId="4298" priority="1459"/>
  </conditionalFormatting>
  <conditionalFormatting sqref="R97">
    <cfRule type="duplicateValues" dxfId="4297" priority="1454"/>
    <cfRule type="duplicateValues" dxfId="4296" priority="1455"/>
    <cfRule type="duplicateValues" dxfId="4295" priority="1456"/>
  </conditionalFormatting>
  <conditionalFormatting sqref="R98">
    <cfRule type="duplicateValues" dxfId="4294" priority="427"/>
    <cfRule type="duplicateValues" dxfId="4293" priority="428"/>
    <cfRule type="duplicateValues" dxfId="4292" priority="429"/>
    <cfRule type="duplicateValues" dxfId="4291" priority="430"/>
  </conditionalFormatting>
  <conditionalFormatting sqref="R99">
    <cfRule type="duplicateValues" dxfId="4290" priority="423"/>
    <cfRule type="duplicateValues" dxfId="4289" priority="424"/>
    <cfRule type="duplicateValues" dxfId="4288" priority="425"/>
    <cfRule type="duplicateValues" dxfId="4287" priority="426"/>
  </conditionalFormatting>
  <conditionalFormatting sqref="R100">
    <cfRule type="duplicateValues" dxfId="4286" priority="419"/>
    <cfRule type="duplicateValues" dxfId="4285" priority="420"/>
    <cfRule type="duplicateValues" dxfId="4284" priority="421"/>
    <cfRule type="duplicateValues" dxfId="4283" priority="422"/>
  </conditionalFormatting>
  <conditionalFormatting sqref="R101">
    <cfRule type="duplicateValues" dxfId="4282" priority="415"/>
    <cfRule type="duplicateValues" dxfId="4281" priority="416"/>
    <cfRule type="duplicateValues" dxfId="4280" priority="417"/>
    <cfRule type="duplicateValues" dxfId="4279" priority="418"/>
  </conditionalFormatting>
  <conditionalFormatting sqref="R102">
    <cfRule type="duplicateValues" dxfId="4278" priority="411"/>
    <cfRule type="duplicateValues" dxfId="4277" priority="412"/>
    <cfRule type="duplicateValues" dxfId="4276" priority="413"/>
    <cfRule type="duplicateValues" dxfId="4275" priority="414"/>
  </conditionalFormatting>
  <conditionalFormatting sqref="R103">
    <cfRule type="duplicateValues" dxfId="4274" priority="407"/>
    <cfRule type="duplicateValues" dxfId="4273" priority="408"/>
    <cfRule type="duplicateValues" dxfId="4272" priority="409"/>
    <cfRule type="duplicateValues" dxfId="4271" priority="410"/>
  </conditionalFormatting>
  <conditionalFormatting sqref="R104">
    <cfRule type="duplicateValues" dxfId="4270" priority="846"/>
    <cfRule type="duplicateValues" dxfId="4269" priority="847"/>
    <cfRule type="duplicateValues" dxfId="4268" priority="848"/>
    <cfRule type="duplicateValues" dxfId="4267" priority="849"/>
  </conditionalFormatting>
  <conditionalFormatting sqref="R105">
    <cfRule type="duplicateValues" dxfId="4266" priority="842"/>
    <cfRule type="duplicateValues" dxfId="4265" priority="843"/>
    <cfRule type="duplicateValues" dxfId="4264" priority="844"/>
    <cfRule type="duplicateValues" dxfId="4263" priority="845"/>
  </conditionalFormatting>
  <conditionalFormatting sqref="R106">
    <cfRule type="duplicateValues" dxfId="4262" priority="403"/>
    <cfRule type="duplicateValues" dxfId="4261" priority="404"/>
    <cfRule type="duplicateValues" dxfId="4260" priority="405"/>
    <cfRule type="duplicateValues" dxfId="4259" priority="406"/>
  </conditionalFormatting>
  <conditionalFormatting sqref="R107">
    <cfRule type="duplicateValues" dxfId="4258" priority="399"/>
    <cfRule type="duplicateValues" dxfId="4257" priority="400"/>
    <cfRule type="duplicateValues" dxfId="4256" priority="401"/>
    <cfRule type="duplicateValues" dxfId="4255" priority="402"/>
  </conditionalFormatting>
  <conditionalFormatting sqref="R108">
    <cfRule type="duplicateValues" dxfId="4254" priority="315"/>
    <cfRule type="duplicateValues" dxfId="4253" priority="316"/>
    <cfRule type="duplicateValues" dxfId="4252" priority="317"/>
    <cfRule type="duplicateValues" dxfId="4251" priority="318"/>
  </conditionalFormatting>
  <conditionalFormatting sqref="R109">
    <cfRule type="duplicateValues" dxfId="4250" priority="311"/>
    <cfRule type="duplicateValues" dxfId="4249" priority="312"/>
    <cfRule type="duplicateValues" dxfId="4248" priority="313"/>
    <cfRule type="duplicateValues" dxfId="4247" priority="314"/>
  </conditionalFormatting>
  <conditionalFormatting sqref="R110">
    <cfRule type="duplicateValues" dxfId="4246" priority="307"/>
    <cfRule type="duplicateValues" dxfId="4245" priority="308"/>
    <cfRule type="duplicateValues" dxfId="4244" priority="309"/>
    <cfRule type="duplicateValues" dxfId="4243" priority="310"/>
  </conditionalFormatting>
  <conditionalFormatting sqref="R111">
    <cfRule type="duplicateValues" dxfId="4242" priority="303"/>
    <cfRule type="duplicateValues" dxfId="4241" priority="304"/>
    <cfRule type="duplicateValues" dxfId="4240" priority="305"/>
    <cfRule type="duplicateValues" dxfId="4239" priority="306"/>
  </conditionalFormatting>
  <conditionalFormatting sqref="R112">
    <cfRule type="duplicateValues" dxfId="4238" priority="299"/>
    <cfRule type="duplicateValues" dxfId="4237" priority="300"/>
    <cfRule type="duplicateValues" dxfId="4236" priority="301"/>
    <cfRule type="duplicateValues" dxfId="4235" priority="302"/>
  </conditionalFormatting>
  <conditionalFormatting sqref="R113">
    <cfRule type="duplicateValues" dxfId="4234" priority="295"/>
    <cfRule type="duplicateValues" dxfId="4233" priority="296"/>
    <cfRule type="duplicateValues" dxfId="4232" priority="297"/>
    <cfRule type="duplicateValues" dxfId="4231" priority="298"/>
  </conditionalFormatting>
  <conditionalFormatting sqref="R114">
    <cfRule type="duplicateValues" dxfId="4230" priority="291"/>
    <cfRule type="duplicateValues" dxfId="4229" priority="292"/>
    <cfRule type="duplicateValues" dxfId="4228" priority="293"/>
    <cfRule type="duplicateValues" dxfId="4227" priority="294"/>
  </conditionalFormatting>
  <conditionalFormatting sqref="R115">
    <cfRule type="duplicateValues" dxfId="4226" priority="287"/>
    <cfRule type="duplicateValues" dxfId="4225" priority="288"/>
    <cfRule type="duplicateValues" dxfId="4224" priority="289"/>
    <cfRule type="duplicateValues" dxfId="4223" priority="290"/>
  </conditionalFormatting>
  <conditionalFormatting sqref="R116">
    <cfRule type="duplicateValues" dxfId="4222" priority="283"/>
    <cfRule type="duplicateValues" dxfId="4221" priority="284"/>
    <cfRule type="duplicateValues" dxfId="4220" priority="285"/>
    <cfRule type="duplicateValues" dxfId="4219" priority="286"/>
  </conditionalFormatting>
  <conditionalFormatting sqref="R117">
    <cfRule type="duplicateValues" dxfId="4218" priority="279"/>
    <cfRule type="duplicateValues" dxfId="4217" priority="280"/>
    <cfRule type="duplicateValues" dxfId="4216" priority="281"/>
    <cfRule type="duplicateValues" dxfId="4215" priority="282"/>
  </conditionalFormatting>
  <conditionalFormatting sqref="R118">
    <cfRule type="duplicateValues" dxfId="4214" priority="947"/>
    <cfRule type="duplicateValues" dxfId="4213" priority="948"/>
    <cfRule type="duplicateValues" dxfId="4212" priority="949"/>
    <cfRule type="duplicateValues" dxfId="4211" priority="950"/>
  </conditionalFormatting>
  <conditionalFormatting sqref="R119">
    <cfRule type="duplicateValues" dxfId="4210" priority="943"/>
    <cfRule type="duplicateValues" dxfId="4209" priority="944"/>
    <cfRule type="duplicateValues" dxfId="4208" priority="945"/>
    <cfRule type="duplicateValues" dxfId="4207" priority="946"/>
  </conditionalFormatting>
  <conditionalFormatting sqref="R120">
    <cfRule type="duplicateValues" dxfId="4206" priority="939"/>
    <cfRule type="duplicateValues" dxfId="4205" priority="940"/>
    <cfRule type="duplicateValues" dxfId="4204" priority="941"/>
    <cfRule type="duplicateValues" dxfId="4203" priority="942"/>
  </conditionalFormatting>
  <conditionalFormatting sqref="R121">
    <cfRule type="duplicateValues" dxfId="4202" priority="4474"/>
    <cfRule type="duplicateValues" dxfId="4201" priority="4475"/>
  </conditionalFormatting>
  <conditionalFormatting sqref="R122">
    <cfRule type="duplicateValues" dxfId="4200" priority="935"/>
    <cfRule type="duplicateValues" dxfId="4199" priority="936"/>
    <cfRule type="duplicateValues" dxfId="4198" priority="937"/>
    <cfRule type="duplicateValues" dxfId="4197" priority="938"/>
  </conditionalFormatting>
  <conditionalFormatting sqref="R123">
    <cfRule type="duplicateValues" dxfId="4196" priority="931"/>
    <cfRule type="duplicateValues" dxfId="4195" priority="932"/>
    <cfRule type="duplicateValues" dxfId="4194" priority="933"/>
    <cfRule type="duplicateValues" dxfId="4193" priority="934"/>
  </conditionalFormatting>
  <conditionalFormatting sqref="R124">
    <cfRule type="duplicateValues" dxfId="4192" priority="395"/>
    <cfRule type="duplicateValues" dxfId="4191" priority="396"/>
    <cfRule type="duplicateValues" dxfId="4190" priority="397"/>
    <cfRule type="duplicateValues" dxfId="4189" priority="398"/>
  </conditionalFormatting>
  <conditionalFormatting sqref="R125">
    <cfRule type="duplicateValues" dxfId="4188" priority="391"/>
    <cfRule type="duplicateValues" dxfId="4187" priority="392"/>
    <cfRule type="duplicateValues" dxfId="4186" priority="393"/>
    <cfRule type="duplicateValues" dxfId="4185" priority="394"/>
  </conditionalFormatting>
  <conditionalFormatting sqref="R126">
    <cfRule type="duplicateValues" dxfId="4184" priority="387"/>
    <cfRule type="duplicateValues" dxfId="4183" priority="388"/>
    <cfRule type="duplicateValues" dxfId="4182" priority="389"/>
    <cfRule type="duplicateValues" dxfId="4181" priority="390"/>
  </conditionalFormatting>
  <conditionalFormatting sqref="R127">
    <cfRule type="duplicateValues" dxfId="4180" priority="377"/>
    <cfRule type="duplicateValues" dxfId="4179" priority="378"/>
    <cfRule type="duplicateValues" dxfId="4178" priority="379"/>
    <cfRule type="duplicateValues" dxfId="4177" priority="380"/>
  </conditionalFormatting>
  <conditionalFormatting sqref="R128">
    <cfRule type="duplicateValues" dxfId="4176" priority="802"/>
    <cfRule type="duplicateValues" dxfId="4175" priority="803"/>
    <cfRule type="duplicateValues" dxfId="4174" priority="804"/>
    <cfRule type="duplicateValues" dxfId="4173" priority="805"/>
  </conditionalFormatting>
  <conditionalFormatting sqref="R129">
    <cfRule type="duplicateValues" dxfId="4172" priority="368"/>
    <cfRule type="duplicateValues" dxfId="4171" priority="369"/>
    <cfRule type="duplicateValues" dxfId="4170" priority="370"/>
    <cfRule type="duplicateValues" dxfId="4169" priority="371"/>
  </conditionalFormatting>
  <conditionalFormatting sqref="R130">
    <cfRule type="duplicateValues" dxfId="4168" priority="275"/>
    <cfRule type="duplicateValues" dxfId="4167" priority="276"/>
    <cfRule type="duplicateValues" dxfId="4166" priority="277"/>
    <cfRule type="duplicateValues" dxfId="4165" priority="278"/>
  </conditionalFormatting>
  <conditionalFormatting sqref="R131">
    <cfRule type="duplicateValues" dxfId="4164" priority="271"/>
    <cfRule type="duplicateValues" dxfId="4163" priority="272"/>
    <cfRule type="duplicateValues" dxfId="4162" priority="273"/>
    <cfRule type="duplicateValues" dxfId="4161" priority="274"/>
  </conditionalFormatting>
  <conditionalFormatting sqref="R132">
    <cfRule type="duplicateValues" dxfId="4160" priority="267"/>
    <cfRule type="duplicateValues" dxfId="4159" priority="268"/>
    <cfRule type="duplicateValues" dxfId="4158" priority="269"/>
    <cfRule type="duplicateValues" dxfId="4157" priority="270"/>
  </conditionalFormatting>
  <conditionalFormatting sqref="R133">
    <cfRule type="duplicateValues" dxfId="4156" priority="927"/>
    <cfRule type="duplicateValues" dxfId="4155" priority="928"/>
    <cfRule type="duplicateValues" dxfId="4154" priority="929"/>
    <cfRule type="duplicateValues" dxfId="4153" priority="930"/>
  </conditionalFormatting>
  <conditionalFormatting sqref="R134">
    <cfRule type="duplicateValues" dxfId="4152" priority="923"/>
    <cfRule type="duplicateValues" dxfId="4151" priority="924"/>
    <cfRule type="duplicateValues" dxfId="4150" priority="925"/>
    <cfRule type="duplicateValues" dxfId="4149" priority="926"/>
  </conditionalFormatting>
  <conditionalFormatting sqref="R135">
    <cfRule type="duplicateValues" dxfId="4148" priority="157"/>
    <cfRule type="duplicateValues" dxfId="4147" priority="158"/>
    <cfRule type="duplicateValues" dxfId="4146" priority="159"/>
    <cfRule type="duplicateValues" dxfId="4145" priority="160"/>
    <cfRule type="duplicateValues" dxfId="4144" priority="161"/>
  </conditionalFormatting>
  <conditionalFormatting sqref="R136">
    <cfRule type="duplicateValues" dxfId="4143" priority="152"/>
    <cfRule type="duplicateValues" dxfId="4142" priority="153"/>
    <cfRule type="duplicateValues" dxfId="4141" priority="154"/>
    <cfRule type="duplicateValues" dxfId="4140" priority="155"/>
    <cfRule type="duplicateValues" dxfId="4139" priority="156"/>
  </conditionalFormatting>
  <conditionalFormatting sqref="R137">
    <cfRule type="duplicateValues" dxfId="4138" priority="147"/>
    <cfRule type="duplicateValues" dxfId="4137" priority="148"/>
    <cfRule type="duplicateValues" dxfId="4136" priority="149"/>
    <cfRule type="duplicateValues" dxfId="4135" priority="150"/>
    <cfRule type="duplicateValues" dxfId="4134" priority="151"/>
  </conditionalFormatting>
  <conditionalFormatting sqref="R138">
    <cfRule type="duplicateValues" dxfId="4133" priority="142"/>
    <cfRule type="duplicateValues" dxfId="4132" priority="143"/>
    <cfRule type="duplicateValues" dxfId="4131" priority="144"/>
    <cfRule type="duplicateValues" dxfId="4130" priority="145"/>
    <cfRule type="duplicateValues" dxfId="4129" priority="146"/>
  </conditionalFormatting>
  <conditionalFormatting sqref="R139">
    <cfRule type="duplicateValues" dxfId="4128" priority="1202"/>
    <cfRule type="duplicateValues" dxfId="4127" priority="1203"/>
    <cfRule type="duplicateValues" dxfId="4126" priority="1204"/>
    <cfRule type="duplicateValues" dxfId="4125" priority="1205"/>
  </conditionalFormatting>
  <conditionalFormatting sqref="R140">
    <cfRule type="duplicateValues" dxfId="4124" priority="1407"/>
    <cfRule type="duplicateValues" dxfId="4123" priority="1408"/>
    <cfRule type="duplicateValues" dxfId="4122" priority="1409"/>
  </conditionalFormatting>
  <conditionalFormatting sqref="R141">
    <cfRule type="duplicateValues" dxfId="4121" priority="1405"/>
    <cfRule type="duplicateValues" dxfId="4120" priority="1406"/>
    <cfRule type="duplicateValues" dxfId="4119" priority="3573"/>
    <cfRule type="duplicateValues" dxfId="4118" priority="3574"/>
    <cfRule type="duplicateValues" dxfId="4117" priority="5232"/>
  </conditionalFormatting>
  <conditionalFormatting sqref="R142">
    <cfRule type="duplicateValues" dxfId="4116" priority="1402"/>
    <cfRule type="duplicateValues" dxfId="4115" priority="1403"/>
    <cfRule type="duplicateValues" dxfId="4114" priority="1404"/>
  </conditionalFormatting>
  <conditionalFormatting sqref="R143">
    <cfRule type="duplicateValues" dxfId="4113" priority="1399"/>
    <cfRule type="duplicateValues" dxfId="4112" priority="1400"/>
    <cfRule type="duplicateValues" dxfId="4111" priority="1401"/>
  </conditionalFormatting>
  <conditionalFormatting sqref="R144">
    <cfRule type="duplicateValues" dxfId="4110" priority="1396"/>
    <cfRule type="duplicateValues" dxfId="4109" priority="1397"/>
    <cfRule type="duplicateValues" dxfId="4108" priority="1398"/>
  </conditionalFormatting>
  <conditionalFormatting sqref="R145">
    <cfRule type="duplicateValues" dxfId="4107" priority="1393"/>
    <cfRule type="duplicateValues" dxfId="4106" priority="1394"/>
    <cfRule type="duplicateValues" dxfId="4105" priority="1395"/>
  </conditionalFormatting>
  <conditionalFormatting sqref="R146">
    <cfRule type="duplicateValues" dxfId="4104" priority="1390"/>
    <cfRule type="duplicateValues" dxfId="4103" priority="1391"/>
    <cfRule type="duplicateValues" dxfId="4102" priority="1392"/>
  </conditionalFormatting>
  <conditionalFormatting sqref="R147">
    <cfRule type="duplicateValues" dxfId="4101" priority="1387"/>
    <cfRule type="duplicateValues" dxfId="4100" priority="1388"/>
    <cfRule type="duplicateValues" dxfId="4099" priority="1389"/>
  </conditionalFormatting>
  <conditionalFormatting sqref="R148">
    <cfRule type="duplicateValues" dxfId="4098" priority="1384"/>
    <cfRule type="duplicateValues" dxfId="4097" priority="1385"/>
    <cfRule type="duplicateValues" dxfId="4096" priority="1386"/>
  </conditionalFormatting>
  <conditionalFormatting sqref="R149">
    <cfRule type="duplicateValues" dxfId="4095" priority="1381"/>
    <cfRule type="duplicateValues" dxfId="4094" priority="1382"/>
    <cfRule type="duplicateValues" dxfId="4093" priority="1383"/>
  </conditionalFormatting>
  <conditionalFormatting sqref="R150">
    <cfRule type="duplicateValues" dxfId="4092" priority="1378"/>
    <cfRule type="duplicateValues" dxfId="4091" priority="1379"/>
    <cfRule type="duplicateValues" dxfId="4090" priority="1380"/>
  </conditionalFormatting>
  <conditionalFormatting sqref="R151">
    <cfRule type="duplicateValues" dxfId="4089" priority="1375"/>
    <cfRule type="duplicateValues" dxfId="4088" priority="1376"/>
    <cfRule type="duplicateValues" dxfId="4087" priority="1377"/>
  </conditionalFormatting>
  <conditionalFormatting sqref="R152">
    <cfRule type="duplicateValues" dxfId="4086" priority="1372"/>
    <cfRule type="duplicateValues" dxfId="4085" priority="1373"/>
    <cfRule type="duplicateValues" dxfId="4084" priority="1374"/>
  </conditionalFormatting>
  <conditionalFormatting sqref="R153">
    <cfRule type="duplicateValues" dxfId="4083" priority="1369"/>
    <cfRule type="duplicateValues" dxfId="4082" priority="1370"/>
    <cfRule type="duplicateValues" dxfId="4081" priority="1371"/>
  </conditionalFormatting>
  <conditionalFormatting sqref="R154">
    <cfRule type="duplicateValues" dxfId="4080" priority="1366"/>
    <cfRule type="duplicateValues" dxfId="4079" priority="1367"/>
    <cfRule type="duplicateValues" dxfId="4078" priority="1368"/>
  </conditionalFormatting>
  <conditionalFormatting sqref="R155">
    <cfRule type="duplicateValues" dxfId="4077" priority="1363"/>
    <cfRule type="duplicateValues" dxfId="4076" priority="1364"/>
    <cfRule type="duplicateValues" dxfId="4075" priority="1365"/>
  </conditionalFormatting>
  <conditionalFormatting sqref="R156">
    <cfRule type="duplicateValues" dxfId="4074" priority="1360"/>
    <cfRule type="duplicateValues" dxfId="4073" priority="1361"/>
    <cfRule type="duplicateValues" dxfId="4072" priority="1362"/>
  </conditionalFormatting>
  <conditionalFormatting sqref="R157">
    <cfRule type="duplicateValues" dxfId="4071" priority="1357"/>
    <cfRule type="duplicateValues" dxfId="4070" priority="1358"/>
    <cfRule type="duplicateValues" dxfId="4069" priority="1359"/>
  </conditionalFormatting>
  <conditionalFormatting sqref="R158">
    <cfRule type="duplicateValues" dxfId="4068" priority="1354"/>
    <cfRule type="duplicateValues" dxfId="4067" priority="1355"/>
    <cfRule type="duplicateValues" dxfId="4066" priority="1356"/>
  </conditionalFormatting>
  <conditionalFormatting sqref="R159">
    <cfRule type="duplicateValues" dxfId="4065" priority="1351"/>
    <cfRule type="duplicateValues" dxfId="4064" priority="1352"/>
    <cfRule type="duplicateValues" dxfId="4063" priority="1353"/>
  </conditionalFormatting>
  <conditionalFormatting sqref="R160">
    <cfRule type="duplicateValues" dxfId="4062" priority="1416"/>
    <cfRule type="duplicateValues" dxfId="4061" priority="1417"/>
    <cfRule type="duplicateValues" dxfId="4060" priority="1418"/>
  </conditionalFormatting>
  <conditionalFormatting sqref="R161">
    <cfRule type="duplicateValues" dxfId="4059" priority="1348"/>
    <cfRule type="duplicateValues" dxfId="4058" priority="1349"/>
    <cfRule type="duplicateValues" dxfId="4057" priority="1350"/>
  </conditionalFormatting>
  <conditionalFormatting sqref="R162">
    <cfRule type="duplicateValues" dxfId="4056" priority="1413"/>
    <cfRule type="duplicateValues" dxfId="4055" priority="1414"/>
    <cfRule type="duplicateValues" dxfId="4054" priority="1415"/>
  </conditionalFormatting>
  <conditionalFormatting sqref="R163">
    <cfRule type="duplicateValues" dxfId="4053" priority="1345"/>
    <cfRule type="duplicateValues" dxfId="4052" priority="1346"/>
    <cfRule type="duplicateValues" dxfId="4051" priority="1347"/>
  </conditionalFormatting>
  <conditionalFormatting sqref="R164">
    <cfRule type="duplicateValues" dxfId="4050" priority="1342"/>
    <cfRule type="duplicateValues" dxfId="4049" priority="1343"/>
    <cfRule type="duplicateValues" dxfId="4048" priority="1344"/>
  </conditionalFormatting>
  <conditionalFormatting sqref="R165">
    <cfRule type="duplicateValues" dxfId="4047" priority="1339"/>
    <cfRule type="duplicateValues" dxfId="4046" priority="1340"/>
    <cfRule type="duplicateValues" dxfId="4045" priority="1341"/>
  </conditionalFormatting>
  <conditionalFormatting sqref="R166">
    <cfRule type="duplicateValues" dxfId="4044" priority="1336"/>
    <cfRule type="duplicateValues" dxfId="4043" priority="1337"/>
    <cfRule type="duplicateValues" dxfId="4042" priority="1338"/>
  </conditionalFormatting>
  <conditionalFormatting sqref="R167">
    <cfRule type="duplicateValues" dxfId="4041" priority="1333"/>
    <cfRule type="duplicateValues" dxfId="4040" priority="1334"/>
    <cfRule type="duplicateValues" dxfId="4039" priority="1335"/>
  </conditionalFormatting>
  <conditionalFormatting sqref="R168">
    <cfRule type="duplicateValues" dxfId="4038" priority="1330"/>
    <cfRule type="duplicateValues" dxfId="4037" priority="1331"/>
    <cfRule type="duplicateValues" dxfId="4036" priority="1332"/>
  </conditionalFormatting>
  <conditionalFormatting sqref="R169">
    <cfRule type="duplicateValues" dxfId="4035" priority="1327"/>
    <cfRule type="duplicateValues" dxfId="4034" priority="1328"/>
    <cfRule type="duplicateValues" dxfId="4033" priority="1329"/>
  </conditionalFormatting>
  <conditionalFormatting sqref="R170">
    <cfRule type="duplicateValues" dxfId="4032" priority="1324"/>
    <cfRule type="duplicateValues" dxfId="4031" priority="1325"/>
    <cfRule type="duplicateValues" dxfId="4030" priority="1326"/>
  </conditionalFormatting>
  <conditionalFormatting sqref="R171">
    <cfRule type="duplicateValues" dxfId="4029" priority="1321"/>
    <cfRule type="duplicateValues" dxfId="4028" priority="1322"/>
    <cfRule type="duplicateValues" dxfId="4027" priority="1323"/>
  </conditionalFormatting>
  <conditionalFormatting sqref="R172">
    <cfRule type="duplicateValues" dxfId="4026" priority="1318"/>
    <cfRule type="duplicateValues" dxfId="4025" priority="1319"/>
    <cfRule type="duplicateValues" dxfId="4024" priority="1320"/>
  </conditionalFormatting>
  <conditionalFormatting sqref="R173">
    <cfRule type="duplicateValues" dxfId="4023" priority="1315"/>
    <cfRule type="duplicateValues" dxfId="4022" priority="1316"/>
    <cfRule type="duplicateValues" dxfId="4021" priority="1317"/>
  </conditionalFormatting>
  <conditionalFormatting sqref="R174">
    <cfRule type="duplicateValues" dxfId="4020" priority="1312"/>
    <cfRule type="duplicateValues" dxfId="4019" priority="1313"/>
    <cfRule type="duplicateValues" dxfId="4018" priority="1314"/>
  </conditionalFormatting>
  <conditionalFormatting sqref="R175">
    <cfRule type="duplicateValues" dxfId="4017" priority="1309"/>
    <cfRule type="duplicateValues" dxfId="4016" priority="1310"/>
    <cfRule type="duplicateValues" dxfId="4015" priority="1311"/>
  </conditionalFormatting>
  <conditionalFormatting sqref="R176">
    <cfRule type="duplicateValues" dxfId="4014" priority="1306"/>
    <cfRule type="duplicateValues" dxfId="4013" priority="1307"/>
    <cfRule type="duplicateValues" dxfId="4012" priority="1308"/>
  </conditionalFormatting>
  <conditionalFormatting sqref="R177">
    <cfRule type="duplicateValues" dxfId="4011" priority="1303"/>
    <cfRule type="duplicateValues" dxfId="4010" priority="1304"/>
    <cfRule type="duplicateValues" dxfId="4009" priority="1305"/>
  </conditionalFormatting>
  <conditionalFormatting sqref="R178">
    <cfRule type="duplicateValues" dxfId="4008" priority="1300"/>
    <cfRule type="duplicateValues" dxfId="4007" priority="1301"/>
    <cfRule type="duplicateValues" dxfId="4006" priority="1302"/>
  </conditionalFormatting>
  <conditionalFormatting sqref="R179">
    <cfRule type="duplicateValues" dxfId="4005" priority="1297"/>
    <cfRule type="duplicateValues" dxfId="4004" priority="1298"/>
    <cfRule type="duplicateValues" dxfId="4003" priority="1299"/>
  </conditionalFormatting>
  <conditionalFormatting sqref="R180">
    <cfRule type="duplicateValues" dxfId="4002" priority="1050"/>
    <cfRule type="duplicateValues" dxfId="4001" priority="1051"/>
    <cfRule type="duplicateValues" dxfId="4000" priority="1052"/>
    <cfRule type="duplicateValues" dxfId="3999" priority="1053"/>
  </conditionalFormatting>
  <conditionalFormatting sqref="R181">
    <cfRule type="duplicateValues" dxfId="3998" priority="1046"/>
    <cfRule type="duplicateValues" dxfId="3997" priority="1047"/>
    <cfRule type="duplicateValues" dxfId="3996" priority="1048"/>
    <cfRule type="duplicateValues" dxfId="3995" priority="1049"/>
  </conditionalFormatting>
  <conditionalFormatting sqref="R182">
    <cfRule type="duplicateValues" dxfId="3994" priority="1042"/>
    <cfRule type="duplicateValues" dxfId="3993" priority="1043"/>
    <cfRule type="duplicateValues" dxfId="3992" priority="1044"/>
    <cfRule type="duplicateValues" dxfId="3991" priority="1045"/>
  </conditionalFormatting>
  <conditionalFormatting sqref="R183">
    <cfRule type="duplicateValues" dxfId="3990" priority="1040"/>
    <cfRule type="duplicateValues" dxfId="3989" priority="1041"/>
    <cfRule type="duplicateValues" dxfId="3988" priority="2673"/>
  </conditionalFormatting>
  <conditionalFormatting sqref="R184">
    <cfRule type="duplicateValues" dxfId="3987" priority="1036"/>
    <cfRule type="duplicateValues" dxfId="3986" priority="1037"/>
    <cfRule type="duplicateValues" dxfId="3985" priority="1038"/>
    <cfRule type="duplicateValues" dxfId="3984" priority="1039"/>
  </conditionalFormatting>
  <conditionalFormatting sqref="R185">
    <cfRule type="duplicateValues" dxfId="3983" priority="1072"/>
    <cfRule type="duplicateValues" dxfId="3982" priority="1073"/>
    <cfRule type="duplicateValues" dxfId="3981" priority="1074"/>
    <cfRule type="duplicateValues" dxfId="3980" priority="1075"/>
  </conditionalFormatting>
  <conditionalFormatting sqref="R186">
    <cfRule type="duplicateValues" dxfId="3979" priority="1032"/>
    <cfRule type="duplicateValues" dxfId="3978" priority="1033"/>
    <cfRule type="duplicateValues" dxfId="3977" priority="1034"/>
    <cfRule type="duplicateValues" dxfId="3976" priority="1035"/>
  </conditionalFormatting>
  <conditionalFormatting sqref="R187">
    <cfRule type="duplicateValues" dxfId="3975" priority="1068"/>
    <cfRule type="duplicateValues" dxfId="3974" priority="1069"/>
    <cfRule type="duplicateValues" dxfId="3973" priority="1070"/>
    <cfRule type="duplicateValues" dxfId="3972" priority="1071"/>
  </conditionalFormatting>
  <conditionalFormatting sqref="R188">
    <cfRule type="duplicateValues" dxfId="3971" priority="1028"/>
    <cfRule type="duplicateValues" dxfId="3970" priority="1029"/>
    <cfRule type="duplicateValues" dxfId="3969" priority="1030"/>
    <cfRule type="duplicateValues" dxfId="3968" priority="1031"/>
  </conditionalFormatting>
  <conditionalFormatting sqref="R189">
    <cfRule type="duplicateValues" dxfId="3967" priority="1025"/>
    <cfRule type="duplicateValues" dxfId="3966" priority="1026"/>
    <cfRule type="duplicateValues" dxfId="3965" priority="1027"/>
    <cfRule type="duplicateValues" dxfId="3964" priority="3043"/>
    <cfRule type="duplicateValues" dxfId="3963" priority="3044"/>
    <cfRule type="duplicateValues" dxfId="3962" priority="4971"/>
  </conditionalFormatting>
  <conditionalFormatting sqref="R190">
    <cfRule type="duplicateValues" dxfId="3961" priority="1021"/>
    <cfRule type="duplicateValues" dxfId="3960" priority="1022"/>
    <cfRule type="duplicateValues" dxfId="3959" priority="1023"/>
    <cfRule type="duplicateValues" dxfId="3958" priority="1024"/>
  </conditionalFormatting>
  <conditionalFormatting sqref="R191">
    <cfRule type="duplicateValues" dxfId="3957" priority="3461"/>
    <cfRule type="duplicateValues" dxfId="3956" priority="3462"/>
    <cfRule type="duplicateValues" dxfId="3955" priority="3463"/>
  </conditionalFormatting>
  <conditionalFormatting sqref="R192">
    <cfRule type="duplicateValues" dxfId="3954" priority="1017"/>
    <cfRule type="duplicateValues" dxfId="3953" priority="1018"/>
    <cfRule type="duplicateValues" dxfId="3952" priority="1019"/>
    <cfRule type="duplicateValues" dxfId="3951" priority="1020"/>
  </conditionalFormatting>
  <conditionalFormatting sqref="R193">
    <cfRule type="duplicateValues" dxfId="3950" priority="4604"/>
    <cfRule type="duplicateValues" dxfId="3949" priority="4605"/>
  </conditionalFormatting>
  <conditionalFormatting sqref="R194">
    <cfRule type="duplicateValues" dxfId="3948" priority="1013"/>
    <cfRule type="duplicateValues" dxfId="3947" priority="1014"/>
    <cfRule type="duplicateValues" dxfId="3946" priority="1015"/>
    <cfRule type="duplicateValues" dxfId="3945" priority="1016"/>
  </conditionalFormatting>
  <conditionalFormatting sqref="R195">
    <cfRule type="duplicateValues" dxfId="3944" priority="1198"/>
    <cfRule type="duplicateValues" dxfId="3943" priority="1199"/>
    <cfRule type="duplicateValues" dxfId="3942" priority="1200"/>
    <cfRule type="duplicateValues" dxfId="3941" priority="1201"/>
  </conditionalFormatting>
  <conditionalFormatting sqref="R196">
    <cfRule type="duplicateValues" dxfId="3940" priority="1194"/>
    <cfRule type="duplicateValues" dxfId="3939" priority="1195"/>
    <cfRule type="duplicateValues" dxfId="3938" priority="1196"/>
    <cfRule type="duplicateValues" dxfId="3937" priority="1197"/>
  </conditionalFormatting>
  <conditionalFormatting sqref="R197">
    <cfRule type="duplicateValues" dxfId="3936" priority="1190"/>
    <cfRule type="duplicateValues" dxfId="3935" priority="1191"/>
    <cfRule type="duplicateValues" dxfId="3934" priority="1192"/>
    <cfRule type="duplicateValues" dxfId="3933" priority="1193"/>
  </conditionalFormatting>
  <conditionalFormatting sqref="R198">
    <cfRule type="duplicateValues" dxfId="3932" priority="1690"/>
    <cfRule type="duplicateValues" dxfId="3931" priority="1691"/>
    <cfRule type="duplicateValues" dxfId="3930" priority="1692"/>
  </conditionalFormatting>
  <conditionalFormatting sqref="R199">
    <cfRule type="duplicateValues" dxfId="3929" priority="1687"/>
    <cfRule type="duplicateValues" dxfId="3928" priority="1688"/>
    <cfRule type="duplicateValues" dxfId="3927" priority="1689"/>
  </conditionalFormatting>
  <conditionalFormatting sqref="R200">
    <cfRule type="duplicateValues" dxfId="3926" priority="1684"/>
    <cfRule type="duplicateValues" dxfId="3925" priority="1685"/>
    <cfRule type="duplicateValues" dxfId="3924" priority="1686"/>
  </conditionalFormatting>
  <conditionalFormatting sqref="R201">
    <cfRule type="duplicateValues" dxfId="3923" priority="1681"/>
    <cfRule type="duplicateValues" dxfId="3922" priority="1682"/>
    <cfRule type="duplicateValues" dxfId="3921" priority="1683"/>
  </conditionalFormatting>
  <conditionalFormatting sqref="R202">
    <cfRule type="duplicateValues" dxfId="3920" priority="1664"/>
    <cfRule type="duplicateValues" dxfId="3919" priority="1665"/>
    <cfRule type="duplicateValues" dxfId="3918" priority="1666"/>
  </conditionalFormatting>
  <conditionalFormatting sqref="R203">
    <cfRule type="duplicateValues" dxfId="3917" priority="1661"/>
    <cfRule type="duplicateValues" dxfId="3916" priority="1662"/>
    <cfRule type="duplicateValues" dxfId="3915" priority="1663"/>
  </conditionalFormatting>
  <conditionalFormatting sqref="R204">
    <cfRule type="duplicateValues" dxfId="3914" priority="1678"/>
    <cfRule type="duplicateValues" dxfId="3913" priority="1679"/>
    <cfRule type="duplicateValues" dxfId="3912" priority="1680"/>
  </conditionalFormatting>
  <conditionalFormatting sqref="R205">
    <cfRule type="duplicateValues" dxfId="3911" priority="1675"/>
    <cfRule type="duplicateValues" dxfId="3910" priority="1676"/>
    <cfRule type="duplicateValues" dxfId="3909" priority="1677"/>
  </conditionalFormatting>
  <conditionalFormatting sqref="R206">
    <cfRule type="duplicateValues" dxfId="3908" priority="1672"/>
    <cfRule type="duplicateValues" dxfId="3907" priority="1673"/>
    <cfRule type="duplicateValues" dxfId="3906" priority="1674"/>
  </conditionalFormatting>
  <conditionalFormatting sqref="R207">
    <cfRule type="duplicateValues" dxfId="3905" priority="1669"/>
    <cfRule type="duplicateValues" dxfId="3904" priority="1670"/>
    <cfRule type="duplicateValues" dxfId="3903" priority="1671"/>
  </conditionalFormatting>
  <conditionalFormatting sqref="R208">
    <cfRule type="duplicateValues" dxfId="3902" priority="1696"/>
    <cfRule type="duplicateValues" dxfId="3901" priority="1697"/>
    <cfRule type="duplicateValues" dxfId="3900" priority="1698"/>
  </conditionalFormatting>
  <conditionalFormatting sqref="R209">
    <cfRule type="duplicateValues" dxfId="3899" priority="1693"/>
    <cfRule type="duplicateValues" dxfId="3898" priority="1694"/>
    <cfRule type="duplicateValues" dxfId="3897" priority="1695"/>
  </conditionalFormatting>
  <conditionalFormatting sqref="R210">
    <cfRule type="duplicateValues" dxfId="3896" priority="128"/>
    <cfRule type="duplicateValues" dxfId="3895" priority="129"/>
    <cfRule type="duplicateValues" dxfId="3894" priority="130"/>
    <cfRule type="duplicateValues" dxfId="3893" priority="131"/>
    <cfRule type="duplicateValues" dxfId="3892" priority="132"/>
  </conditionalFormatting>
  <conditionalFormatting sqref="R211">
    <cfRule type="duplicateValues" dxfId="3891" priority="123"/>
    <cfRule type="duplicateValues" dxfId="3890" priority="124"/>
    <cfRule type="duplicateValues" dxfId="3889" priority="125"/>
    <cfRule type="duplicateValues" dxfId="3888" priority="126"/>
    <cfRule type="duplicateValues" dxfId="3887" priority="127"/>
  </conditionalFormatting>
  <conditionalFormatting sqref="R212">
    <cfRule type="duplicateValues" dxfId="3886" priority="1747"/>
    <cfRule type="duplicateValues" dxfId="3885" priority="1748"/>
    <cfRule type="duplicateValues" dxfId="3884" priority="1749"/>
  </conditionalFormatting>
  <conditionalFormatting sqref="R213">
    <cfRule type="duplicateValues" dxfId="3883" priority="1744"/>
    <cfRule type="duplicateValues" dxfId="3882" priority="1745"/>
    <cfRule type="duplicateValues" dxfId="3881" priority="1746"/>
  </conditionalFormatting>
  <conditionalFormatting sqref="R214">
    <cfRule type="duplicateValues" dxfId="3880" priority="1741"/>
    <cfRule type="duplicateValues" dxfId="3879" priority="1742"/>
    <cfRule type="duplicateValues" dxfId="3878" priority="1743"/>
  </conditionalFormatting>
  <conditionalFormatting sqref="R215">
    <cfRule type="duplicateValues" dxfId="3877" priority="1738"/>
    <cfRule type="duplicateValues" dxfId="3876" priority="1739"/>
    <cfRule type="duplicateValues" dxfId="3875" priority="1740"/>
  </conditionalFormatting>
  <conditionalFormatting sqref="R216">
    <cfRule type="duplicateValues" dxfId="3874" priority="1736"/>
    <cfRule type="duplicateValues" dxfId="3873" priority="1737"/>
  </conditionalFormatting>
  <conditionalFormatting sqref="R217">
    <cfRule type="duplicateValues" dxfId="3872" priority="1734"/>
    <cfRule type="duplicateValues" dxfId="3871" priority="1735"/>
    <cfRule type="duplicateValues" dxfId="3870" priority="2562"/>
    <cfRule type="duplicateValues" dxfId="3869" priority="2563"/>
  </conditionalFormatting>
  <conditionalFormatting sqref="R218">
    <cfRule type="duplicateValues" dxfId="3868" priority="121"/>
    <cfRule type="duplicateValues" dxfId="3867" priority="122"/>
  </conditionalFormatting>
  <conditionalFormatting sqref="R219">
    <cfRule type="duplicateValues" dxfId="3866" priority="119"/>
    <cfRule type="duplicateValues" dxfId="3865" priority="120"/>
  </conditionalFormatting>
  <conditionalFormatting sqref="R220">
    <cfRule type="duplicateValues" dxfId="3864" priority="117"/>
    <cfRule type="duplicateValues" dxfId="3863" priority="118"/>
  </conditionalFormatting>
  <conditionalFormatting sqref="R221">
    <cfRule type="duplicateValues" dxfId="3862" priority="115"/>
    <cfRule type="duplicateValues" dxfId="3861" priority="116"/>
  </conditionalFormatting>
  <conditionalFormatting sqref="R222">
    <cfRule type="duplicateValues" dxfId="3860" priority="113"/>
    <cfRule type="duplicateValues" dxfId="3859" priority="114"/>
  </conditionalFormatting>
  <conditionalFormatting sqref="R223">
    <cfRule type="duplicateValues" dxfId="3858" priority="111"/>
    <cfRule type="duplicateValues" dxfId="3857" priority="112"/>
  </conditionalFormatting>
  <conditionalFormatting sqref="R224">
    <cfRule type="duplicateValues" dxfId="3856" priority="109"/>
    <cfRule type="duplicateValues" dxfId="3855" priority="110"/>
  </conditionalFormatting>
  <conditionalFormatting sqref="R225">
    <cfRule type="duplicateValues" dxfId="3854" priority="107"/>
    <cfRule type="duplicateValues" dxfId="3853" priority="108"/>
  </conditionalFormatting>
  <conditionalFormatting sqref="R226">
    <cfRule type="duplicateValues" dxfId="3852" priority="105"/>
    <cfRule type="duplicateValues" dxfId="3851" priority="106"/>
  </conditionalFormatting>
  <conditionalFormatting sqref="R227">
    <cfRule type="duplicateValues" dxfId="3850" priority="103"/>
    <cfRule type="duplicateValues" dxfId="3849" priority="104"/>
  </conditionalFormatting>
  <conditionalFormatting sqref="R228">
    <cfRule type="duplicateValues" dxfId="3848" priority="101"/>
    <cfRule type="duplicateValues" dxfId="3847" priority="102"/>
  </conditionalFormatting>
  <conditionalFormatting sqref="R229">
    <cfRule type="duplicateValues" dxfId="3846" priority="99"/>
    <cfRule type="duplicateValues" dxfId="3845" priority="100"/>
  </conditionalFormatting>
  <conditionalFormatting sqref="R230">
    <cfRule type="duplicateValues" dxfId="3844" priority="97"/>
    <cfRule type="duplicateValues" dxfId="3843" priority="98"/>
  </conditionalFormatting>
  <conditionalFormatting sqref="R231">
    <cfRule type="duplicateValues" dxfId="3842" priority="95"/>
    <cfRule type="duplicateValues" dxfId="3841" priority="96"/>
  </conditionalFormatting>
  <conditionalFormatting sqref="R232">
    <cfRule type="duplicateValues" dxfId="3840" priority="93"/>
    <cfRule type="duplicateValues" dxfId="3839" priority="94"/>
  </conditionalFormatting>
  <conditionalFormatting sqref="R233">
    <cfRule type="duplicateValues" dxfId="3838" priority="91"/>
    <cfRule type="duplicateValues" dxfId="3837" priority="92"/>
  </conditionalFormatting>
  <conditionalFormatting sqref="R238">
    <cfRule type="duplicateValues" dxfId="3836" priority="1222"/>
  </conditionalFormatting>
  <conditionalFormatting sqref="R239">
    <cfRule type="duplicateValues" dxfId="3835" priority="381"/>
  </conditionalFormatting>
  <conditionalFormatting sqref="R240">
    <cfRule type="duplicateValues" dxfId="3834" priority="1752"/>
    <cfRule type="duplicateValues" dxfId="3833" priority="1753"/>
    <cfRule type="duplicateValues" dxfId="3832" priority="1754"/>
  </conditionalFormatting>
  <conditionalFormatting sqref="R244">
    <cfRule type="duplicateValues" dxfId="3831" priority="185"/>
  </conditionalFormatting>
  <conditionalFormatting sqref="R246">
    <cfRule type="duplicateValues" dxfId="3830" priority="2279"/>
    <cfRule type="duplicateValues" dxfId="3829" priority="2280"/>
    <cfRule type="duplicateValues" dxfId="3828" priority="2281"/>
  </conditionalFormatting>
  <conditionalFormatting sqref="R247 R249">
    <cfRule type="duplicateValues" dxfId="3827" priority="184"/>
  </conditionalFormatting>
  <conditionalFormatting sqref="R251">
    <cfRule type="duplicateValues" dxfId="3826" priority="183"/>
  </conditionalFormatting>
  <conditionalFormatting sqref="R252">
    <cfRule type="duplicateValues" dxfId="3825" priority="956"/>
  </conditionalFormatting>
  <conditionalFormatting sqref="R253">
    <cfRule type="duplicateValues" dxfId="3824" priority="174"/>
  </conditionalFormatting>
  <conditionalFormatting sqref="R254">
    <cfRule type="duplicateValues" dxfId="3823" priority="182"/>
  </conditionalFormatting>
  <conditionalFormatting sqref="R255:R256">
    <cfRule type="duplicateValues" dxfId="3822" priority="955"/>
  </conditionalFormatting>
  <conditionalFormatting sqref="R258">
    <cfRule type="duplicateValues" dxfId="3821" priority="361"/>
  </conditionalFormatting>
  <conditionalFormatting sqref="R259">
    <cfRule type="duplicateValues" dxfId="3820" priority="181"/>
  </conditionalFormatting>
  <conditionalFormatting sqref="R260">
    <cfRule type="duplicateValues" dxfId="3819" priority="180"/>
  </conditionalFormatting>
  <conditionalFormatting sqref="R261">
    <cfRule type="duplicateValues" dxfId="3818" priority="360"/>
  </conditionalFormatting>
  <conditionalFormatting sqref="R262">
    <cfRule type="duplicateValues" dxfId="3817" priority="179"/>
  </conditionalFormatting>
  <conditionalFormatting sqref="R263">
    <cfRule type="duplicateValues" dxfId="3816" priority="350"/>
  </conditionalFormatting>
  <conditionalFormatting sqref="R264">
    <cfRule type="duplicateValues" dxfId="3815" priority="974"/>
  </conditionalFormatting>
  <conditionalFormatting sqref="R266:R267">
    <cfRule type="duplicateValues" dxfId="3814" priority="981"/>
  </conditionalFormatting>
  <conditionalFormatting sqref="R268">
    <cfRule type="duplicateValues" dxfId="3813" priority="1001"/>
  </conditionalFormatting>
  <conditionalFormatting sqref="R270">
    <cfRule type="duplicateValues" dxfId="3812" priority="980"/>
  </conditionalFormatting>
  <conditionalFormatting sqref="R271">
    <cfRule type="duplicateValues" dxfId="3811" priority="979"/>
  </conditionalFormatting>
  <conditionalFormatting sqref="R272">
    <cfRule type="duplicateValues" dxfId="3810" priority="169"/>
    <cfRule type="duplicateValues" dxfId="3809" priority="170"/>
  </conditionalFormatting>
  <conditionalFormatting sqref="R273">
    <cfRule type="duplicateValues" dxfId="3808" priority="954"/>
  </conditionalFormatting>
  <conditionalFormatting sqref="R279">
    <cfRule type="duplicateValues" dxfId="3807" priority="29"/>
    <cfRule type="duplicateValues" dxfId="3806" priority="30"/>
  </conditionalFormatting>
  <conditionalFormatting sqref="R284">
    <cfRule type="duplicateValues" dxfId="3805" priority="1728"/>
    <cfRule type="duplicateValues" dxfId="3804" priority="1729"/>
    <cfRule type="duplicateValues" dxfId="3803" priority="1730"/>
  </conditionalFormatting>
  <conditionalFormatting sqref="R287:R288">
    <cfRule type="duplicateValues" dxfId="3802" priority="2308"/>
    <cfRule type="duplicateValues" dxfId="3801" priority="2309"/>
    <cfRule type="duplicateValues" dxfId="3800" priority="2310"/>
  </conditionalFormatting>
  <conditionalFormatting sqref="R290:R291">
    <cfRule type="duplicateValues" dxfId="3799" priority="178"/>
  </conditionalFormatting>
  <conditionalFormatting sqref="R298">
    <cfRule type="duplicateValues" dxfId="3798" priority="465"/>
  </conditionalFormatting>
  <conditionalFormatting sqref="R300">
    <cfRule type="duplicateValues" dxfId="3797" priority="177"/>
  </conditionalFormatting>
  <conditionalFormatting sqref="R301:R303">
    <cfRule type="duplicateValues" dxfId="3796" priority="973"/>
  </conditionalFormatting>
  <conditionalFormatting sqref="R304">
    <cfRule type="duplicateValues" dxfId="3795" priority="972"/>
  </conditionalFormatting>
  <conditionalFormatting sqref="R305">
    <cfRule type="duplicateValues" dxfId="3794" priority="971"/>
  </conditionalFormatting>
  <conditionalFormatting sqref="R306">
    <cfRule type="duplicateValues" dxfId="3793" priority="176"/>
  </conditionalFormatting>
  <conditionalFormatting sqref="R310">
    <cfRule type="duplicateValues" dxfId="3792" priority="359"/>
  </conditionalFormatting>
  <conditionalFormatting sqref="R322">
    <cfRule type="duplicateValues" dxfId="3791" priority="376"/>
  </conditionalFormatting>
  <conditionalFormatting sqref="R323">
    <cfRule type="duplicateValues" dxfId="3790" priority="1170"/>
  </conditionalFormatting>
  <conditionalFormatting sqref="R324">
    <cfRule type="duplicateValues" dxfId="3789" priority="1134"/>
  </conditionalFormatting>
  <conditionalFormatting sqref="R325">
    <cfRule type="duplicateValues" dxfId="3788" priority="1082"/>
  </conditionalFormatting>
  <conditionalFormatting sqref="R326">
    <cfRule type="duplicateValues" dxfId="3787" priority="1130"/>
  </conditionalFormatting>
  <conditionalFormatting sqref="R327">
    <cfRule type="duplicateValues" dxfId="3786" priority="1081"/>
  </conditionalFormatting>
  <conditionalFormatting sqref="R328">
    <cfRule type="duplicateValues" dxfId="3785" priority="1080"/>
  </conditionalFormatting>
  <conditionalFormatting sqref="R329">
    <cfRule type="duplicateValues" dxfId="3784" priority="1169"/>
  </conditionalFormatting>
  <conditionalFormatting sqref="R330">
    <cfRule type="duplicateValues" dxfId="3783" priority="1133"/>
  </conditionalFormatting>
  <conditionalFormatting sqref="R331">
    <cfRule type="duplicateValues" dxfId="3782" priority="1079"/>
  </conditionalFormatting>
  <conditionalFormatting sqref="R332">
    <cfRule type="duplicateValues" dxfId="3781" priority="1129"/>
  </conditionalFormatting>
  <conditionalFormatting sqref="R333">
    <cfRule type="duplicateValues" dxfId="3780" priority="1168"/>
  </conditionalFormatting>
  <conditionalFormatting sqref="R334">
    <cfRule type="duplicateValues" dxfId="3779" priority="1132"/>
  </conditionalFormatting>
  <conditionalFormatting sqref="R335">
    <cfRule type="duplicateValues" dxfId="3778" priority="1078"/>
  </conditionalFormatting>
  <conditionalFormatting sqref="R336">
    <cfRule type="duplicateValues" dxfId="3777" priority="1128"/>
  </conditionalFormatting>
  <conditionalFormatting sqref="R337">
    <cfRule type="duplicateValues" dxfId="3776" priority="1077"/>
  </conditionalFormatting>
  <conditionalFormatting sqref="R338">
    <cfRule type="duplicateValues" dxfId="3775" priority="1167"/>
  </conditionalFormatting>
  <conditionalFormatting sqref="R339">
    <cfRule type="duplicateValues" dxfId="3774" priority="1131"/>
  </conditionalFormatting>
  <conditionalFormatting sqref="R340">
    <cfRule type="duplicateValues" dxfId="3773" priority="1076"/>
  </conditionalFormatting>
  <conditionalFormatting sqref="R341">
    <cfRule type="duplicateValues" dxfId="3772" priority="1127"/>
  </conditionalFormatting>
  <conditionalFormatting sqref="R342">
    <cfRule type="duplicateValues" dxfId="3771" priority="922"/>
  </conditionalFormatting>
  <conditionalFormatting sqref="R343">
    <cfRule type="duplicateValues" dxfId="3770" priority="266"/>
  </conditionalFormatting>
  <conditionalFormatting sqref="R344">
    <cfRule type="duplicateValues" dxfId="3769" priority="73"/>
    <cfRule type="duplicateValues" dxfId="3768" priority="74"/>
  </conditionalFormatting>
  <conditionalFormatting sqref="R345">
    <cfRule type="duplicateValues" dxfId="3767" priority="71"/>
    <cfRule type="duplicateValues" dxfId="3766" priority="72"/>
  </conditionalFormatting>
  <conditionalFormatting sqref="R346">
    <cfRule type="duplicateValues" dxfId="3765" priority="1012"/>
  </conditionalFormatting>
  <conditionalFormatting sqref="R347">
    <cfRule type="duplicateValues" dxfId="3764" priority="1011"/>
  </conditionalFormatting>
  <conditionalFormatting sqref="R348">
    <cfRule type="duplicateValues" dxfId="3763" priority="1010"/>
  </conditionalFormatting>
  <conditionalFormatting sqref="R349">
    <cfRule type="duplicateValues" dxfId="3762" priority="1009"/>
  </conditionalFormatting>
  <conditionalFormatting sqref="R350">
    <cfRule type="duplicateValues" dxfId="3761" priority="1008"/>
  </conditionalFormatting>
  <conditionalFormatting sqref="R351">
    <cfRule type="duplicateValues" dxfId="3760" priority="1067"/>
  </conditionalFormatting>
  <conditionalFormatting sqref="R352">
    <cfRule type="duplicateValues" dxfId="3759" priority="1007"/>
  </conditionalFormatting>
  <conditionalFormatting sqref="R353">
    <cfRule type="duplicateValues" dxfId="3758" priority="1066"/>
  </conditionalFormatting>
  <conditionalFormatting sqref="R354">
    <cfRule type="duplicateValues" dxfId="3757" priority="1006"/>
  </conditionalFormatting>
  <conditionalFormatting sqref="R355">
    <cfRule type="duplicateValues" dxfId="3756" priority="1005"/>
  </conditionalFormatting>
  <conditionalFormatting sqref="R356">
    <cfRule type="duplicateValues" dxfId="3755" priority="1004"/>
  </conditionalFormatting>
  <conditionalFormatting sqref="R358">
    <cfRule type="duplicateValues" dxfId="3754" priority="1003"/>
  </conditionalFormatting>
  <conditionalFormatting sqref="R360">
    <cfRule type="duplicateValues" dxfId="3753" priority="1002"/>
  </conditionalFormatting>
  <conditionalFormatting sqref="R361">
    <cfRule type="duplicateValues" dxfId="3752" priority="1189"/>
  </conditionalFormatting>
  <conditionalFormatting sqref="R362">
    <cfRule type="duplicateValues" dxfId="3751" priority="1188"/>
  </conditionalFormatting>
  <conditionalFormatting sqref="R363">
    <cfRule type="duplicateValues" dxfId="3750" priority="1187"/>
  </conditionalFormatting>
  <conditionalFormatting sqref="R364">
    <cfRule type="duplicateValues" dxfId="3749" priority="1186"/>
  </conditionalFormatting>
  <conditionalFormatting sqref="R367">
    <cfRule type="duplicateValues" dxfId="3748" priority="1185"/>
  </conditionalFormatting>
  <conditionalFormatting sqref="R368">
    <cfRule type="duplicateValues" dxfId="3747" priority="1184"/>
  </conditionalFormatting>
  <conditionalFormatting sqref="R369">
    <cfRule type="duplicateValues" dxfId="3746" priority="1183"/>
  </conditionalFormatting>
  <conditionalFormatting sqref="R370">
    <cfRule type="duplicateValues" dxfId="3745" priority="265"/>
  </conditionalFormatting>
  <conditionalFormatting sqref="R371">
    <cfRule type="duplicateValues" dxfId="3744" priority="464"/>
  </conditionalFormatting>
  <conditionalFormatting sqref="R372">
    <cfRule type="duplicateValues" dxfId="3743" priority="463"/>
  </conditionalFormatting>
  <conditionalFormatting sqref="R373">
    <cfRule type="duplicateValues" dxfId="3742" priority="462"/>
  </conditionalFormatting>
  <conditionalFormatting sqref="R374">
    <cfRule type="duplicateValues" dxfId="3741" priority="461"/>
  </conditionalFormatting>
  <conditionalFormatting sqref="R375">
    <cfRule type="duplicateValues" dxfId="3740" priority="951"/>
  </conditionalFormatting>
  <conditionalFormatting sqref="R376">
    <cfRule type="duplicateValues" dxfId="3739" priority="367"/>
  </conditionalFormatting>
  <conditionalFormatting sqref="R377">
    <cfRule type="duplicateValues" dxfId="3738" priority="264"/>
  </conditionalFormatting>
  <conditionalFormatting sqref="R378">
    <cfRule type="duplicateValues" dxfId="3737" priority="263"/>
  </conditionalFormatting>
  <conditionalFormatting sqref="R379">
    <cfRule type="duplicateValues" dxfId="3736" priority="262"/>
  </conditionalFormatting>
  <conditionalFormatting sqref="R380">
    <cfRule type="duplicateValues" dxfId="3735" priority="140"/>
    <cfRule type="duplicateValues" dxfId="3734" priority="141"/>
  </conditionalFormatting>
  <conditionalFormatting sqref="R381">
    <cfRule type="duplicateValues" dxfId="3733" priority="138"/>
    <cfRule type="duplicateValues" dxfId="3732" priority="139"/>
  </conditionalFormatting>
  <conditionalFormatting sqref="R382">
    <cfRule type="duplicateValues" dxfId="3731" priority="136"/>
    <cfRule type="duplicateValues" dxfId="3730" priority="137"/>
  </conditionalFormatting>
  <conditionalFormatting sqref="R383">
    <cfRule type="duplicateValues" dxfId="3729" priority="89"/>
    <cfRule type="duplicateValues" dxfId="3728" priority="90"/>
  </conditionalFormatting>
  <conditionalFormatting sqref="R384">
    <cfRule type="duplicateValues" dxfId="3727" priority="87"/>
    <cfRule type="duplicateValues" dxfId="3726" priority="88"/>
  </conditionalFormatting>
  <conditionalFormatting sqref="R385">
    <cfRule type="duplicateValues" dxfId="3725" priority="85"/>
    <cfRule type="duplicateValues" dxfId="3724" priority="86"/>
  </conditionalFormatting>
  <conditionalFormatting sqref="R386">
    <cfRule type="duplicateValues" dxfId="3723" priority="83"/>
    <cfRule type="duplicateValues" dxfId="3722" priority="84"/>
  </conditionalFormatting>
  <conditionalFormatting sqref="R387">
    <cfRule type="duplicateValues" dxfId="3721" priority="81"/>
    <cfRule type="duplicateValues" dxfId="3720" priority="82"/>
  </conditionalFormatting>
  <conditionalFormatting sqref="R388">
    <cfRule type="duplicateValues" dxfId="3719" priority="79"/>
    <cfRule type="duplicateValues" dxfId="3718" priority="80"/>
  </conditionalFormatting>
  <conditionalFormatting sqref="R389">
    <cfRule type="duplicateValues" dxfId="3717" priority="77"/>
    <cfRule type="duplicateValues" dxfId="3716" priority="78"/>
  </conditionalFormatting>
  <conditionalFormatting sqref="R390">
    <cfRule type="duplicateValues" dxfId="3715" priority="75"/>
    <cfRule type="duplicateValues" dxfId="3714" priority="76"/>
  </conditionalFormatting>
  <conditionalFormatting sqref="R391">
    <cfRule type="duplicateValues" dxfId="3713" priority="134"/>
    <cfRule type="duplicateValues" dxfId="3712" priority="135"/>
  </conditionalFormatting>
  <conditionalFormatting sqref="R407">
    <cfRule type="duplicateValues" dxfId="3711" priority="1724"/>
    <cfRule type="duplicateValues" dxfId="3710" priority="1725"/>
    <cfRule type="duplicateValues" dxfId="3709" priority="1726"/>
    <cfRule type="duplicateValues" dxfId="3708" priority="1727"/>
  </conditionalFormatting>
  <conditionalFormatting sqref="R408">
    <cfRule type="duplicateValues" dxfId="3707" priority="1723"/>
  </conditionalFormatting>
  <conditionalFormatting sqref="R409">
    <cfRule type="duplicateValues" dxfId="3706" priority="1719"/>
    <cfRule type="duplicateValues" dxfId="3705" priority="1720"/>
    <cfRule type="duplicateValues" dxfId="3704" priority="1721"/>
    <cfRule type="duplicateValues" dxfId="3703" priority="1722"/>
  </conditionalFormatting>
  <conditionalFormatting sqref="R410">
    <cfRule type="duplicateValues" dxfId="3702" priority="1715"/>
    <cfRule type="duplicateValues" dxfId="3701" priority="1716"/>
    <cfRule type="duplicateValues" dxfId="3700" priority="1717"/>
    <cfRule type="duplicateValues" dxfId="3699" priority="1718"/>
  </conditionalFormatting>
  <conditionalFormatting sqref="R411">
    <cfRule type="duplicateValues" dxfId="3698" priority="1711"/>
    <cfRule type="duplicateValues" dxfId="3697" priority="1712"/>
    <cfRule type="duplicateValues" dxfId="3696" priority="1713"/>
    <cfRule type="duplicateValues" dxfId="3695" priority="1714"/>
  </conditionalFormatting>
  <conditionalFormatting sqref="R412">
    <cfRule type="duplicateValues" dxfId="3694" priority="1707"/>
    <cfRule type="duplicateValues" dxfId="3693" priority="1708"/>
    <cfRule type="duplicateValues" dxfId="3692" priority="1709"/>
    <cfRule type="duplicateValues" dxfId="3691" priority="1710"/>
  </conditionalFormatting>
  <conditionalFormatting sqref="R413">
    <cfRule type="duplicateValues" dxfId="3690" priority="1703"/>
    <cfRule type="duplicateValues" dxfId="3689" priority="1704"/>
    <cfRule type="duplicateValues" dxfId="3688" priority="1705"/>
    <cfRule type="duplicateValues" dxfId="3687" priority="1706"/>
  </conditionalFormatting>
  <conditionalFormatting sqref="R414">
    <cfRule type="duplicateValues" dxfId="3686" priority="1701"/>
    <cfRule type="duplicateValues" dxfId="3685" priority="1702"/>
  </conditionalFormatting>
  <conditionalFormatting sqref="R415">
    <cfRule type="duplicateValues" dxfId="3684" priority="67"/>
    <cfRule type="duplicateValues" dxfId="3683" priority="68"/>
    <cfRule type="duplicateValues" dxfId="3682" priority="69"/>
    <cfRule type="duplicateValues" dxfId="3681" priority="70"/>
  </conditionalFormatting>
  <conditionalFormatting sqref="R416">
    <cfRule type="duplicateValues" dxfId="3680" priority="63"/>
    <cfRule type="duplicateValues" dxfId="3679" priority="64"/>
    <cfRule type="duplicateValues" dxfId="3678" priority="65"/>
    <cfRule type="duplicateValues" dxfId="3677" priority="66"/>
  </conditionalFormatting>
  <conditionalFormatting sqref="R417">
    <cfRule type="duplicateValues" dxfId="3676" priority="59"/>
    <cfRule type="duplicateValues" dxfId="3675" priority="60"/>
    <cfRule type="duplicateValues" dxfId="3674" priority="61"/>
    <cfRule type="duplicateValues" dxfId="3673" priority="62"/>
  </conditionalFormatting>
  <conditionalFormatting sqref="R418">
    <cfRule type="duplicateValues" dxfId="3672" priority="55"/>
    <cfRule type="duplicateValues" dxfId="3671" priority="56"/>
    <cfRule type="duplicateValues" dxfId="3670" priority="57"/>
    <cfRule type="duplicateValues" dxfId="3669" priority="58"/>
  </conditionalFormatting>
  <conditionalFormatting sqref="R419">
    <cfRule type="duplicateValues" dxfId="3668" priority="49"/>
    <cfRule type="duplicateValues" dxfId="3667" priority="50"/>
    <cfRule type="duplicateValues" dxfId="3666" priority="51"/>
    <cfRule type="duplicateValues" dxfId="3665" priority="52"/>
    <cfRule type="duplicateValues" dxfId="3664" priority="53"/>
    <cfRule type="duplicateValues" dxfId="3663" priority="54"/>
  </conditionalFormatting>
  <conditionalFormatting sqref="R420">
    <cfRule type="duplicateValues" dxfId="3662" priority="43"/>
    <cfRule type="duplicateValues" dxfId="3661" priority="44"/>
    <cfRule type="duplicateValues" dxfId="3660" priority="45"/>
    <cfRule type="duplicateValues" dxfId="3659" priority="46"/>
    <cfRule type="duplicateValues" dxfId="3658" priority="47"/>
    <cfRule type="duplicateValues" dxfId="3657" priority="48"/>
  </conditionalFormatting>
  <conditionalFormatting sqref="R421">
    <cfRule type="duplicateValues" dxfId="3656" priority="37"/>
    <cfRule type="duplicateValues" dxfId="3655" priority="38"/>
    <cfRule type="duplicateValues" dxfId="3654" priority="39"/>
    <cfRule type="duplicateValues" dxfId="3653" priority="40"/>
    <cfRule type="duplicateValues" dxfId="3652" priority="41"/>
    <cfRule type="duplicateValues" dxfId="3651" priority="42"/>
  </conditionalFormatting>
  <conditionalFormatting sqref="R422">
    <cfRule type="duplicateValues" dxfId="3650" priority="31"/>
    <cfRule type="duplicateValues" dxfId="3649" priority="32"/>
    <cfRule type="duplicateValues" dxfId="3648" priority="33"/>
    <cfRule type="duplicateValues" dxfId="3647" priority="34"/>
    <cfRule type="duplicateValues" dxfId="3646" priority="35"/>
    <cfRule type="duplicateValues" dxfId="3645" priority="36"/>
  </conditionalFormatting>
  <conditionalFormatting sqref="R423">
    <cfRule type="duplicateValues" dxfId="3644" priority="1450"/>
    <cfRule type="duplicateValues" dxfId="3643" priority="1451"/>
    <cfRule type="duplicateValues" dxfId="3642" priority="1452"/>
    <cfRule type="duplicateValues" dxfId="3641" priority="1453"/>
  </conditionalFormatting>
  <conditionalFormatting sqref="R424">
    <cfRule type="duplicateValues" dxfId="3640" priority="1446"/>
    <cfRule type="duplicateValues" dxfId="3639" priority="1447"/>
    <cfRule type="duplicateValues" dxfId="3638" priority="1448"/>
    <cfRule type="duplicateValues" dxfId="3637" priority="1449"/>
  </conditionalFormatting>
  <conditionalFormatting sqref="R425">
    <cfRule type="duplicateValues" dxfId="3636" priority="1442"/>
    <cfRule type="duplicateValues" dxfId="3635" priority="1443"/>
    <cfRule type="duplicateValues" dxfId="3634" priority="1444"/>
    <cfRule type="duplicateValues" dxfId="3633" priority="1445"/>
  </conditionalFormatting>
  <conditionalFormatting sqref="R426">
    <cfRule type="duplicateValues" dxfId="3632" priority="1293"/>
    <cfRule type="duplicateValues" dxfId="3631" priority="1294"/>
    <cfRule type="duplicateValues" dxfId="3630" priority="1295"/>
    <cfRule type="duplicateValues" dxfId="3629" priority="1296"/>
  </conditionalFormatting>
  <conditionalFormatting sqref="R427">
    <cfRule type="duplicateValues" dxfId="3628" priority="1289"/>
    <cfRule type="duplicateValues" dxfId="3627" priority="1290"/>
    <cfRule type="duplicateValues" dxfId="3626" priority="1291"/>
    <cfRule type="duplicateValues" dxfId="3625" priority="1292"/>
  </conditionalFormatting>
  <conditionalFormatting sqref="R428">
    <cfRule type="duplicateValues" dxfId="3624" priority="1285"/>
    <cfRule type="duplicateValues" dxfId="3623" priority="1286"/>
    <cfRule type="duplicateValues" dxfId="3622" priority="1287"/>
    <cfRule type="duplicateValues" dxfId="3621" priority="1288"/>
  </conditionalFormatting>
  <conditionalFormatting sqref="R429">
    <cfRule type="duplicateValues" dxfId="3620" priority="1281"/>
    <cfRule type="duplicateValues" dxfId="3619" priority="1282"/>
    <cfRule type="duplicateValues" dxfId="3618" priority="1283"/>
    <cfRule type="duplicateValues" dxfId="3617" priority="1284"/>
  </conditionalFormatting>
  <conditionalFormatting sqref="R430">
    <cfRule type="duplicateValues" dxfId="3616" priority="1277"/>
    <cfRule type="duplicateValues" dxfId="3615" priority="1278"/>
    <cfRule type="duplicateValues" dxfId="3614" priority="1279"/>
    <cfRule type="duplicateValues" dxfId="3613" priority="1280"/>
  </conditionalFormatting>
  <conditionalFormatting sqref="R431">
    <cfRule type="duplicateValues" dxfId="3612" priority="1273"/>
    <cfRule type="duplicateValues" dxfId="3611" priority="1274"/>
    <cfRule type="duplicateValues" dxfId="3610" priority="1275"/>
    <cfRule type="duplicateValues" dxfId="3609" priority="1276"/>
  </conditionalFormatting>
  <conditionalFormatting sqref="R432">
    <cfRule type="duplicateValues" dxfId="3608" priority="1269"/>
    <cfRule type="duplicateValues" dxfId="3607" priority="1270"/>
    <cfRule type="duplicateValues" dxfId="3606" priority="1271"/>
    <cfRule type="duplicateValues" dxfId="3605" priority="1272"/>
  </conditionalFormatting>
  <conditionalFormatting sqref="R433">
    <cfRule type="duplicateValues" dxfId="3604" priority="1265"/>
    <cfRule type="duplicateValues" dxfId="3603" priority="1266"/>
    <cfRule type="duplicateValues" dxfId="3602" priority="1267"/>
    <cfRule type="duplicateValues" dxfId="3601" priority="1268"/>
  </conditionalFormatting>
  <conditionalFormatting sqref="R434">
    <cfRule type="duplicateValues" dxfId="3600" priority="1261"/>
    <cfRule type="duplicateValues" dxfId="3599" priority="1262"/>
    <cfRule type="duplicateValues" dxfId="3598" priority="1263"/>
    <cfRule type="duplicateValues" dxfId="3597" priority="1264"/>
  </conditionalFormatting>
  <conditionalFormatting sqref="R435">
    <cfRule type="duplicateValues" dxfId="3596" priority="1257"/>
    <cfRule type="duplicateValues" dxfId="3595" priority="1258"/>
    <cfRule type="duplicateValues" dxfId="3594" priority="1259"/>
    <cfRule type="duplicateValues" dxfId="3593" priority="1260"/>
  </conditionalFormatting>
  <conditionalFormatting sqref="R436">
    <cfRule type="duplicateValues" dxfId="3592" priority="1253"/>
    <cfRule type="duplicateValues" dxfId="3591" priority="1254"/>
    <cfRule type="duplicateValues" dxfId="3590" priority="1255"/>
    <cfRule type="duplicateValues" dxfId="3589" priority="1256"/>
  </conditionalFormatting>
  <conditionalFormatting sqref="R437">
    <cfRule type="duplicateValues" dxfId="3588" priority="1252"/>
  </conditionalFormatting>
  <conditionalFormatting sqref="R438">
    <cfRule type="duplicateValues" dxfId="3587" priority="1251"/>
  </conditionalFormatting>
  <conditionalFormatting sqref="R439">
    <cfRule type="duplicateValues" dxfId="3586" priority="1250"/>
  </conditionalFormatting>
  <conditionalFormatting sqref="R440">
    <cfRule type="duplicateValues" dxfId="3585" priority="1249"/>
  </conditionalFormatting>
  <conditionalFormatting sqref="R441">
    <cfRule type="duplicateValues" dxfId="3584" priority="1248"/>
  </conditionalFormatting>
  <conditionalFormatting sqref="R442">
    <cfRule type="duplicateValues" dxfId="3583" priority="1247"/>
  </conditionalFormatting>
  <conditionalFormatting sqref="R443">
    <cfRule type="duplicateValues" dxfId="3582" priority="1246"/>
  </conditionalFormatting>
  <conditionalFormatting sqref="R444">
    <cfRule type="duplicateValues" dxfId="3581" priority="1245"/>
  </conditionalFormatting>
  <conditionalFormatting sqref="R445">
    <cfRule type="duplicateValues" dxfId="3580" priority="1244"/>
  </conditionalFormatting>
  <conditionalFormatting sqref="R446">
    <cfRule type="duplicateValues" dxfId="3579" priority="1243"/>
  </conditionalFormatting>
  <conditionalFormatting sqref="R447">
    <cfRule type="duplicateValues" dxfId="3578" priority="1239"/>
    <cfRule type="duplicateValues" dxfId="3577" priority="1240"/>
    <cfRule type="duplicateValues" dxfId="3576" priority="1241"/>
    <cfRule type="duplicateValues" dxfId="3575" priority="1242"/>
  </conditionalFormatting>
  <conditionalFormatting sqref="R448">
    <cfRule type="duplicateValues" dxfId="3574" priority="1235"/>
    <cfRule type="duplicateValues" dxfId="3573" priority="1236"/>
    <cfRule type="duplicateValues" dxfId="3572" priority="1237"/>
    <cfRule type="duplicateValues" dxfId="3571" priority="1238"/>
  </conditionalFormatting>
  <conditionalFormatting sqref="R449">
    <cfRule type="duplicateValues" dxfId="3570" priority="1234"/>
  </conditionalFormatting>
  <conditionalFormatting sqref="R450">
    <cfRule type="duplicateValues" dxfId="3569" priority="1233"/>
  </conditionalFormatting>
  <conditionalFormatting sqref="R451">
    <cfRule type="duplicateValues" dxfId="3568" priority="1232"/>
  </conditionalFormatting>
  <conditionalFormatting sqref="R452">
    <cfRule type="duplicateValues" dxfId="3567" priority="1231"/>
  </conditionalFormatting>
  <conditionalFormatting sqref="R453">
    <cfRule type="duplicateValues" dxfId="3566" priority="1227"/>
  </conditionalFormatting>
  <conditionalFormatting sqref="R454">
    <cfRule type="duplicateValues" dxfId="3565" priority="1538"/>
  </conditionalFormatting>
  <conditionalFormatting sqref="R455">
    <cfRule type="duplicateValues" dxfId="3564" priority="840"/>
    <cfRule type="duplicateValues" dxfId="3563" priority="841"/>
  </conditionalFormatting>
  <conditionalFormatting sqref="R456">
    <cfRule type="duplicateValues" dxfId="3562" priority="838"/>
    <cfRule type="duplicateValues" dxfId="3561" priority="839"/>
  </conditionalFormatting>
  <conditionalFormatting sqref="R457">
    <cfRule type="duplicateValues" dxfId="3560" priority="260"/>
    <cfRule type="duplicateValues" dxfId="3559" priority="261"/>
  </conditionalFormatting>
  <conditionalFormatting sqref="R458">
    <cfRule type="duplicateValues" dxfId="3558" priority="258"/>
    <cfRule type="duplicateValues" dxfId="3557" priority="259"/>
  </conditionalFormatting>
  <conditionalFormatting sqref="R459">
    <cfRule type="duplicateValues" dxfId="3556" priority="836"/>
    <cfRule type="duplicateValues" dxfId="3555" priority="837"/>
  </conditionalFormatting>
  <conditionalFormatting sqref="R460">
    <cfRule type="duplicateValues" dxfId="3554" priority="834"/>
    <cfRule type="duplicateValues" dxfId="3553" priority="835"/>
  </conditionalFormatting>
  <conditionalFormatting sqref="R461">
    <cfRule type="duplicateValues" dxfId="3552" priority="1537"/>
  </conditionalFormatting>
  <conditionalFormatting sqref="R462">
    <cfRule type="duplicateValues" dxfId="3551" priority="832"/>
    <cfRule type="duplicateValues" dxfId="3550" priority="833"/>
  </conditionalFormatting>
  <conditionalFormatting sqref="R463">
    <cfRule type="duplicateValues" dxfId="3549" priority="830"/>
    <cfRule type="duplicateValues" dxfId="3548" priority="831"/>
  </conditionalFormatting>
  <conditionalFormatting sqref="R464">
    <cfRule type="duplicateValues" dxfId="3547" priority="1441"/>
  </conditionalFormatting>
  <conditionalFormatting sqref="R465">
    <cfRule type="duplicateValues" dxfId="3546" priority="1536"/>
  </conditionalFormatting>
  <conditionalFormatting sqref="R466">
    <cfRule type="duplicateValues" dxfId="3545" priority="828"/>
    <cfRule type="duplicateValues" dxfId="3544" priority="829"/>
  </conditionalFormatting>
  <conditionalFormatting sqref="R467">
    <cfRule type="duplicateValues" dxfId="3543" priority="256"/>
    <cfRule type="duplicateValues" dxfId="3542" priority="257"/>
  </conditionalFormatting>
  <conditionalFormatting sqref="R468">
    <cfRule type="duplicateValues" dxfId="3541" priority="254"/>
    <cfRule type="duplicateValues" dxfId="3540" priority="255"/>
  </conditionalFormatting>
  <conditionalFormatting sqref="R469">
    <cfRule type="duplicateValues" dxfId="3539" priority="252"/>
    <cfRule type="duplicateValues" dxfId="3538" priority="253"/>
  </conditionalFormatting>
  <conditionalFormatting sqref="R470">
    <cfRule type="duplicateValues" dxfId="3537" priority="250"/>
    <cfRule type="duplicateValues" dxfId="3536" priority="251"/>
  </conditionalFormatting>
  <conditionalFormatting sqref="R471">
    <cfRule type="duplicateValues" dxfId="3535" priority="248"/>
    <cfRule type="duplicateValues" dxfId="3534" priority="249"/>
    <cfRule type="duplicateValues" dxfId="3533" priority="2190"/>
  </conditionalFormatting>
  <conditionalFormatting sqref="R471:R477 S471:S478">
    <cfRule type="expression" dxfId="3532" priority="2187">
      <formula>COUNTIF(R:R,R471) &gt; 1</formula>
    </cfRule>
  </conditionalFormatting>
  <conditionalFormatting sqref="R472">
    <cfRule type="duplicateValues" dxfId="3531" priority="246"/>
    <cfRule type="duplicateValues" dxfId="3530" priority="247"/>
    <cfRule type="duplicateValues" dxfId="3529" priority="2188"/>
  </conditionalFormatting>
  <conditionalFormatting sqref="R473">
    <cfRule type="duplicateValues" dxfId="3528" priority="826"/>
    <cfRule type="duplicateValues" dxfId="3527" priority="827"/>
  </conditionalFormatting>
  <conditionalFormatting sqref="R474">
    <cfRule type="duplicateValues" dxfId="3526" priority="824"/>
    <cfRule type="duplicateValues" dxfId="3525" priority="825"/>
  </conditionalFormatting>
  <conditionalFormatting sqref="R475">
    <cfRule type="duplicateValues" dxfId="3524" priority="820"/>
    <cfRule type="duplicateValues" dxfId="3523" priority="821"/>
    <cfRule type="duplicateValues" dxfId="3522" priority="822"/>
    <cfRule type="duplicateValues" dxfId="3521" priority="823"/>
  </conditionalFormatting>
  <conditionalFormatting sqref="R476">
    <cfRule type="duplicateValues" dxfId="3520" priority="818"/>
    <cfRule type="duplicateValues" dxfId="3519" priority="819"/>
  </conditionalFormatting>
  <conditionalFormatting sqref="R477">
    <cfRule type="duplicateValues" dxfId="3518" priority="816"/>
    <cfRule type="duplicateValues" dxfId="3517" priority="817"/>
  </conditionalFormatting>
  <conditionalFormatting sqref="R479">
    <cfRule type="duplicateValues" dxfId="3516" priority="1436"/>
    <cfRule type="duplicateValues" dxfId="3515" priority="1437"/>
    <cfRule type="duplicateValues" dxfId="3514" priority="1438"/>
  </conditionalFormatting>
  <conditionalFormatting sqref="R480">
    <cfRule type="duplicateValues" dxfId="3513" priority="457"/>
    <cfRule type="duplicateValues" dxfId="3512" priority="458"/>
    <cfRule type="duplicateValues" dxfId="3511" priority="459"/>
    <cfRule type="duplicateValues" dxfId="3510" priority="460"/>
    <cfRule type="duplicateValues" dxfId="3509" priority="2355"/>
    <cfRule type="duplicateValues" dxfId="3508" priority="2356"/>
    <cfRule type="duplicateValues" dxfId="3507" priority="2357"/>
  </conditionalFormatting>
  <conditionalFormatting sqref="R481">
    <cfRule type="duplicateValues" dxfId="3506" priority="453"/>
    <cfRule type="duplicateValues" dxfId="3505" priority="454"/>
    <cfRule type="duplicateValues" dxfId="3504" priority="455"/>
    <cfRule type="duplicateValues" dxfId="3503" priority="456"/>
    <cfRule type="duplicateValues" dxfId="3502" priority="2352"/>
    <cfRule type="duplicateValues" dxfId="3501" priority="2353"/>
    <cfRule type="duplicateValues" dxfId="3500" priority="2354"/>
  </conditionalFormatting>
  <conditionalFormatting sqref="R482">
    <cfRule type="duplicateValues" dxfId="3499" priority="363"/>
    <cfRule type="duplicateValues" dxfId="3498" priority="364"/>
    <cfRule type="duplicateValues" dxfId="3497" priority="365"/>
    <cfRule type="duplicateValues" dxfId="3496" priority="366"/>
    <cfRule type="duplicateValues" dxfId="3495" priority="2349"/>
    <cfRule type="duplicateValues" dxfId="3494" priority="2350"/>
    <cfRule type="duplicateValues" dxfId="3493" priority="2351"/>
  </conditionalFormatting>
  <conditionalFormatting sqref="R483">
    <cfRule type="duplicateValues" dxfId="3492" priority="449"/>
    <cfRule type="duplicateValues" dxfId="3491" priority="450"/>
    <cfRule type="duplicateValues" dxfId="3490" priority="451"/>
    <cfRule type="duplicateValues" dxfId="3489" priority="452"/>
    <cfRule type="duplicateValues" dxfId="3488" priority="2346"/>
    <cfRule type="duplicateValues" dxfId="3487" priority="2347"/>
    <cfRule type="duplicateValues" dxfId="3486" priority="2348"/>
  </conditionalFormatting>
  <conditionalFormatting sqref="R484">
    <cfRule type="duplicateValues" dxfId="3485" priority="445"/>
    <cfRule type="duplicateValues" dxfId="3484" priority="446"/>
    <cfRule type="duplicateValues" dxfId="3483" priority="447"/>
    <cfRule type="duplicateValues" dxfId="3482" priority="448"/>
    <cfRule type="duplicateValues" dxfId="3481" priority="2343"/>
    <cfRule type="duplicateValues" dxfId="3480" priority="2344"/>
    <cfRule type="duplicateValues" dxfId="3479" priority="2345"/>
  </conditionalFormatting>
  <conditionalFormatting sqref="R485">
    <cfRule type="duplicateValues" dxfId="3478" priority="441"/>
    <cfRule type="duplicateValues" dxfId="3477" priority="442"/>
    <cfRule type="duplicateValues" dxfId="3476" priority="443"/>
    <cfRule type="duplicateValues" dxfId="3475" priority="444"/>
    <cfRule type="duplicateValues" dxfId="3474" priority="2340"/>
    <cfRule type="duplicateValues" dxfId="3473" priority="2341"/>
    <cfRule type="duplicateValues" dxfId="3472" priority="2342"/>
  </conditionalFormatting>
  <conditionalFormatting sqref="R486">
    <cfRule type="duplicateValues" dxfId="3471" priority="811"/>
    <cfRule type="duplicateValues" dxfId="3470" priority="812"/>
    <cfRule type="duplicateValues" dxfId="3469" priority="813"/>
    <cfRule type="duplicateValues" dxfId="3468" priority="814"/>
    <cfRule type="duplicateValues" dxfId="3467" priority="815"/>
  </conditionalFormatting>
  <conditionalFormatting sqref="R487">
    <cfRule type="duplicateValues" dxfId="3466" priority="806"/>
    <cfRule type="duplicateValues" dxfId="3465" priority="807"/>
    <cfRule type="duplicateValues" dxfId="3464" priority="808"/>
    <cfRule type="duplicateValues" dxfId="3463" priority="809"/>
    <cfRule type="duplicateValues" dxfId="3462" priority="810"/>
  </conditionalFormatting>
  <conditionalFormatting sqref="R488">
    <cfRule type="duplicateValues" dxfId="3461" priority="436"/>
    <cfRule type="duplicateValues" dxfId="3460" priority="437"/>
    <cfRule type="duplicateValues" dxfId="3459" priority="438"/>
    <cfRule type="duplicateValues" dxfId="3458" priority="439"/>
    <cfRule type="duplicateValues" dxfId="3457" priority="440"/>
  </conditionalFormatting>
  <conditionalFormatting sqref="R489">
    <cfRule type="duplicateValues" dxfId="3456" priority="431"/>
    <cfRule type="duplicateValues" dxfId="3455" priority="432"/>
    <cfRule type="duplicateValues" dxfId="3454" priority="433"/>
    <cfRule type="duplicateValues" dxfId="3453" priority="434"/>
    <cfRule type="duplicateValues" dxfId="3452" priority="435"/>
  </conditionalFormatting>
  <conditionalFormatting sqref="R490">
    <cfRule type="duplicateValues" dxfId="3451" priority="241"/>
    <cfRule type="duplicateValues" dxfId="3450" priority="242"/>
    <cfRule type="duplicateValues" dxfId="3449" priority="243"/>
    <cfRule type="duplicateValues" dxfId="3448" priority="244"/>
    <cfRule type="duplicateValues" dxfId="3447" priority="245"/>
  </conditionalFormatting>
  <conditionalFormatting sqref="R491">
    <cfRule type="duplicateValues" dxfId="3446" priority="236"/>
    <cfRule type="duplicateValues" dxfId="3445" priority="237"/>
    <cfRule type="duplicateValues" dxfId="3444" priority="238"/>
    <cfRule type="duplicateValues" dxfId="3443" priority="239"/>
    <cfRule type="duplicateValues" dxfId="3442" priority="240"/>
  </conditionalFormatting>
  <conditionalFormatting sqref="R492">
    <cfRule type="duplicateValues" dxfId="3441" priority="231"/>
    <cfRule type="duplicateValues" dxfId="3440" priority="232"/>
    <cfRule type="duplicateValues" dxfId="3439" priority="233"/>
    <cfRule type="duplicateValues" dxfId="3438" priority="234"/>
    <cfRule type="duplicateValues" dxfId="3437" priority="235"/>
  </conditionalFormatting>
  <conditionalFormatting sqref="R493">
    <cfRule type="duplicateValues" dxfId="3436" priority="226"/>
    <cfRule type="duplicateValues" dxfId="3435" priority="227"/>
    <cfRule type="duplicateValues" dxfId="3434" priority="228"/>
    <cfRule type="duplicateValues" dxfId="3433" priority="229"/>
    <cfRule type="duplicateValues" dxfId="3432" priority="230"/>
  </conditionalFormatting>
  <conditionalFormatting sqref="R494">
    <cfRule type="duplicateValues" dxfId="3431" priority="221"/>
    <cfRule type="duplicateValues" dxfId="3430" priority="222"/>
    <cfRule type="duplicateValues" dxfId="3429" priority="223"/>
    <cfRule type="duplicateValues" dxfId="3428" priority="224"/>
    <cfRule type="duplicateValues" dxfId="3427" priority="225"/>
  </conditionalFormatting>
  <conditionalFormatting sqref="R495">
    <cfRule type="duplicateValues" dxfId="3426" priority="217"/>
    <cfRule type="duplicateValues" dxfId="3425" priority="218"/>
    <cfRule type="duplicateValues" dxfId="3424" priority="219"/>
    <cfRule type="duplicateValues" dxfId="3423" priority="220"/>
    <cfRule type="duplicateValues" dxfId="3422" priority="2172"/>
    <cfRule type="duplicateValues" dxfId="3421" priority="2173"/>
    <cfRule type="duplicateValues" dxfId="3420" priority="2174"/>
    <cfRule type="duplicateValues" dxfId="3419" priority="3182"/>
    <cfRule type="duplicateValues" dxfId="3418" priority="3183"/>
    <cfRule type="duplicateValues" dxfId="3417" priority="3184"/>
  </conditionalFormatting>
  <conditionalFormatting sqref="R496">
    <cfRule type="duplicateValues" dxfId="3416" priority="213"/>
    <cfRule type="duplicateValues" dxfId="3415" priority="214"/>
    <cfRule type="duplicateValues" dxfId="3414" priority="215"/>
    <cfRule type="duplicateValues" dxfId="3413" priority="216"/>
    <cfRule type="duplicateValues" dxfId="3412" priority="2169"/>
    <cfRule type="duplicateValues" dxfId="3411" priority="2170"/>
    <cfRule type="duplicateValues" dxfId="3410" priority="2171"/>
    <cfRule type="duplicateValues" dxfId="3409" priority="3179"/>
    <cfRule type="duplicateValues" dxfId="3408" priority="3180"/>
    <cfRule type="duplicateValues" dxfId="3407" priority="3181"/>
  </conditionalFormatting>
  <conditionalFormatting sqref="R497">
    <cfRule type="duplicateValues" dxfId="3406" priority="209"/>
    <cfRule type="duplicateValues" dxfId="3405" priority="210"/>
    <cfRule type="duplicateValues" dxfId="3404" priority="211"/>
    <cfRule type="duplicateValues" dxfId="3403" priority="212"/>
    <cfRule type="duplicateValues" dxfId="3402" priority="2166"/>
    <cfRule type="duplicateValues" dxfId="3401" priority="2167"/>
    <cfRule type="duplicateValues" dxfId="3400" priority="2168"/>
    <cfRule type="duplicateValues" dxfId="3399" priority="3176"/>
    <cfRule type="duplicateValues" dxfId="3398" priority="3177"/>
    <cfRule type="duplicateValues" dxfId="3397" priority="3178"/>
  </conditionalFormatting>
  <conditionalFormatting sqref="R498">
    <cfRule type="duplicateValues" dxfId="3396" priority="918"/>
    <cfRule type="duplicateValues" dxfId="3395" priority="919"/>
    <cfRule type="duplicateValues" dxfId="3394" priority="920"/>
    <cfRule type="duplicateValues" dxfId="3393" priority="921"/>
    <cfRule type="duplicateValues" dxfId="3392" priority="2484"/>
    <cfRule type="duplicateValues" dxfId="3391" priority="2485"/>
    <cfRule type="duplicateValues" dxfId="3390" priority="2486"/>
    <cfRule type="duplicateValues" dxfId="3389" priority="3173"/>
    <cfRule type="duplicateValues" dxfId="3388" priority="3174"/>
    <cfRule type="duplicateValues" dxfId="3387" priority="3175"/>
  </conditionalFormatting>
  <conditionalFormatting sqref="R499">
    <cfRule type="duplicateValues" dxfId="3386" priority="914"/>
    <cfRule type="duplicateValues" dxfId="3385" priority="915"/>
    <cfRule type="duplicateValues" dxfId="3384" priority="916"/>
    <cfRule type="duplicateValues" dxfId="3383" priority="917"/>
    <cfRule type="duplicateValues" dxfId="3382" priority="2481"/>
    <cfRule type="duplicateValues" dxfId="3381" priority="2482"/>
    <cfRule type="duplicateValues" dxfId="3380" priority="2483"/>
    <cfRule type="duplicateValues" dxfId="3379" priority="3170"/>
    <cfRule type="duplicateValues" dxfId="3378" priority="3171"/>
    <cfRule type="duplicateValues" dxfId="3377" priority="3172"/>
  </conditionalFormatting>
  <conditionalFormatting sqref="R500">
    <cfRule type="duplicateValues" dxfId="3376" priority="910"/>
    <cfRule type="duplicateValues" dxfId="3375" priority="911"/>
    <cfRule type="duplicateValues" dxfId="3374" priority="912"/>
    <cfRule type="duplicateValues" dxfId="3373" priority="913"/>
    <cfRule type="duplicateValues" dxfId="3372" priority="2478"/>
    <cfRule type="duplicateValues" dxfId="3371" priority="2479"/>
    <cfRule type="duplicateValues" dxfId="3370" priority="2480"/>
    <cfRule type="duplicateValues" dxfId="3369" priority="3167"/>
    <cfRule type="duplicateValues" dxfId="3368" priority="3168"/>
    <cfRule type="duplicateValues" dxfId="3367" priority="3169"/>
  </conditionalFormatting>
  <conditionalFormatting sqref="R501">
    <cfRule type="duplicateValues" dxfId="3366" priority="3164"/>
    <cfRule type="duplicateValues" dxfId="3365" priority="3165"/>
    <cfRule type="duplicateValues" dxfId="3364" priority="3166"/>
  </conditionalFormatting>
  <conditionalFormatting sqref="R502">
    <cfRule type="duplicateValues" dxfId="3363" priority="906"/>
    <cfRule type="duplicateValues" dxfId="3362" priority="907"/>
    <cfRule type="duplicateValues" dxfId="3361" priority="908"/>
    <cfRule type="duplicateValues" dxfId="3360" priority="909"/>
    <cfRule type="duplicateValues" dxfId="3359" priority="2475"/>
    <cfRule type="duplicateValues" dxfId="3358" priority="2476"/>
    <cfRule type="duplicateValues" dxfId="3357" priority="2477"/>
    <cfRule type="duplicateValues" dxfId="3356" priority="3161"/>
    <cfRule type="duplicateValues" dxfId="3355" priority="3162"/>
    <cfRule type="duplicateValues" dxfId="3354" priority="3163"/>
  </conditionalFormatting>
  <conditionalFormatting sqref="R503">
    <cfRule type="duplicateValues" dxfId="3353" priority="902"/>
    <cfRule type="duplicateValues" dxfId="3352" priority="903"/>
    <cfRule type="duplicateValues" dxfId="3351" priority="904"/>
    <cfRule type="duplicateValues" dxfId="3350" priority="905"/>
    <cfRule type="duplicateValues" dxfId="3349" priority="2472"/>
    <cfRule type="duplicateValues" dxfId="3348" priority="2473"/>
    <cfRule type="duplicateValues" dxfId="3347" priority="2474"/>
    <cfRule type="duplicateValues" dxfId="3346" priority="3158"/>
    <cfRule type="duplicateValues" dxfId="3345" priority="3159"/>
    <cfRule type="duplicateValues" dxfId="3344" priority="3160"/>
  </conditionalFormatting>
  <conditionalFormatting sqref="R504">
    <cfRule type="duplicateValues" dxfId="3343" priority="898"/>
    <cfRule type="duplicateValues" dxfId="3342" priority="899"/>
    <cfRule type="duplicateValues" dxfId="3341" priority="900"/>
    <cfRule type="duplicateValues" dxfId="3340" priority="901"/>
    <cfRule type="duplicateValues" dxfId="3339" priority="2469"/>
    <cfRule type="duplicateValues" dxfId="3338" priority="2470"/>
    <cfRule type="duplicateValues" dxfId="3337" priority="2471"/>
    <cfRule type="duplicateValues" dxfId="3336" priority="3155"/>
    <cfRule type="duplicateValues" dxfId="3335" priority="3156"/>
    <cfRule type="duplicateValues" dxfId="3334" priority="3157"/>
  </conditionalFormatting>
  <conditionalFormatting sqref="R505">
    <cfRule type="duplicateValues" dxfId="3333" priority="1626"/>
    <cfRule type="duplicateValues" dxfId="3332" priority="1627"/>
    <cfRule type="duplicateValues" dxfId="3331" priority="1628"/>
    <cfRule type="duplicateValues" dxfId="3330" priority="3126"/>
    <cfRule type="duplicateValues" dxfId="3329" priority="3127"/>
    <cfRule type="duplicateValues" dxfId="3328" priority="3128"/>
  </conditionalFormatting>
  <conditionalFormatting sqref="R506">
    <cfRule type="duplicateValues" dxfId="3327" priority="1623"/>
    <cfRule type="duplicateValues" dxfId="3326" priority="1624"/>
    <cfRule type="duplicateValues" dxfId="3325" priority="1625"/>
    <cfRule type="duplicateValues" dxfId="3324" priority="3123"/>
    <cfRule type="duplicateValues" dxfId="3323" priority="3124"/>
    <cfRule type="duplicateValues" dxfId="3322" priority="3125"/>
  </conditionalFormatting>
  <conditionalFormatting sqref="R507">
    <cfRule type="duplicateValues" dxfId="3321" priority="1181"/>
    <cfRule type="duplicateValues" dxfId="3320" priority="1182"/>
  </conditionalFormatting>
  <conditionalFormatting sqref="R508">
    <cfRule type="duplicateValues" dxfId="3319" priority="1622"/>
  </conditionalFormatting>
  <conditionalFormatting sqref="R509">
    <cfRule type="duplicateValues" dxfId="3318" priority="1621"/>
  </conditionalFormatting>
  <conditionalFormatting sqref="R510">
    <cfRule type="duplicateValues" dxfId="3317" priority="1620"/>
  </conditionalFormatting>
  <conditionalFormatting sqref="R511">
    <cfRule type="duplicateValues" dxfId="3316" priority="1617"/>
    <cfRule type="duplicateValues" dxfId="3315" priority="1618"/>
    <cfRule type="duplicateValues" dxfId="3314" priority="1619"/>
    <cfRule type="duplicateValues" dxfId="3313" priority="3152"/>
    <cfRule type="duplicateValues" dxfId="3312" priority="3153"/>
    <cfRule type="duplicateValues" dxfId="3311" priority="3154"/>
  </conditionalFormatting>
  <conditionalFormatting sqref="R512">
    <cfRule type="duplicateValues" dxfId="3310" priority="1613"/>
    <cfRule type="duplicateValues" dxfId="3309" priority="1614"/>
    <cfRule type="duplicateValues" dxfId="3308" priority="1615"/>
    <cfRule type="duplicateValues" dxfId="3307" priority="1616"/>
  </conditionalFormatting>
  <conditionalFormatting sqref="R513">
    <cfRule type="duplicateValues" dxfId="3306" priority="1609"/>
    <cfRule type="duplicateValues" dxfId="3305" priority="1610"/>
    <cfRule type="duplicateValues" dxfId="3304" priority="1611"/>
    <cfRule type="duplicateValues" dxfId="3303" priority="1612"/>
  </conditionalFormatting>
  <conditionalFormatting sqref="R514">
    <cfRule type="duplicateValues" dxfId="3302" priority="1605"/>
    <cfRule type="duplicateValues" dxfId="3301" priority="1606"/>
    <cfRule type="duplicateValues" dxfId="3300" priority="1607"/>
    <cfRule type="duplicateValues" dxfId="3299" priority="1608"/>
  </conditionalFormatting>
  <conditionalFormatting sqref="R515">
    <cfRule type="duplicateValues" dxfId="3298" priority="1601"/>
    <cfRule type="duplicateValues" dxfId="3297" priority="1602"/>
    <cfRule type="duplicateValues" dxfId="3296" priority="1603"/>
    <cfRule type="duplicateValues" dxfId="3295" priority="1604"/>
  </conditionalFormatting>
  <conditionalFormatting sqref="R516">
    <cfRule type="duplicateValues" dxfId="3294" priority="1597"/>
    <cfRule type="duplicateValues" dxfId="3293" priority="1598"/>
    <cfRule type="duplicateValues" dxfId="3292" priority="1599"/>
    <cfRule type="duplicateValues" dxfId="3291" priority="1600"/>
  </conditionalFormatting>
  <conditionalFormatting sqref="R517">
    <cfRule type="duplicateValues" dxfId="3290" priority="1593"/>
    <cfRule type="duplicateValues" dxfId="3289" priority="1594"/>
    <cfRule type="duplicateValues" dxfId="3288" priority="1595"/>
    <cfRule type="duplicateValues" dxfId="3287" priority="1596"/>
  </conditionalFormatting>
  <conditionalFormatting sqref="R518">
    <cfRule type="duplicateValues" dxfId="3286" priority="1176"/>
    <cfRule type="duplicateValues" dxfId="3285" priority="1177"/>
    <cfRule type="duplicateValues" dxfId="3284" priority="1178"/>
    <cfRule type="duplicateValues" dxfId="3283" priority="1179"/>
    <cfRule type="duplicateValues" dxfId="3282" priority="1180"/>
  </conditionalFormatting>
  <conditionalFormatting sqref="R519">
    <cfRule type="duplicateValues" dxfId="3281" priority="1171"/>
    <cfRule type="duplicateValues" dxfId="3280" priority="1172"/>
    <cfRule type="duplicateValues" dxfId="3279" priority="1173"/>
    <cfRule type="duplicateValues" dxfId="3278" priority="1174"/>
    <cfRule type="duplicateValues" dxfId="3277" priority="1175"/>
  </conditionalFormatting>
  <conditionalFormatting sqref="R520">
    <cfRule type="duplicateValues" dxfId="3276" priority="382"/>
    <cfRule type="duplicateValues" dxfId="3275" priority="383"/>
    <cfRule type="duplicateValues" dxfId="3274" priority="384"/>
    <cfRule type="duplicateValues" dxfId="3273" priority="385"/>
    <cfRule type="duplicateValues" dxfId="3272" priority="386"/>
  </conditionalFormatting>
  <conditionalFormatting sqref="R521">
    <cfRule type="duplicateValues" dxfId="3271" priority="1432"/>
    <cfRule type="duplicateValues" dxfId="3270" priority="1433"/>
    <cfRule type="duplicateValues" dxfId="3269" priority="1434"/>
    <cfRule type="duplicateValues" dxfId="3268" priority="1435"/>
  </conditionalFormatting>
  <conditionalFormatting sqref="R522">
    <cfRule type="duplicateValues" dxfId="3267" priority="1428"/>
    <cfRule type="duplicateValues" dxfId="3266" priority="1429"/>
    <cfRule type="duplicateValues" dxfId="3265" priority="1430"/>
    <cfRule type="duplicateValues" dxfId="3264" priority="1431"/>
  </conditionalFormatting>
  <conditionalFormatting sqref="R523">
    <cfRule type="duplicateValues" dxfId="3263" priority="1424"/>
    <cfRule type="duplicateValues" dxfId="3262" priority="1425"/>
    <cfRule type="duplicateValues" dxfId="3261" priority="1426"/>
    <cfRule type="duplicateValues" dxfId="3260" priority="1427"/>
  </conditionalFormatting>
  <conditionalFormatting sqref="R524">
    <cfRule type="duplicateValues" dxfId="3259" priority="1422"/>
    <cfRule type="duplicateValues" dxfId="3258" priority="1423"/>
  </conditionalFormatting>
  <conditionalFormatting sqref="R525">
    <cfRule type="duplicateValues" dxfId="3257" priority="1750"/>
    <cfRule type="duplicateValues" dxfId="3256" priority="1751"/>
  </conditionalFormatting>
  <conditionalFormatting sqref="R526">
    <cfRule type="duplicateValues" dxfId="3255" priority="25"/>
    <cfRule type="duplicateValues" dxfId="3254" priority="26"/>
    <cfRule type="duplicateValues" dxfId="3253" priority="27"/>
    <cfRule type="duplicateValues" dxfId="3252" priority="28"/>
  </conditionalFormatting>
  <conditionalFormatting sqref="R527">
    <cfRule type="duplicateValues" dxfId="3251" priority="21"/>
    <cfRule type="duplicateValues" dxfId="3250" priority="22"/>
    <cfRule type="duplicateValues" dxfId="3249" priority="23"/>
    <cfRule type="duplicateValues" dxfId="3248" priority="24"/>
  </conditionalFormatting>
  <conditionalFormatting sqref="R528">
    <cfRule type="duplicateValues" dxfId="3247" priority="1667"/>
    <cfRule type="duplicateValues" dxfId="3246" priority="1668"/>
  </conditionalFormatting>
  <conditionalFormatting sqref="R529">
    <cfRule type="duplicateValues" dxfId="3245" priority="1699"/>
    <cfRule type="duplicateValues" dxfId="3244" priority="1700"/>
  </conditionalFormatting>
  <conditionalFormatting sqref="R530">
    <cfRule type="duplicateValues" dxfId="3243" priority="17"/>
    <cfRule type="duplicateValues" dxfId="3242" priority="18"/>
    <cfRule type="duplicateValues" dxfId="3241" priority="19"/>
    <cfRule type="duplicateValues" dxfId="3240" priority="20"/>
  </conditionalFormatting>
  <conditionalFormatting sqref="R531">
    <cfRule type="duplicateValues" dxfId="3239" priority="13"/>
    <cfRule type="duplicateValues" dxfId="3238" priority="14"/>
    <cfRule type="duplicateValues" dxfId="3237" priority="15"/>
    <cfRule type="duplicateValues" dxfId="3236" priority="16"/>
  </conditionalFormatting>
  <conditionalFormatting sqref="R532">
    <cfRule type="duplicateValues" dxfId="3235" priority="9"/>
    <cfRule type="duplicateValues" dxfId="3234" priority="10"/>
    <cfRule type="duplicateValues" dxfId="3233" priority="11"/>
    <cfRule type="duplicateValues" dxfId="3232" priority="12"/>
  </conditionalFormatting>
  <conditionalFormatting sqref="R533">
    <cfRule type="duplicateValues" dxfId="3231" priority="3355"/>
    <cfRule type="duplicateValues" dxfId="3230" priority="3356"/>
  </conditionalFormatting>
  <conditionalFormatting sqref="R534">
    <cfRule type="duplicateValues" dxfId="3229" priority="5"/>
    <cfRule type="duplicateValues" dxfId="3228" priority="6"/>
    <cfRule type="duplicateValues" dxfId="3227" priority="7"/>
    <cfRule type="duplicateValues" dxfId="3226" priority="8"/>
  </conditionalFormatting>
  <conditionalFormatting sqref="R535">
    <cfRule type="duplicateValues" dxfId="3225" priority="1"/>
    <cfRule type="duplicateValues" dxfId="3224" priority="2"/>
    <cfRule type="duplicateValues" dxfId="3223" priority="3"/>
    <cfRule type="duplicateValues" dxfId="3222" priority="4"/>
  </conditionalFormatting>
  <conditionalFormatting sqref="R536">
    <cfRule type="duplicateValues" dxfId="3221" priority="1960"/>
    <cfRule type="duplicateValues" dxfId="3220" priority="1961"/>
    <cfRule type="duplicateValues" dxfId="3219" priority="1962"/>
  </conditionalFormatting>
  <conditionalFormatting sqref="R537">
    <cfRule type="duplicateValues" dxfId="3218" priority="1954"/>
    <cfRule type="duplicateValues" dxfId="3217" priority="1955"/>
    <cfRule type="duplicateValues" dxfId="3216" priority="1956"/>
  </conditionalFormatting>
  <conditionalFormatting sqref="R538">
    <cfRule type="duplicateValues" dxfId="3215" priority="164"/>
    <cfRule type="duplicateValues" dxfId="3214" priority="165"/>
    <cfRule type="duplicateValues" dxfId="3213" priority="166"/>
    <cfRule type="duplicateValues" dxfId="3212" priority="167"/>
    <cfRule type="duplicateValues" dxfId="3211" priority="168"/>
  </conditionalFormatting>
  <conditionalFormatting sqref="R540">
    <cfRule type="duplicateValues" dxfId="3210" priority="1554"/>
    <cfRule type="duplicateValues" dxfId="3209" priority="1555"/>
  </conditionalFormatting>
  <conditionalFormatting sqref="R544">
    <cfRule type="duplicateValues" dxfId="3208" priority="967"/>
    <cfRule type="duplicateValues" dxfId="3207" priority="968"/>
    <cfRule type="duplicateValues" dxfId="3206" priority="969"/>
    <cfRule type="duplicateValues" dxfId="3205" priority="970"/>
  </conditionalFormatting>
  <conditionalFormatting sqref="R545">
    <cfRule type="duplicateValues" dxfId="3204" priority="1224"/>
    <cfRule type="duplicateValues" dxfId="3203" priority="1225"/>
    <cfRule type="duplicateValues" dxfId="3202" priority="1226"/>
  </conditionalFormatting>
  <conditionalFormatting sqref="R546">
    <cfRule type="duplicateValues" dxfId="3201" priority="1930"/>
    <cfRule type="duplicateValues" dxfId="3200" priority="1931"/>
    <cfRule type="duplicateValues" dxfId="3199" priority="1932"/>
  </conditionalFormatting>
  <conditionalFormatting sqref="R547">
    <cfRule type="duplicateValues" dxfId="3198" priority="499"/>
    <cfRule type="duplicateValues" dxfId="3197" priority="500"/>
    <cfRule type="duplicateValues" dxfId="3196" priority="501"/>
    <cfRule type="duplicateValues" dxfId="3195" priority="502"/>
    <cfRule type="duplicateValues" dxfId="3194" priority="503"/>
  </conditionalFormatting>
  <conditionalFormatting sqref="R548">
    <cfRule type="duplicateValues" dxfId="3193" priority="494"/>
    <cfRule type="duplicateValues" dxfId="3192" priority="495"/>
    <cfRule type="duplicateValues" dxfId="3191" priority="496"/>
    <cfRule type="duplicateValues" dxfId="3190" priority="497"/>
    <cfRule type="duplicateValues" dxfId="3189" priority="498"/>
  </conditionalFormatting>
  <conditionalFormatting sqref="R549">
    <cfRule type="duplicateValues" dxfId="3188" priority="595"/>
    <cfRule type="duplicateValues" dxfId="3187" priority="596"/>
    <cfRule type="duplicateValues" dxfId="3186" priority="597"/>
    <cfRule type="duplicateValues" dxfId="3185" priority="598"/>
    <cfRule type="duplicateValues" dxfId="3184" priority="599"/>
  </conditionalFormatting>
  <conditionalFormatting sqref="R550">
    <cfRule type="duplicateValues" dxfId="3183" priority="590"/>
    <cfRule type="duplicateValues" dxfId="3182" priority="591"/>
    <cfRule type="duplicateValues" dxfId="3181" priority="592"/>
    <cfRule type="duplicateValues" dxfId="3180" priority="593"/>
    <cfRule type="duplicateValues" dxfId="3179" priority="594"/>
  </conditionalFormatting>
  <conditionalFormatting sqref="R551">
    <cfRule type="duplicateValues" dxfId="3178" priority="585"/>
    <cfRule type="duplicateValues" dxfId="3177" priority="586"/>
    <cfRule type="duplicateValues" dxfId="3176" priority="587"/>
    <cfRule type="duplicateValues" dxfId="3175" priority="588"/>
    <cfRule type="duplicateValues" dxfId="3174" priority="589"/>
  </conditionalFormatting>
  <conditionalFormatting sqref="R552">
    <cfRule type="duplicateValues" dxfId="3173" priority="580"/>
    <cfRule type="duplicateValues" dxfId="3172" priority="581"/>
    <cfRule type="duplicateValues" dxfId="3171" priority="582"/>
    <cfRule type="duplicateValues" dxfId="3170" priority="583"/>
    <cfRule type="duplicateValues" dxfId="3169" priority="584"/>
  </conditionalFormatting>
  <conditionalFormatting sqref="R553">
    <cfRule type="duplicateValues" dxfId="3168" priority="575"/>
    <cfRule type="duplicateValues" dxfId="3167" priority="576"/>
    <cfRule type="duplicateValues" dxfId="3166" priority="577"/>
    <cfRule type="duplicateValues" dxfId="3165" priority="578"/>
    <cfRule type="duplicateValues" dxfId="3164" priority="579"/>
  </conditionalFormatting>
  <conditionalFormatting sqref="R554">
    <cfRule type="duplicateValues" dxfId="3163" priority="570"/>
    <cfRule type="duplicateValues" dxfId="3162" priority="571"/>
    <cfRule type="duplicateValues" dxfId="3161" priority="572"/>
    <cfRule type="duplicateValues" dxfId="3160" priority="573"/>
    <cfRule type="duplicateValues" dxfId="3159" priority="574"/>
  </conditionalFormatting>
  <conditionalFormatting sqref="R555">
    <cfRule type="duplicateValues" dxfId="3158" priority="565"/>
    <cfRule type="duplicateValues" dxfId="3157" priority="566"/>
    <cfRule type="duplicateValues" dxfId="3156" priority="567"/>
    <cfRule type="duplicateValues" dxfId="3155" priority="568"/>
    <cfRule type="duplicateValues" dxfId="3154" priority="569"/>
  </conditionalFormatting>
  <conditionalFormatting sqref="R556">
    <cfRule type="duplicateValues" dxfId="3153" priority="560"/>
    <cfRule type="duplicateValues" dxfId="3152" priority="561"/>
    <cfRule type="duplicateValues" dxfId="3151" priority="562"/>
    <cfRule type="duplicateValues" dxfId="3150" priority="563"/>
    <cfRule type="duplicateValues" dxfId="3149" priority="564"/>
  </conditionalFormatting>
  <conditionalFormatting sqref="R557">
    <cfRule type="duplicateValues" dxfId="3148" priority="558"/>
    <cfRule type="duplicateValues" dxfId="3147" priority="559"/>
  </conditionalFormatting>
  <conditionalFormatting sqref="R558">
    <cfRule type="duplicateValues" dxfId="3146" priority="556"/>
    <cfRule type="duplicateValues" dxfId="3145" priority="557"/>
  </conditionalFormatting>
  <conditionalFormatting sqref="R559">
    <cfRule type="duplicateValues" dxfId="3144" priority="554"/>
    <cfRule type="duplicateValues" dxfId="3143" priority="555"/>
  </conditionalFormatting>
  <conditionalFormatting sqref="R560">
    <cfRule type="duplicateValues" dxfId="3142" priority="474"/>
    <cfRule type="duplicateValues" dxfId="3141" priority="475"/>
    <cfRule type="duplicateValues" dxfId="3140" priority="476"/>
    <cfRule type="duplicateValues" dxfId="3139" priority="477"/>
  </conditionalFormatting>
  <conditionalFormatting sqref="R561">
    <cfRule type="duplicateValues" dxfId="3138" priority="470"/>
    <cfRule type="duplicateValues" dxfId="3137" priority="471"/>
    <cfRule type="duplicateValues" dxfId="3136" priority="472"/>
    <cfRule type="duplicateValues" dxfId="3135" priority="473"/>
  </conditionalFormatting>
  <conditionalFormatting sqref="R562">
    <cfRule type="duplicateValues" dxfId="3134" priority="546"/>
    <cfRule type="duplicateValues" dxfId="3133" priority="547"/>
    <cfRule type="duplicateValues" dxfId="3132" priority="548"/>
    <cfRule type="duplicateValues" dxfId="3131" priority="549"/>
  </conditionalFormatting>
  <conditionalFormatting sqref="R563">
    <cfRule type="duplicateValues" dxfId="3130" priority="542"/>
    <cfRule type="duplicateValues" dxfId="3129" priority="543"/>
    <cfRule type="duplicateValues" dxfId="3128" priority="544"/>
    <cfRule type="duplicateValues" dxfId="3127" priority="545"/>
  </conditionalFormatting>
  <conditionalFormatting sqref="R564">
    <cfRule type="duplicateValues" dxfId="3126" priority="538"/>
    <cfRule type="duplicateValues" dxfId="3125" priority="539"/>
    <cfRule type="duplicateValues" dxfId="3124" priority="540"/>
    <cfRule type="duplicateValues" dxfId="3123" priority="541"/>
  </conditionalFormatting>
  <conditionalFormatting sqref="R565">
    <cfRule type="duplicateValues" dxfId="3122" priority="534"/>
    <cfRule type="duplicateValues" dxfId="3121" priority="535"/>
    <cfRule type="duplicateValues" dxfId="3120" priority="536"/>
    <cfRule type="duplicateValues" dxfId="3119" priority="537"/>
  </conditionalFormatting>
  <conditionalFormatting sqref="R566">
    <cfRule type="duplicateValues" dxfId="3118" priority="466"/>
    <cfRule type="duplicateValues" dxfId="3117" priority="467"/>
    <cfRule type="duplicateValues" dxfId="3116" priority="468"/>
    <cfRule type="duplicateValues" dxfId="3115" priority="469"/>
  </conditionalFormatting>
  <conditionalFormatting sqref="R567">
    <cfRule type="duplicateValues" dxfId="3114" priority="527"/>
    <cfRule type="duplicateValues" dxfId="3113" priority="528"/>
    <cfRule type="duplicateValues" dxfId="3112" priority="529"/>
    <cfRule type="duplicateValues" dxfId="3111" priority="530"/>
  </conditionalFormatting>
  <conditionalFormatting sqref="R568">
    <cfRule type="duplicateValues" dxfId="3110" priority="523"/>
    <cfRule type="duplicateValues" dxfId="3109" priority="524"/>
    <cfRule type="duplicateValues" dxfId="3108" priority="525"/>
    <cfRule type="duplicateValues" dxfId="3107" priority="526"/>
  </conditionalFormatting>
  <conditionalFormatting sqref="R569">
    <cfRule type="duplicateValues" dxfId="3106" priority="519"/>
    <cfRule type="duplicateValues" dxfId="3105" priority="520"/>
    <cfRule type="duplicateValues" dxfId="3104" priority="521"/>
    <cfRule type="duplicateValues" dxfId="3103" priority="522"/>
  </conditionalFormatting>
  <conditionalFormatting sqref="R570">
    <cfRule type="duplicateValues" dxfId="3102" priority="515"/>
    <cfRule type="duplicateValues" dxfId="3101" priority="516"/>
    <cfRule type="duplicateValues" dxfId="3100" priority="517"/>
    <cfRule type="duplicateValues" dxfId="3099" priority="518"/>
  </conditionalFormatting>
  <conditionalFormatting sqref="R141:S141">
    <cfRule type="duplicateValues" dxfId="3098" priority="6701"/>
  </conditionalFormatting>
  <conditionalFormatting sqref="R183:S183">
    <cfRule type="duplicateValues" dxfId="3097" priority="5164"/>
    <cfRule type="duplicateValues" dxfId="3096" priority="5165"/>
  </conditionalFormatting>
  <conditionalFormatting sqref="R189:S189">
    <cfRule type="duplicateValues" dxfId="3095" priority="6338"/>
  </conditionalFormatting>
  <conditionalFormatting sqref="R265:S265">
    <cfRule type="duplicateValues" dxfId="3094" priority="1731"/>
    <cfRule type="duplicateValues" dxfId="3093" priority="1732"/>
    <cfRule type="duplicateValues" dxfId="3092" priority="1733"/>
  </conditionalFormatting>
  <conditionalFormatting sqref="R449:S449">
    <cfRule type="duplicateValues" dxfId="3091" priority="55907"/>
    <cfRule type="duplicateValues" dxfId="3090" priority="55908"/>
  </conditionalFormatting>
  <conditionalFormatting sqref="R480:S480">
    <cfRule type="duplicateValues" dxfId="3089" priority="4030"/>
  </conditionalFormatting>
  <conditionalFormatting sqref="R482:S482">
    <cfRule type="duplicateValues" dxfId="3088" priority="4017"/>
  </conditionalFormatting>
  <conditionalFormatting sqref="R484:S484">
    <cfRule type="duplicateValues" dxfId="3087" priority="4004"/>
  </conditionalFormatting>
  <conditionalFormatting sqref="R495:S495">
    <cfRule type="duplicateValues" dxfId="3086" priority="3926"/>
  </conditionalFormatting>
  <conditionalFormatting sqref="R497:S497">
    <cfRule type="duplicateValues" dxfId="3085" priority="3913"/>
  </conditionalFormatting>
  <conditionalFormatting sqref="R499:S499">
    <cfRule type="duplicateValues" dxfId="3084" priority="3900"/>
  </conditionalFormatting>
  <conditionalFormatting sqref="R501:S501">
    <cfRule type="duplicateValues" dxfId="3083" priority="3887"/>
  </conditionalFormatting>
  <conditionalFormatting sqref="R503:S503">
    <cfRule type="duplicateValues" dxfId="3082" priority="3874"/>
  </conditionalFormatting>
  <conditionalFormatting sqref="R505:S505">
    <cfRule type="duplicateValues" dxfId="3081" priority="3861"/>
  </conditionalFormatting>
  <conditionalFormatting sqref="R511:S511">
    <cfRule type="duplicateValues" dxfId="3080" priority="3978"/>
  </conditionalFormatting>
  <conditionalFormatting sqref="R539:S539">
    <cfRule type="duplicateValues" dxfId="3079" priority="69477"/>
    <cfRule type="duplicateValues" dxfId="3078" priority="69478"/>
    <cfRule type="duplicateValues" dxfId="3077" priority="69479"/>
  </conditionalFormatting>
  <conditionalFormatting sqref="R540:S540 S541:S542">
    <cfRule type="duplicateValues" dxfId="3076" priority="2065"/>
  </conditionalFormatting>
  <conditionalFormatting sqref="S184:S188 S10:S64 S190:S197 S142:S182 S67:S73 R216:R217 S209:S211 S75:S140">
    <cfRule type="duplicateValues" dxfId="3075" priority="69129"/>
  </conditionalFormatting>
  <conditionalFormatting sqref="S415:S436 S10:S64 S184:S197 S209:S211 S67:S182">
    <cfRule type="duplicateValues" dxfId="3074" priority="58643"/>
  </conditionalFormatting>
  <conditionalFormatting sqref="S415:S478 S209:S211 S10:S197">
    <cfRule type="duplicateValues" dxfId="3073" priority="69762"/>
  </conditionalFormatting>
  <conditionalFormatting sqref="S419:S420">
    <cfRule type="duplicateValues" dxfId="3072" priority="6264"/>
  </conditionalFormatting>
  <conditionalFormatting sqref="S419:S436">
    <cfRule type="duplicateValues" dxfId="3071" priority="58639"/>
  </conditionalFormatting>
  <conditionalFormatting sqref="S421:S436">
    <cfRule type="duplicateValues" dxfId="3070" priority="58649"/>
  </conditionalFormatting>
  <conditionalFormatting sqref="S447:S448">
    <cfRule type="duplicateValues" dxfId="3069" priority="5450"/>
    <cfRule type="duplicateValues" dxfId="3068" priority="5451"/>
    <cfRule type="duplicateValues" dxfId="3067" priority="5452"/>
  </conditionalFormatting>
  <conditionalFormatting sqref="S486:S487">
    <cfRule type="duplicateValues" dxfId="3066" priority="3991"/>
  </conditionalFormatting>
  <conditionalFormatting sqref="S504">
    <cfRule type="duplicateValues" dxfId="3065" priority="362"/>
  </conditionalFormatting>
  <conditionalFormatting sqref="S511:S523 S479:S506">
    <cfRule type="duplicateValues" dxfId="3064" priority="57119"/>
  </conditionalFormatting>
  <conditionalFormatting sqref="S511:S527 S530:S535 S479:S506">
    <cfRule type="duplicateValues" dxfId="3063" priority="68680"/>
  </conditionalFormatting>
  <conditionalFormatting sqref="S512:S520 S488:S494 R506:S506 R479:S479 R498:S498 R500:S500 R502:S502 R504:S504 R481:S481 R483:S483 R485:S485 R496:S496">
    <cfRule type="duplicateValues" dxfId="3062" priority="56916"/>
  </conditionalFormatting>
  <conditionalFormatting sqref="S521:S523">
    <cfRule type="duplicateValues" dxfId="3061" priority="57104"/>
  </conditionalFormatting>
  <conditionalFormatting sqref="S530:S535 S479:S527">
    <cfRule type="duplicateValues" dxfId="3060" priority="68679"/>
  </conditionalFormatting>
  <conditionalFormatting sqref="S540:S544 S536:S538">
    <cfRule type="duplicateValues" dxfId="3059" priority="69397"/>
    <cfRule type="duplicateValues" dxfId="3058" priority="69398"/>
  </conditionalFormatting>
  <conditionalFormatting sqref="S543:S544 S536:S538">
    <cfRule type="duplicateValues" dxfId="3057" priority="69403"/>
  </conditionalFormatting>
  <conditionalFormatting sqref="S545:S546">
    <cfRule type="duplicateValues" dxfId="3056" priority="69235"/>
    <cfRule type="duplicateValues" dxfId="3055" priority="69236"/>
    <cfRule type="duplicateValues" dxfId="3054" priority="69237"/>
  </conditionalFormatting>
  <conditionalFormatting sqref="S547:S548">
    <cfRule type="duplicateValues" dxfId="3053" priority="606"/>
  </conditionalFormatting>
  <conditionalFormatting sqref="S547:S556">
    <cfRule type="duplicateValues" dxfId="3052" priority="608"/>
  </conditionalFormatting>
  <conditionalFormatting sqref="S547:S570">
    <cfRule type="duplicateValues" dxfId="3051" priority="604"/>
  </conditionalFormatting>
  <conditionalFormatting sqref="S549:S556">
    <cfRule type="duplicateValues" dxfId="3050" priority="553"/>
  </conditionalFormatting>
  <conditionalFormatting sqref="S560:S570 S547:S556">
    <cfRule type="duplicateValues" dxfId="3049" priority="605"/>
  </conditionalFormatting>
  <conditionalFormatting sqref="S560:S570">
    <cfRule type="duplicateValues" dxfId="3048" priority="514"/>
  </conditionalFormatting>
  <conditionalFormatting sqref="T16">
    <cfRule type="cellIs" dxfId="3047" priority="7141" operator="greaterThan">
      <formula>$W$16</formula>
    </cfRule>
  </conditionalFormatting>
  <conditionalFormatting sqref="T99">
    <cfRule type="duplicateValues" dxfId="3046" priority="196"/>
    <cfRule type="duplicateValues" dxfId="3045" priority="197"/>
    <cfRule type="duplicateValues" dxfId="3044" priority="198"/>
    <cfRule type="duplicateValues" dxfId="3043" priority="199"/>
  </conditionalFormatting>
  <conditionalFormatting sqref="T108">
    <cfRule type="duplicateValues" dxfId="3042" priority="6931"/>
  </conditionalFormatting>
  <conditionalFormatting sqref="T343">
    <cfRule type="duplicateValues" dxfId="3041" priority="2519"/>
    <cfRule type="duplicateValues" dxfId="3040" priority="2520"/>
    <cfRule type="duplicateValues" dxfId="3039" priority="2521"/>
  </conditionalFormatting>
  <conditionalFormatting sqref="Z10:Z570">
    <cfRule type="cellIs" dxfId="3038" priority="2133" operator="equal">
      <formula>$AL$6</formula>
    </cfRule>
  </conditionalFormatting>
  <conditionalFormatting sqref="AB10:AB19">
    <cfRule type="duplicateValues" dxfId="3035" priority="68692"/>
  </conditionalFormatting>
  <conditionalFormatting sqref="AB545:AB570 AB10:AB103 AB106:AB246">
    <cfRule type="duplicateValues" dxfId="3034" priority="171"/>
  </conditionalFormatting>
  <conditionalFormatting sqref="AE9">
    <cfRule type="cellIs" dxfId="3033" priority="7199" operator="equal">
      <formula>$AP$4</formula>
    </cfRule>
    <cfRule type="cellIs" dxfId="3032" priority="7200" operator="equal">
      <formula>$AP$3</formula>
    </cfRule>
    <cfRule type="cellIs" dxfId="3031" priority="7201" operator="equal">
      <formula>$AP$2</formula>
    </cfRule>
  </conditionalFormatting>
  <conditionalFormatting sqref="AF486:AF487 AE10:AE570">
    <cfRule type="cellIs" dxfId="3030" priority="5098" operator="equal">
      <formula>"ATRASADO"</formula>
    </cfRule>
    <cfRule type="cellIs" dxfId="3029" priority="5099" operator="equal">
      <formula>$AK$5</formula>
    </cfRule>
    <cfRule type="cellIs" dxfId="3028" priority="5100" operator="equal">
      <formula>$AK$4</formula>
    </cfRule>
  </conditionalFormatting>
  <conditionalFormatting sqref="A10:A570">
    <cfRule type="duplicateValues" dxfId="8" priority="81950"/>
  </conditionalFormatting>
  <conditionalFormatting sqref="A289:A326">
    <cfRule type="duplicateValues" dxfId="7" priority="82006"/>
  </conditionalFormatting>
  <conditionalFormatting sqref="B129:B132 B240 A10:A159 A172:A267 A273:A326 B135:B138">
    <cfRule type="duplicateValues" dxfId="6" priority="82076"/>
  </conditionalFormatting>
  <conditionalFormatting sqref="B129:B132 B240 A10:A159 A172:A351 B135:B138">
    <cfRule type="duplicateValues" dxfId="5" priority="82083"/>
  </conditionalFormatting>
  <conditionalFormatting sqref="B129:B132 B240 A11:A159 A172:A267 A273:A326 B135:B138">
    <cfRule type="duplicateValues" dxfId="4" priority="82089"/>
  </conditionalFormatting>
  <conditionalFormatting sqref="R478">
    <cfRule type="duplicateValues" dxfId="3" priority="82143"/>
    <cfRule type="expression" dxfId="2" priority="82144">
      <formula>COUNTIF(R:R,R478) &gt; 1</formula>
    </cfRule>
  </conditionalFormatting>
  <conditionalFormatting sqref="S10:S546">
    <cfRule type="duplicateValues" dxfId="1" priority="82146"/>
  </conditionalFormatting>
  <conditionalFormatting sqref="S10:S570">
    <cfRule type="duplicateValues" dxfId="0" priority="82148"/>
  </conditionalFormatting>
  <dataValidations disablePrompts="1" count="4">
    <dataValidation type="list" allowBlank="1" showErrorMessage="1" sqref="F378:F385 F391:F445 F447:F470 F479:F570 F10:F376" xr:uid="{00000000-0002-0000-0000-000001000000}">
      <formula1>INDIRECT(E10)</formula1>
    </dataValidation>
    <dataValidation type="list" allowBlank="1" showErrorMessage="1" sqref="E441:E470 E479:E570 E10:E438" xr:uid="{00000000-0002-0000-0000-000002000000}">
      <formula1>AREAS</formula1>
    </dataValidation>
    <dataValidation type="list" allowBlank="1" showErrorMessage="1" sqref="E439:E440" xr:uid="{F4BC4248-CD5F-4207-8CE0-9A7B931A2DE6}">
      <formula1>#REF!</formula1>
    </dataValidation>
    <dataValidation type="list" allowBlank="1" showErrorMessage="1" sqref="Y10:Y570" xr:uid="{00000000-0002-0000-0000-000000000000}">
      <formula1>"SIM,NÃO,---"</formula1>
    </dataValidation>
  </dataValidations>
  <hyperlinks>
    <hyperlink ref="C4" r:id="rId1" display="https://heinz365.sharepoint.com/:x:/r/sites/Automacao-Neropolis/_layouts/15/Doc.aspx?sourcedoc=%7B49D444E0-972C-4F91-A476-038C98C66A02%7D&amp;file=AN-NR-MAN-1001%20v%2007%20-%20Registro%20de%20Calibra%C3%A7%C3%A3o..xlsx&amp;action=default&amp;mobileredirect=true" xr:uid="{0DE90BB7-3EEF-433E-AFDE-16FC022D2B87}"/>
    <hyperlink ref="C6" r:id="rId2" display="https://qualidade.suporty.com.br/sistema/login/?next=/sistema/" xr:uid="{829CBF79-04AA-4290-9A93-A46BBFFF99DD}"/>
  </hyperlinks>
  <pageMargins left="0.511811024" right="0.511811024" top="0.78740157499999996" bottom="0.78740157499999996" header="0" footer="0"/>
  <pageSetup paperSize="9" orientation="portrait" r:id="rId3"/>
  <ignoredErrors>
    <ignoredError sqref="Q546 Q71 Q269 Q285 Q61 Q507 Q261 Q287 Q264:Q265 Q370 Q14 Q85 Q128:Q129 Q375:Q376 Q244 Q249:Q250 Q533 Q291 Q538 Q25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34" operator="containsText" id="{AB06BA90-92D3-4E62-A505-76EEB69B0D54}">
            <xm:f>NOT(ISERROR(SEARCH($AL$4,Z10)))</xm:f>
            <xm:f>$AL$4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35" operator="containsText" id="{DE4F69AA-002A-4F1F-952E-BBC711166584}">
            <xm:f>NOT(ISERROR(SEARCH($AL$5,Z10)))</xm:f>
            <xm:f>$AL$5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Z10:Z570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A1:AL672"/>
  <sheetViews>
    <sheetView showGridLines="0" zoomScale="55" zoomScaleNormal="55" workbookViewId="0">
      <pane xSplit="1" ySplit="9" topLeftCell="B10" activePane="bottomRight" state="frozen"/>
      <selection activeCell="C42" sqref="C42"/>
      <selection pane="topRight" activeCell="C42" sqref="C42"/>
      <selection pane="bottomLeft" activeCell="C42" sqref="C42"/>
      <selection pane="bottomRight" activeCell="AF16" sqref="AF16"/>
    </sheetView>
  </sheetViews>
  <sheetFormatPr defaultColWidth="12.59765625" defaultRowHeight="15" customHeight="1" x14ac:dyDescent="0.25"/>
  <cols>
    <col min="1" max="1" width="26.796875" customWidth="1"/>
    <col min="2" max="2" width="19.69921875" customWidth="1"/>
    <col min="3" max="3" width="26.5" customWidth="1"/>
    <col min="4" max="4" width="37.3984375" customWidth="1"/>
    <col min="5" max="5" width="21.59765625" customWidth="1"/>
    <col min="6" max="6" width="24.19921875" bestFit="1" customWidth="1"/>
    <col min="7" max="7" width="37.09765625" bestFit="1" customWidth="1"/>
    <col min="8" max="8" width="41" bestFit="1" customWidth="1"/>
    <col min="9" max="10" width="19" bestFit="1" customWidth="1"/>
    <col min="11" max="11" width="8" style="96" bestFit="1" customWidth="1"/>
    <col min="12" max="12" width="9" style="96" bestFit="1" customWidth="1"/>
    <col min="13" max="13" width="14" style="96" bestFit="1" customWidth="1"/>
    <col min="14" max="14" width="13.69921875" style="96" bestFit="1" customWidth="1"/>
    <col min="15" max="15" width="18.19921875" style="96" bestFit="1" customWidth="1"/>
    <col min="16" max="16" width="21.69921875" style="97" bestFit="1" customWidth="1"/>
    <col min="17" max="17" width="28.5" style="97" bestFit="1" customWidth="1"/>
    <col min="18" max="18" width="25.59765625" bestFit="1" customWidth="1"/>
    <col min="19" max="19" width="27.19921875" customWidth="1"/>
    <col min="20" max="20" width="21.296875" bestFit="1" customWidth="1"/>
    <col min="21" max="21" width="17" hidden="1" customWidth="1"/>
    <col min="22" max="22" width="11.59765625" bestFit="1" customWidth="1"/>
    <col min="23" max="23" width="20.8984375" bestFit="1" customWidth="1"/>
    <col min="24" max="24" width="23.5" bestFit="1" customWidth="1"/>
    <col min="25" max="25" width="30.69921875" customWidth="1"/>
    <col min="26" max="27" width="16.59765625" bestFit="1" customWidth="1"/>
    <col min="28" max="28" width="17.69921875" bestFit="1" customWidth="1"/>
    <col min="29" max="29" width="13.59765625" bestFit="1" customWidth="1"/>
    <col min="30" max="30" width="27.5" bestFit="1" customWidth="1"/>
    <col min="31" max="31" width="20" customWidth="1"/>
    <col min="32" max="32" width="62.5" customWidth="1"/>
    <col min="33" max="35" width="7.59765625" customWidth="1"/>
    <col min="36" max="36" width="8.69921875" customWidth="1"/>
    <col min="37" max="37" width="12.59765625" hidden="1" customWidth="1"/>
    <col min="38" max="38" width="30.3984375" hidden="1" customWidth="1"/>
    <col min="39" max="39" width="13.59765625" customWidth="1"/>
    <col min="41" max="41" width="12.59765625" customWidth="1"/>
  </cols>
  <sheetData>
    <row r="1" spans="1:38" ht="7.5" customHeight="1" x14ac:dyDescent="0.3">
      <c r="A1" s="170" t="e" vm="4">
        <v>#VALUE!</v>
      </c>
      <c r="B1" s="170"/>
      <c r="C1" s="167"/>
      <c r="D1" s="127"/>
      <c r="E1" s="180" t="s">
        <v>0</v>
      </c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48"/>
      <c r="AE1" s="178" t="s">
        <v>1</v>
      </c>
      <c r="AF1" s="175" t="s">
        <v>5801</v>
      </c>
    </row>
    <row r="2" spans="1:38" ht="51.75" customHeight="1" x14ac:dyDescent="0.3">
      <c r="A2" s="170"/>
      <c r="B2" s="170"/>
      <c r="C2" s="167"/>
      <c r="D2" s="127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48"/>
      <c r="AE2" s="179"/>
      <c r="AF2" s="176"/>
    </row>
    <row r="3" spans="1:38" ht="61.5" customHeight="1" x14ac:dyDescent="0.3">
      <c r="A3" s="171"/>
      <c r="B3" s="171"/>
      <c r="C3" s="168"/>
      <c r="D3" s="128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1"/>
      <c r="W3" s="180"/>
      <c r="X3" s="180"/>
      <c r="Y3" s="180"/>
      <c r="Z3" s="180"/>
      <c r="AA3" s="180"/>
      <c r="AB3" s="180"/>
      <c r="AC3" s="180"/>
      <c r="AD3" s="148"/>
      <c r="AE3" s="179"/>
      <c r="AF3" s="177"/>
    </row>
    <row r="4" spans="1:38" ht="44.7" customHeight="1" x14ac:dyDescent="0.3">
      <c r="A4" s="36" t="s">
        <v>2</v>
      </c>
      <c r="B4" s="74" t="s">
        <v>3</v>
      </c>
      <c r="C4" s="186" t="e" vm="2">
        <v>#VALUE!</v>
      </c>
      <c r="D4" s="183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3"/>
      <c r="AK4" s="19" t="s">
        <v>4</v>
      </c>
      <c r="AL4" s="20" t="s">
        <v>5</v>
      </c>
    </row>
    <row r="5" spans="1:38" ht="14.4" hidden="1" customHeight="1" x14ac:dyDescent="0.3">
      <c r="A5" s="17"/>
      <c r="B5" s="75"/>
      <c r="C5" s="75"/>
      <c r="D5" s="75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23"/>
      <c r="R5" s="24"/>
      <c r="S5" s="25"/>
      <c r="T5" s="26"/>
      <c r="U5" s="26"/>
      <c r="V5" s="26"/>
      <c r="W5" s="27"/>
      <c r="X5" s="27"/>
      <c r="Y5" s="27"/>
      <c r="Z5" s="28"/>
      <c r="AA5" s="27"/>
      <c r="AB5" s="76"/>
      <c r="AC5" s="30"/>
      <c r="AD5" s="30"/>
      <c r="AE5" s="31"/>
      <c r="AF5" s="32"/>
      <c r="AK5" s="19" t="s">
        <v>6</v>
      </c>
      <c r="AL5" s="20" t="s">
        <v>7</v>
      </c>
    </row>
    <row r="6" spans="1:38" ht="52.2" customHeight="1" x14ac:dyDescent="0.3">
      <c r="A6" s="17" t="s">
        <v>8</v>
      </c>
      <c r="B6" s="77" t="s">
        <v>662</v>
      </c>
      <c r="C6" s="187" t="e" vm="3">
        <v>#VALUE!</v>
      </c>
      <c r="D6" s="188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5"/>
      <c r="AK6" s="19" t="s">
        <v>10</v>
      </c>
      <c r="AL6" s="20" t="s">
        <v>3639</v>
      </c>
    </row>
    <row r="7" spans="1:38" ht="37.200000000000003" customHeight="1" x14ac:dyDescent="0.3">
      <c r="A7" s="36" t="s">
        <v>11</v>
      </c>
      <c r="B7" s="78" t="s">
        <v>663</v>
      </c>
      <c r="C7" s="78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3"/>
      <c r="W7" s="172"/>
      <c r="X7" s="172"/>
      <c r="Y7" s="172"/>
      <c r="Z7" s="172"/>
      <c r="AA7" s="172"/>
      <c r="AB7" s="172"/>
      <c r="AC7" s="172"/>
      <c r="AD7" s="172"/>
      <c r="AE7" s="172"/>
      <c r="AF7" s="174"/>
      <c r="AK7" s="19" t="s">
        <v>13</v>
      </c>
      <c r="AL7" s="37" t="s">
        <v>14</v>
      </c>
    </row>
    <row r="8" spans="1:38" ht="15" customHeight="1" x14ac:dyDescent="0.25">
      <c r="D8" s="79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38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</row>
    <row r="9" spans="1:38" s="73" customFormat="1" ht="70.2" customHeight="1" x14ac:dyDescent="0.25">
      <c r="A9" s="43" t="s">
        <v>664</v>
      </c>
      <c r="B9" s="43" t="s">
        <v>15</v>
      </c>
      <c r="C9" s="43" t="s">
        <v>5861</v>
      </c>
      <c r="D9" s="43" t="s">
        <v>16</v>
      </c>
      <c r="E9" s="43" t="s">
        <v>5815</v>
      </c>
      <c r="F9" s="43" t="s">
        <v>18</v>
      </c>
      <c r="G9" s="43" t="s">
        <v>19</v>
      </c>
      <c r="H9" s="43" t="s">
        <v>20</v>
      </c>
      <c r="I9" s="150" t="s">
        <v>665</v>
      </c>
      <c r="J9" s="43" t="s">
        <v>666</v>
      </c>
      <c r="K9" s="43" t="s">
        <v>23</v>
      </c>
      <c r="L9" s="43" t="s">
        <v>24</v>
      </c>
      <c r="M9" s="43" t="s">
        <v>5534</v>
      </c>
      <c r="N9" s="43" t="s">
        <v>5532</v>
      </c>
      <c r="O9" s="43" t="s">
        <v>25</v>
      </c>
      <c r="P9" s="43" t="s">
        <v>26</v>
      </c>
      <c r="Q9" s="43" t="s">
        <v>27</v>
      </c>
      <c r="R9" s="43" t="s">
        <v>28</v>
      </c>
      <c r="S9" s="43" t="s">
        <v>2688</v>
      </c>
      <c r="T9" s="43" t="s">
        <v>30</v>
      </c>
      <c r="U9" s="43" t="s">
        <v>31</v>
      </c>
      <c r="V9" s="43" t="s">
        <v>5535</v>
      </c>
      <c r="W9" s="43" t="s">
        <v>3621</v>
      </c>
      <c r="X9" s="43" t="s">
        <v>32</v>
      </c>
      <c r="Y9" s="43" t="s">
        <v>34</v>
      </c>
      <c r="Z9" s="43" t="s">
        <v>667</v>
      </c>
      <c r="AA9" s="43" t="s">
        <v>35</v>
      </c>
      <c r="AB9" s="151" t="s">
        <v>668</v>
      </c>
      <c r="AC9" s="152" t="s">
        <v>37</v>
      </c>
      <c r="AD9" s="152" t="s">
        <v>5528</v>
      </c>
      <c r="AE9" s="153" t="s">
        <v>669</v>
      </c>
      <c r="AF9" s="43" t="s">
        <v>5529</v>
      </c>
    </row>
    <row r="10" spans="1:38" ht="30" customHeight="1" x14ac:dyDescent="0.25">
      <c r="A10" s="5" t="s">
        <v>4983</v>
      </c>
      <c r="B10" s="5">
        <v>3568</v>
      </c>
      <c r="C10" s="5" t="s">
        <v>5863</v>
      </c>
      <c r="D10" s="7" t="s">
        <v>670</v>
      </c>
      <c r="E10" s="7" t="s">
        <v>446</v>
      </c>
      <c r="F10" s="7" t="s">
        <v>446</v>
      </c>
      <c r="G10" s="7" t="s">
        <v>446</v>
      </c>
      <c r="H10" s="7" t="s">
        <v>446</v>
      </c>
      <c r="I10" s="7" t="s">
        <v>671</v>
      </c>
      <c r="J10" s="7" t="s">
        <v>672</v>
      </c>
      <c r="K10" s="5" t="s">
        <v>10</v>
      </c>
      <c r="L10" s="5" t="s">
        <v>10</v>
      </c>
      <c r="M10" s="5" t="s">
        <v>10</v>
      </c>
      <c r="N10" s="5" t="s">
        <v>45</v>
      </c>
      <c r="O10" s="80" t="s">
        <v>56</v>
      </c>
      <c r="P10" s="101">
        <v>46029</v>
      </c>
      <c r="Q10" s="100">
        <f t="shared" ref="Q10:Q79" si="0">IF(P10="","",P10+365)</f>
        <v>46394</v>
      </c>
      <c r="R10" s="5" t="s">
        <v>1834</v>
      </c>
      <c r="S10" s="5" t="s">
        <v>4429</v>
      </c>
      <c r="T10" s="7">
        <v>1E-3</v>
      </c>
      <c r="U10" s="7" t="s">
        <v>10</v>
      </c>
      <c r="V10" s="7">
        <f t="shared" ref="V10:V79" si="1">IFERROR(IF(U10&gt;0,T10*100/U10,T10),T10)</f>
        <v>1E-3</v>
      </c>
      <c r="W10" s="7" t="s">
        <v>673</v>
      </c>
      <c r="X10" s="5" t="s">
        <v>674</v>
      </c>
      <c r="Y10" s="48" t="str">
        <f t="shared" ref="Y10:Y79" si="2">IFERROR(IF(W10="-",$AL$6,CHOOSE(IF(T10="",1,2),$AL$7,IF(V10&gt;W10,$AL$5,$AL$4))),"-")</f>
        <v>APROVADO</v>
      </c>
      <c r="Z10" s="7" t="s">
        <v>56</v>
      </c>
      <c r="AA10" s="5">
        <v>11602428</v>
      </c>
      <c r="AB10" s="5" t="s">
        <v>3786</v>
      </c>
      <c r="AC10" s="5" t="s">
        <v>48</v>
      </c>
      <c r="AD10" s="5" t="s">
        <v>5530</v>
      </c>
      <c r="AE10" s="5" t="str">
        <f t="shared" ref="AE10:AE48" ca="1" si="3">IFERROR(IF(OR(AND(YEAR(Q10)=YEAR(TODAY()),MONTH(Q10)&gt;MONTH(TODAY())),(YEAR(Q10)&gt;YEAR(TODAY()))),$AK$4,IF(AND(YEAR(Q10)=YEAR(TODAY()),MONTH(Q10)=MONTH(TODAY())),$AK$5,IF(Q10="",$AK$6,$AK$7))),"-")</f>
        <v>NO PRAZO</v>
      </c>
      <c r="AF10" s="53"/>
    </row>
    <row r="11" spans="1:38" ht="30" customHeight="1" x14ac:dyDescent="0.25">
      <c r="A11" s="5" t="s">
        <v>4967</v>
      </c>
      <c r="B11" s="5">
        <v>4911</v>
      </c>
      <c r="C11" s="5" t="s">
        <v>5864</v>
      </c>
      <c r="D11" s="7" t="s">
        <v>670</v>
      </c>
      <c r="E11" s="7" t="s">
        <v>256</v>
      </c>
      <c r="F11" s="7" t="s">
        <v>276</v>
      </c>
      <c r="G11" s="7" t="s">
        <v>675</v>
      </c>
      <c r="H11" s="7" t="s">
        <v>675</v>
      </c>
      <c r="I11" s="7" t="s">
        <v>677</v>
      </c>
      <c r="J11" s="7" t="s">
        <v>678</v>
      </c>
      <c r="K11" s="5" t="s">
        <v>10</v>
      </c>
      <c r="L11" s="5" t="s">
        <v>10</v>
      </c>
      <c r="M11" s="5" t="s">
        <v>10</v>
      </c>
      <c r="N11" s="5" t="s">
        <v>45</v>
      </c>
      <c r="O11" s="80" t="s">
        <v>56</v>
      </c>
      <c r="P11" s="101">
        <v>46029</v>
      </c>
      <c r="Q11" s="100">
        <f t="shared" si="0"/>
        <v>46394</v>
      </c>
      <c r="R11" s="5" t="s">
        <v>1835</v>
      </c>
      <c r="S11" s="5" t="s">
        <v>4431</v>
      </c>
      <c r="T11" s="7">
        <v>0.01</v>
      </c>
      <c r="U11" s="7" t="s">
        <v>10</v>
      </c>
      <c r="V11" s="7">
        <f t="shared" si="1"/>
        <v>0.01</v>
      </c>
      <c r="W11" s="7" t="s">
        <v>673</v>
      </c>
      <c r="X11" s="5" t="s">
        <v>679</v>
      </c>
      <c r="Y11" s="48" t="str">
        <f t="shared" si="2"/>
        <v>APROVADO</v>
      </c>
      <c r="Z11" s="7" t="s">
        <v>56</v>
      </c>
      <c r="AA11" s="5">
        <v>11541853</v>
      </c>
      <c r="AB11" s="5" t="s">
        <v>3787</v>
      </c>
      <c r="AC11" s="5" t="s">
        <v>48</v>
      </c>
      <c r="AD11" s="5" t="s">
        <v>5530</v>
      </c>
      <c r="AE11" s="5" t="str">
        <f t="shared" ca="1" si="3"/>
        <v>NO PRAZO</v>
      </c>
      <c r="AF11" s="53"/>
    </row>
    <row r="12" spans="1:38" ht="30" customHeight="1" x14ac:dyDescent="0.25">
      <c r="A12" s="111">
        <v>38689</v>
      </c>
      <c r="B12" s="5" t="s">
        <v>10</v>
      </c>
      <c r="C12" s="5" t="s">
        <v>5864</v>
      </c>
      <c r="D12" s="7" t="s">
        <v>5223</v>
      </c>
      <c r="E12" s="7" t="s">
        <v>256</v>
      </c>
      <c r="F12" s="7" t="s">
        <v>257</v>
      </c>
      <c r="G12" s="7" t="s">
        <v>10</v>
      </c>
      <c r="H12" s="7" t="s">
        <v>10</v>
      </c>
      <c r="I12" s="7" t="s">
        <v>701</v>
      </c>
      <c r="J12" s="7" t="s">
        <v>3556</v>
      </c>
      <c r="K12" s="5" t="s">
        <v>10</v>
      </c>
      <c r="L12" s="5" t="s">
        <v>45</v>
      </c>
      <c r="M12" s="5" t="s">
        <v>10</v>
      </c>
      <c r="N12" s="5" t="s">
        <v>10</v>
      </c>
      <c r="O12" s="80" t="s">
        <v>56</v>
      </c>
      <c r="P12" s="101">
        <v>45937</v>
      </c>
      <c r="Q12" s="100">
        <f t="shared" si="0"/>
        <v>46302</v>
      </c>
      <c r="R12" s="5" t="s">
        <v>905</v>
      </c>
      <c r="S12" s="5" t="s">
        <v>3496</v>
      </c>
      <c r="T12" s="7">
        <v>0.01</v>
      </c>
      <c r="U12" s="7" t="s">
        <v>10</v>
      </c>
      <c r="V12" s="7">
        <f t="shared" si="1"/>
        <v>0.01</v>
      </c>
      <c r="W12" s="5" t="s">
        <v>10</v>
      </c>
      <c r="X12" s="5" t="s">
        <v>679</v>
      </c>
      <c r="Y12" s="48" t="str">
        <f t="shared" si="2"/>
        <v>A DEFINIR</v>
      </c>
      <c r="Z12" s="7" t="s">
        <v>56</v>
      </c>
      <c r="AA12" s="5">
        <v>11586883</v>
      </c>
      <c r="AB12" s="5" t="s">
        <v>2814</v>
      </c>
      <c r="AC12" s="5" t="s">
        <v>48</v>
      </c>
      <c r="AD12" s="5" t="s">
        <v>5530</v>
      </c>
      <c r="AE12" s="5" t="str">
        <f t="shared" ca="1" si="3"/>
        <v>NO PRAZO</v>
      </c>
      <c r="AF12" s="51"/>
    </row>
    <row r="13" spans="1:38" ht="30" customHeight="1" x14ac:dyDescent="0.25">
      <c r="A13" s="9" t="s">
        <v>5883</v>
      </c>
      <c r="B13" s="9" t="s">
        <v>10</v>
      </c>
      <c r="C13" s="9" t="s">
        <v>5864</v>
      </c>
      <c r="D13" s="61" t="s">
        <v>670</v>
      </c>
      <c r="E13" s="7" t="s">
        <v>256</v>
      </c>
      <c r="F13" s="7" t="s">
        <v>257</v>
      </c>
      <c r="G13" s="61" t="s">
        <v>641</v>
      </c>
      <c r="H13" s="61" t="s">
        <v>641</v>
      </c>
      <c r="I13" s="61" t="s">
        <v>686</v>
      </c>
      <c r="J13" s="62" t="s">
        <v>5838</v>
      </c>
      <c r="K13" s="5" t="s">
        <v>10</v>
      </c>
      <c r="L13" s="5" t="s">
        <v>45</v>
      </c>
      <c r="M13" s="5" t="s">
        <v>10</v>
      </c>
      <c r="N13" s="5" t="s">
        <v>10</v>
      </c>
      <c r="O13" s="80" t="s">
        <v>56</v>
      </c>
      <c r="P13" s="99">
        <v>46218</v>
      </c>
      <c r="Q13" s="100">
        <f t="shared" ref="Q13:Q17" si="4">IF(P13="","",P13+365)</f>
        <v>46583</v>
      </c>
      <c r="R13" s="63" t="s">
        <v>905</v>
      </c>
      <c r="S13" s="63" t="s">
        <v>5887</v>
      </c>
      <c r="T13" s="7">
        <v>0.03</v>
      </c>
      <c r="U13" s="7" t="s">
        <v>10</v>
      </c>
      <c r="V13" s="7">
        <f t="shared" ref="V13:V17" si="5">IFERROR(IF(U13&gt;0,T13*100/U13,T13),T13)</f>
        <v>0.03</v>
      </c>
      <c r="W13" s="7" t="s">
        <v>673</v>
      </c>
      <c r="X13" s="5" t="s">
        <v>679</v>
      </c>
      <c r="Y13" s="48" t="str">
        <f t="shared" ref="Y13:Y17" si="6">IFERROR(IF(W13="-",$AL$6,CHOOSE(IF(T13="",1,2),$AL$7,IF(V13&gt;W13,$AL$5,$AL$4))),"-")</f>
        <v>APROVADO</v>
      </c>
      <c r="Z13" s="7" t="s">
        <v>56</v>
      </c>
      <c r="AA13" s="5" t="s">
        <v>4675</v>
      </c>
      <c r="AB13" s="5" t="s">
        <v>4675</v>
      </c>
      <c r="AC13" s="5" t="s">
        <v>48</v>
      </c>
      <c r="AD13" s="5" t="s">
        <v>5632</v>
      </c>
      <c r="AE13" s="5" t="str">
        <f t="shared" ref="AE13:AE17" ca="1" si="7">IFERROR(IF(OR(AND(YEAR(Q13)=YEAR(TODAY()),MONTH(Q13)&gt;MONTH(TODAY())),(YEAR(Q13)&gt;YEAR(TODAY()))),$AK$4,IF(AND(YEAR(Q13)=YEAR(TODAY()),MONTH(Q13)=MONTH(TODAY())),$AK$5,IF(Q13="",$AK$6,$AK$7))),"-")</f>
        <v>NO PRAZO</v>
      </c>
      <c r="AF13" s="51"/>
    </row>
    <row r="14" spans="1:38" ht="30" customHeight="1" x14ac:dyDescent="0.25">
      <c r="A14" s="9" t="s">
        <v>5884</v>
      </c>
      <c r="B14" s="9" t="s">
        <v>10</v>
      </c>
      <c r="C14" s="9" t="s">
        <v>5864</v>
      </c>
      <c r="D14" s="61" t="s">
        <v>670</v>
      </c>
      <c r="E14" s="7" t="s">
        <v>256</v>
      </c>
      <c r="F14" s="7" t="s">
        <v>257</v>
      </c>
      <c r="G14" s="61" t="s">
        <v>641</v>
      </c>
      <c r="H14" s="61" t="s">
        <v>641</v>
      </c>
      <c r="I14" s="61" t="s">
        <v>686</v>
      </c>
      <c r="J14" s="62" t="s">
        <v>5838</v>
      </c>
      <c r="K14" s="5" t="s">
        <v>10</v>
      </c>
      <c r="L14" s="5" t="s">
        <v>45</v>
      </c>
      <c r="M14" s="5" t="s">
        <v>10</v>
      </c>
      <c r="N14" s="5" t="s">
        <v>10</v>
      </c>
      <c r="O14" s="80" t="s">
        <v>56</v>
      </c>
      <c r="P14" s="99">
        <v>46218</v>
      </c>
      <c r="Q14" s="100">
        <f t="shared" si="4"/>
        <v>46583</v>
      </c>
      <c r="R14" s="63" t="s">
        <v>905</v>
      </c>
      <c r="S14" s="63" t="s">
        <v>5888</v>
      </c>
      <c r="T14" s="7">
        <v>0.02</v>
      </c>
      <c r="U14" s="7" t="s">
        <v>10</v>
      </c>
      <c r="V14" s="7">
        <f t="shared" si="5"/>
        <v>0.02</v>
      </c>
      <c r="W14" s="7" t="s">
        <v>673</v>
      </c>
      <c r="X14" s="5" t="s">
        <v>679</v>
      </c>
      <c r="Y14" s="48" t="str">
        <f t="shared" si="6"/>
        <v>APROVADO</v>
      </c>
      <c r="Z14" s="7" t="s">
        <v>56</v>
      </c>
      <c r="AA14" s="5" t="s">
        <v>4675</v>
      </c>
      <c r="AB14" s="5" t="s">
        <v>4675</v>
      </c>
      <c r="AC14" s="5" t="s">
        <v>48</v>
      </c>
      <c r="AD14" s="5" t="s">
        <v>5632</v>
      </c>
      <c r="AE14" s="5" t="str">
        <f t="shared" ca="1" si="7"/>
        <v>NO PRAZO</v>
      </c>
      <c r="AF14" s="51"/>
    </row>
    <row r="15" spans="1:38" ht="30" customHeight="1" x14ac:dyDescent="0.25">
      <c r="A15" s="9" t="s">
        <v>5885</v>
      </c>
      <c r="B15" s="9" t="s">
        <v>10</v>
      </c>
      <c r="C15" s="9" t="s">
        <v>5864</v>
      </c>
      <c r="D15" s="61" t="s">
        <v>670</v>
      </c>
      <c r="E15" s="7" t="s">
        <v>256</v>
      </c>
      <c r="F15" s="7" t="s">
        <v>257</v>
      </c>
      <c r="G15" s="61" t="s">
        <v>641</v>
      </c>
      <c r="H15" s="61" t="s">
        <v>641</v>
      </c>
      <c r="I15" s="61" t="s">
        <v>686</v>
      </c>
      <c r="J15" s="62" t="s">
        <v>5838</v>
      </c>
      <c r="K15" s="5" t="s">
        <v>10</v>
      </c>
      <c r="L15" s="5" t="s">
        <v>45</v>
      </c>
      <c r="M15" s="5" t="s">
        <v>10</v>
      </c>
      <c r="N15" s="5" t="s">
        <v>10</v>
      </c>
      <c r="O15" s="80" t="s">
        <v>56</v>
      </c>
      <c r="P15" s="99">
        <v>46218</v>
      </c>
      <c r="Q15" s="100">
        <f t="shared" si="4"/>
        <v>46583</v>
      </c>
      <c r="R15" s="63" t="s">
        <v>905</v>
      </c>
      <c r="S15" s="63" t="s">
        <v>5889</v>
      </c>
      <c r="T15" s="7">
        <v>0.01</v>
      </c>
      <c r="U15" s="7" t="s">
        <v>10</v>
      </c>
      <c r="V15" s="7">
        <f t="shared" si="5"/>
        <v>0.01</v>
      </c>
      <c r="W15" s="7" t="s">
        <v>673</v>
      </c>
      <c r="X15" s="5" t="s">
        <v>679</v>
      </c>
      <c r="Y15" s="48" t="str">
        <f t="shared" si="6"/>
        <v>APROVADO</v>
      </c>
      <c r="Z15" s="7" t="s">
        <v>56</v>
      </c>
      <c r="AA15" s="5" t="s">
        <v>4675</v>
      </c>
      <c r="AB15" s="5" t="s">
        <v>4675</v>
      </c>
      <c r="AC15" s="5" t="s">
        <v>48</v>
      </c>
      <c r="AD15" s="5" t="s">
        <v>5632</v>
      </c>
      <c r="AE15" s="5" t="str">
        <f t="shared" ca="1" si="7"/>
        <v>NO PRAZO</v>
      </c>
      <c r="AF15" s="51"/>
    </row>
    <row r="16" spans="1:38" ht="30" customHeight="1" x14ac:dyDescent="0.25">
      <c r="A16" s="9" t="s">
        <v>5902</v>
      </c>
      <c r="B16" s="9" t="s">
        <v>10</v>
      </c>
      <c r="C16" s="9" t="s">
        <v>5864</v>
      </c>
      <c r="D16" s="61" t="s">
        <v>670</v>
      </c>
      <c r="E16" s="7" t="s">
        <v>50</v>
      </c>
      <c r="F16" s="7" t="s">
        <v>658</v>
      </c>
      <c r="G16" s="61" t="s">
        <v>641</v>
      </c>
      <c r="H16" s="61" t="s">
        <v>641</v>
      </c>
      <c r="I16" s="61" t="s">
        <v>5903</v>
      </c>
      <c r="J16" s="62" t="s">
        <v>793</v>
      </c>
      <c r="K16" s="5" t="s">
        <v>10</v>
      </c>
      <c r="L16" s="5" t="s">
        <v>10</v>
      </c>
      <c r="M16" s="5" t="s">
        <v>10</v>
      </c>
      <c r="N16" s="5" t="s">
        <v>1006</v>
      </c>
      <c r="O16" s="80" t="s">
        <v>56</v>
      </c>
      <c r="P16" s="99">
        <v>46224</v>
      </c>
      <c r="Q16" s="100">
        <f t="shared" ref="Q16" si="8">IF(P16="","",P16+365)</f>
        <v>46589</v>
      </c>
      <c r="R16" s="63" t="s">
        <v>905</v>
      </c>
      <c r="S16" s="63" t="s">
        <v>5904</v>
      </c>
      <c r="T16" s="7">
        <v>0.01</v>
      </c>
      <c r="U16" s="7" t="s">
        <v>10</v>
      </c>
      <c r="V16" s="7">
        <f t="shared" ref="V16" si="9">IFERROR(IF(U16&gt;0,T16*100/U16,T16),T16)</f>
        <v>0.01</v>
      </c>
      <c r="W16" s="7" t="s">
        <v>673</v>
      </c>
      <c r="X16" s="5" t="s">
        <v>679</v>
      </c>
      <c r="Y16" s="48" t="str">
        <f t="shared" ref="Y16" si="10">IFERROR(IF(W16="-",$AL$6,CHOOSE(IF(T16="",1,2),$AL$7,IF(V16&gt;W16,$AL$5,$AL$4))),"-")</f>
        <v>APROVADO</v>
      </c>
      <c r="Z16" s="7" t="s">
        <v>56</v>
      </c>
      <c r="AA16" s="5" t="s">
        <v>4675</v>
      </c>
      <c r="AB16" s="5" t="s">
        <v>4675</v>
      </c>
      <c r="AC16" s="5" t="s">
        <v>48</v>
      </c>
      <c r="AD16" s="5" t="s">
        <v>5632</v>
      </c>
      <c r="AE16" s="5" t="str">
        <f t="shared" ref="AE16" ca="1" si="11">IFERROR(IF(OR(AND(YEAR(Q16)=YEAR(TODAY()),MONTH(Q16)&gt;MONTH(TODAY())),(YEAR(Q16)&gt;YEAR(TODAY()))),$AK$4,IF(AND(YEAR(Q16)=YEAR(TODAY()),MONTH(Q16)=MONTH(TODAY())),$AK$5,IF(Q16="",$AK$6,$AK$7))),"-")</f>
        <v>NO PRAZO</v>
      </c>
      <c r="AF16" s="51"/>
    </row>
    <row r="17" spans="1:32" ht="30" customHeight="1" x14ac:dyDescent="0.25">
      <c r="A17" s="9" t="s">
        <v>5886</v>
      </c>
      <c r="B17" s="9" t="s">
        <v>10</v>
      </c>
      <c r="C17" s="9" t="s">
        <v>5864</v>
      </c>
      <c r="D17" s="61" t="s">
        <v>670</v>
      </c>
      <c r="E17" s="7" t="s">
        <v>256</v>
      </c>
      <c r="F17" s="7" t="s">
        <v>257</v>
      </c>
      <c r="G17" s="61" t="s">
        <v>641</v>
      </c>
      <c r="H17" s="61" t="s">
        <v>641</v>
      </c>
      <c r="I17" s="61" t="s">
        <v>686</v>
      </c>
      <c r="J17" s="62" t="s">
        <v>5838</v>
      </c>
      <c r="K17" s="5" t="s">
        <v>10</v>
      </c>
      <c r="L17" s="5" t="s">
        <v>45</v>
      </c>
      <c r="M17" s="5" t="s">
        <v>10</v>
      </c>
      <c r="N17" s="5" t="s">
        <v>10</v>
      </c>
      <c r="O17" s="80" t="s">
        <v>56</v>
      </c>
      <c r="P17" s="99">
        <v>46218</v>
      </c>
      <c r="Q17" s="100">
        <f t="shared" si="4"/>
        <v>46583</v>
      </c>
      <c r="R17" s="63" t="s">
        <v>905</v>
      </c>
      <c r="S17" s="63" t="s">
        <v>5890</v>
      </c>
      <c r="T17" s="7">
        <v>0.03</v>
      </c>
      <c r="U17" s="7" t="s">
        <v>10</v>
      </c>
      <c r="V17" s="7">
        <f t="shared" si="5"/>
        <v>0.03</v>
      </c>
      <c r="W17" s="7" t="s">
        <v>673</v>
      </c>
      <c r="X17" s="5" t="s">
        <v>679</v>
      </c>
      <c r="Y17" s="48" t="str">
        <f t="shared" si="6"/>
        <v>APROVADO</v>
      </c>
      <c r="Z17" s="7" t="s">
        <v>56</v>
      </c>
      <c r="AA17" s="5" t="s">
        <v>4675</v>
      </c>
      <c r="AB17" s="5" t="s">
        <v>4675</v>
      </c>
      <c r="AC17" s="5" t="s">
        <v>48</v>
      </c>
      <c r="AD17" s="5" t="s">
        <v>5632</v>
      </c>
      <c r="AE17" s="5" t="str">
        <f t="shared" ca="1" si="7"/>
        <v>NO PRAZO</v>
      </c>
      <c r="AF17" s="51"/>
    </row>
    <row r="18" spans="1:32" ht="30" customHeight="1" x14ac:dyDescent="0.25">
      <c r="A18" s="9" t="s">
        <v>5249</v>
      </c>
      <c r="B18" s="9">
        <v>12427408</v>
      </c>
      <c r="C18" s="9" t="s">
        <v>5864</v>
      </c>
      <c r="D18" s="61" t="s">
        <v>670</v>
      </c>
      <c r="E18" s="7" t="s">
        <v>256</v>
      </c>
      <c r="F18" s="7" t="s">
        <v>257</v>
      </c>
      <c r="G18" s="61" t="s">
        <v>641</v>
      </c>
      <c r="H18" s="61" t="s">
        <v>641</v>
      </c>
      <c r="I18" s="61" t="s">
        <v>686</v>
      </c>
      <c r="J18" s="62" t="s">
        <v>5838</v>
      </c>
      <c r="K18" s="5" t="s">
        <v>10</v>
      </c>
      <c r="L18" s="5" t="s">
        <v>45</v>
      </c>
      <c r="M18" s="5" t="s">
        <v>10</v>
      </c>
      <c r="N18" s="5" t="s">
        <v>10</v>
      </c>
      <c r="O18" s="80" t="s">
        <v>56</v>
      </c>
      <c r="P18" s="99">
        <v>46127</v>
      </c>
      <c r="Q18" s="100">
        <f t="shared" si="0"/>
        <v>46492</v>
      </c>
      <c r="R18" s="63" t="s">
        <v>2177</v>
      </c>
      <c r="S18" s="63" t="s">
        <v>5265</v>
      </c>
      <c r="T18" s="7">
        <v>0.05</v>
      </c>
      <c r="U18" s="7" t="s">
        <v>10</v>
      </c>
      <c r="V18" s="7">
        <f t="shared" si="1"/>
        <v>0.05</v>
      </c>
      <c r="W18" s="7" t="s">
        <v>673</v>
      </c>
      <c r="X18" s="5" t="s">
        <v>679</v>
      </c>
      <c r="Y18" s="48" t="str">
        <f t="shared" si="2"/>
        <v>APROVADO</v>
      </c>
      <c r="Z18" s="7" t="s">
        <v>56</v>
      </c>
      <c r="AA18" s="5">
        <v>11603566</v>
      </c>
      <c r="AB18" s="5" t="s">
        <v>2813</v>
      </c>
      <c r="AC18" s="5" t="s">
        <v>48</v>
      </c>
      <c r="AD18" s="5" t="s">
        <v>5530</v>
      </c>
      <c r="AE18" s="5" t="str">
        <f t="shared" ca="1" si="3"/>
        <v>NO PRAZO</v>
      </c>
      <c r="AF18" s="51"/>
    </row>
    <row r="19" spans="1:32" ht="30" customHeight="1" x14ac:dyDescent="0.25">
      <c r="A19" s="5" t="s">
        <v>5035</v>
      </c>
      <c r="B19" s="5">
        <v>12717564</v>
      </c>
      <c r="C19" s="5" t="s">
        <v>5863</v>
      </c>
      <c r="D19" s="61" t="s">
        <v>670</v>
      </c>
      <c r="E19" s="7" t="s">
        <v>40</v>
      </c>
      <c r="F19" s="7" t="s">
        <v>354</v>
      </c>
      <c r="G19" s="7" t="s">
        <v>5839</v>
      </c>
      <c r="H19" s="7" t="s">
        <v>676</v>
      </c>
      <c r="I19" s="7" t="s">
        <v>690</v>
      </c>
      <c r="J19" s="7" t="s">
        <v>691</v>
      </c>
      <c r="K19" s="5" t="s">
        <v>10</v>
      </c>
      <c r="L19" s="5" t="s">
        <v>10</v>
      </c>
      <c r="M19" s="5" t="s">
        <v>10</v>
      </c>
      <c r="N19" s="5" t="s">
        <v>45</v>
      </c>
      <c r="O19" s="80" t="s">
        <v>56</v>
      </c>
      <c r="P19" s="101">
        <v>46092</v>
      </c>
      <c r="Q19" s="100">
        <f t="shared" si="0"/>
        <v>46457</v>
      </c>
      <c r="R19" s="5" t="s">
        <v>2007</v>
      </c>
      <c r="S19" s="7" t="s">
        <v>5041</v>
      </c>
      <c r="T19" s="7">
        <v>0.3</v>
      </c>
      <c r="U19" s="7" t="s">
        <v>10</v>
      </c>
      <c r="V19" s="7">
        <f t="shared" si="1"/>
        <v>0.3</v>
      </c>
      <c r="W19" s="7" t="s">
        <v>673</v>
      </c>
      <c r="X19" s="5" t="s">
        <v>679</v>
      </c>
      <c r="Y19" s="48" t="str">
        <f t="shared" si="2"/>
        <v>APROVADO</v>
      </c>
      <c r="Z19" s="7" t="s">
        <v>56</v>
      </c>
      <c r="AA19" s="5">
        <v>11597103</v>
      </c>
      <c r="AB19" s="5" t="s">
        <v>3790</v>
      </c>
      <c r="AC19" s="5" t="s">
        <v>48</v>
      </c>
      <c r="AD19" s="5" t="s">
        <v>5530</v>
      </c>
      <c r="AE19" s="5" t="str">
        <f t="shared" ca="1" si="3"/>
        <v>NO PRAZO</v>
      </c>
      <c r="AF19" s="52"/>
    </row>
    <row r="20" spans="1:32" ht="30" customHeight="1" x14ac:dyDescent="0.25">
      <c r="A20" s="5">
        <v>12717565</v>
      </c>
      <c r="B20" s="5" t="s">
        <v>10</v>
      </c>
      <c r="C20" s="5" t="s">
        <v>5863</v>
      </c>
      <c r="D20" s="7" t="s">
        <v>670</v>
      </c>
      <c r="E20" s="7" t="s">
        <v>40</v>
      </c>
      <c r="F20" s="7" t="s">
        <v>156</v>
      </c>
      <c r="G20" s="7" t="s">
        <v>692</v>
      </c>
      <c r="H20" s="7" t="s">
        <v>633</v>
      </c>
      <c r="I20" s="7" t="s">
        <v>687</v>
      </c>
      <c r="J20" s="7" t="s">
        <v>691</v>
      </c>
      <c r="K20" s="5" t="s">
        <v>10</v>
      </c>
      <c r="L20" s="5" t="s">
        <v>10</v>
      </c>
      <c r="M20" s="5" t="s">
        <v>10</v>
      </c>
      <c r="N20" s="5" t="s">
        <v>45</v>
      </c>
      <c r="O20" s="80" t="s">
        <v>56</v>
      </c>
      <c r="P20" s="101">
        <v>46005</v>
      </c>
      <c r="Q20" s="100">
        <f t="shared" si="0"/>
        <v>46370</v>
      </c>
      <c r="R20" s="5" t="s">
        <v>1836</v>
      </c>
      <c r="S20" s="5" t="s">
        <v>4355</v>
      </c>
      <c r="T20" s="7">
        <v>0.1</v>
      </c>
      <c r="U20" s="7" t="s">
        <v>10</v>
      </c>
      <c r="V20" s="7">
        <f t="shared" si="1"/>
        <v>0.1</v>
      </c>
      <c r="W20" s="7" t="s">
        <v>673</v>
      </c>
      <c r="X20" s="7" t="s">
        <v>679</v>
      </c>
      <c r="Y20" s="48" t="str">
        <f t="shared" si="2"/>
        <v>APROVADO</v>
      </c>
      <c r="Z20" s="7" t="s">
        <v>56</v>
      </c>
      <c r="AA20" s="5">
        <v>11606663</v>
      </c>
      <c r="AB20" s="5" t="s">
        <v>4113</v>
      </c>
      <c r="AC20" s="5" t="s">
        <v>48</v>
      </c>
      <c r="AD20" s="5" t="s">
        <v>5530</v>
      </c>
      <c r="AE20" s="5" t="str">
        <f t="shared" ca="1" si="3"/>
        <v>NO PRAZO</v>
      </c>
      <c r="AF20" s="53"/>
    </row>
    <row r="21" spans="1:32" ht="30" customHeight="1" x14ac:dyDescent="0.25">
      <c r="A21" s="5" t="s">
        <v>4968</v>
      </c>
      <c r="B21" s="5">
        <v>12717566</v>
      </c>
      <c r="C21" s="5" t="s">
        <v>5863</v>
      </c>
      <c r="D21" s="7" t="s">
        <v>670</v>
      </c>
      <c r="E21" s="7" t="s">
        <v>40</v>
      </c>
      <c r="F21" s="7" t="s">
        <v>156</v>
      </c>
      <c r="G21" s="7" t="s">
        <v>693</v>
      </c>
      <c r="H21" s="7" t="s">
        <v>676</v>
      </c>
      <c r="I21" s="7" t="s">
        <v>687</v>
      </c>
      <c r="J21" s="7" t="s">
        <v>688</v>
      </c>
      <c r="K21" s="5" t="s">
        <v>10</v>
      </c>
      <c r="L21" s="5" t="s">
        <v>10</v>
      </c>
      <c r="M21" s="5" t="s">
        <v>10</v>
      </c>
      <c r="N21" s="5" t="s">
        <v>45</v>
      </c>
      <c r="O21" s="80" t="s">
        <v>56</v>
      </c>
      <c r="P21" s="101">
        <v>46185</v>
      </c>
      <c r="Q21" s="100">
        <f t="shared" si="0"/>
        <v>46550</v>
      </c>
      <c r="R21" s="7" t="s">
        <v>4596</v>
      </c>
      <c r="S21" s="7" t="s">
        <v>5676</v>
      </c>
      <c r="T21" s="7">
        <v>0.2</v>
      </c>
      <c r="U21" s="7" t="s">
        <v>10</v>
      </c>
      <c r="V21" s="7">
        <f t="shared" si="1"/>
        <v>0.2</v>
      </c>
      <c r="W21" s="7" t="s">
        <v>673</v>
      </c>
      <c r="X21" s="5" t="s">
        <v>679</v>
      </c>
      <c r="Y21" s="48" t="str">
        <f t="shared" si="2"/>
        <v>APROVADO</v>
      </c>
      <c r="Z21" s="7" t="s">
        <v>46</v>
      </c>
      <c r="AA21" s="5">
        <v>11597104</v>
      </c>
      <c r="AB21" s="5" t="s">
        <v>3791</v>
      </c>
      <c r="AC21" s="5" t="s">
        <v>48</v>
      </c>
      <c r="AD21" s="5" t="s">
        <v>5632</v>
      </c>
      <c r="AE21" s="5" t="str">
        <f t="shared" ca="1" si="3"/>
        <v>NO PRAZO</v>
      </c>
      <c r="AF21" s="53"/>
    </row>
    <row r="22" spans="1:32" ht="30" customHeight="1" x14ac:dyDescent="0.25">
      <c r="A22" s="5">
        <v>12717569</v>
      </c>
      <c r="B22" s="5" t="s">
        <v>10</v>
      </c>
      <c r="C22" s="5" t="s">
        <v>5863</v>
      </c>
      <c r="D22" s="7" t="s">
        <v>670</v>
      </c>
      <c r="E22" s="7" t="s">
        <v>40</v>
      </c>
      <c r="F22" s="7" t="s">
        <v>156</v>
      </c>
      <c r="G22" s="7" t="s">
        <v>4408</v>
      </c>
      <c r="H22" s="7" t="s">
        <v>633</v>
      </c>
      <c r="I22" s="7" t="s">
        <v>690</v>
      </c>
      <c r="J22" s="7" t="s">
        <v>691</v>
      </c>
      <c r="K22" s="5" t="s">
        <v>10</v>
      </c>
      <c r="L22" s="5" t="s">
        <v>10</v>
      </c>
      <c r="M22" s="5" t="s">
        <v>10</v>
      </c>
      <c r="N22" s="5" t="s">
        <v>45</v>
      </c>
      <c r="O22" s="80" t="s">
        <v>56</v>
      </c>
      <c r="P22" s="101">
        <v>46005</v>
      </c>
      <c r="Q22" s="100">
        <f t="shared" si="0"/>
        <v>46370</v>
      </c>
      <c r="R22" s="5" t="s">
        <v>1838</v>
      </c>
      <c r="S22" s="5" t="s">
        <v>4356</v>
      </c>
      <c r="T22" s="7">
        <v>0.1</v>
      </c>
      <c r="U22" s="7" t="s">
        <v>10</v>
      </c>
      <c r="V22" s="7">
        <f t="shared" si="1"/>
        <v>0.1</v>
      </c>
      <c r="W22" s="7" t="s">
        <v>673</v>
      </c>
      <c r="X22" s="5" t="s">
        <v>679</v>
      </c>
      <c r="Y22" s="48" t="str">
        <f t="shared" si="2"/>
        <v>APROVADO</v>
      </c>
      <c r="Z22" s="7" t="s">
        <v>56</v>
      </c>
      <c r="AA22" s="5">
        <v>11602433</v>
      </c>
      <c r="AB22" s="5" t="s">
        <v>3792</v>
      </c>
      <c r="AC22" s="5" t="s">
        <v>48</v>
      </c>
      <c r="AD22" s="5" t="s">
        <v>5530</v>
      </c>
      <c r="AE22" s="5" t="str">
        <f t="shared" ca="1" si="3"/>
        <v>NO PRAZO</v>
      </c>
      <c r="AF22" s="53"/>
    </row>
    <row r="23" spans="1:32" ht="30" customHeight="1" x14ac:dyDescent="0.25">
      <c r="A23" s="5">
        <v>12717572</v>
      </c>
      <c r="B23" s="5" t="s">
        <v>10</v>
      </c>
      <c r="C23" s="5" t="s">
        <v>5863</v>
      </c>
      <c r="D23" s="61" t="s">
        <v>670</v>
      </c>
      <c r="E23" s="7" t="s">
        <v>40</v>
      </c>
      <c r="F23" s="7" t="s">
        <v>156</v>
      </c>
      <c r="G23" s="7" t="s">
        <v>2225</v>
      </c>
      <c r="H23" s="7" t="s">
        <v>633</v>
      </c>
      <c r="I23" s="7" t="s">
        <v>690</v>
      </c>
      <c r="J23" s="7" t="s">
        <v>691</v>
      </c>
      <c r="K23" s="5" t="s">
        <v>10</v>
      </c>
      <c r="L23" s="5" t="s">
        <v>10</v>
      </c>
      <c r="M23" s="5" t="s">
        <v>10</v>
      </c>
      <c r="N23" s="5" t="s">
        <v>45</v>
      </c>
      <c r="O23" s="80" t="s">
        <v>56</v>
      </c>
      <c r="P23" s="101">
        <v>46154</v>
      </c>
      <c r="Q23" s="100">
        <f t="shared" si="0"/>
        <v>46519</v>
      </c>
      <c r="R23" s="5" t="s">
        <v>4357</v>
      </c>
      <c r="S23" s="5" t="s">
        <v>5385</v>
      </c>
      <c r="T23" s="7">
        <v>0.3</v>
      </c>
      <c r="U23" s="7" t="s">
        <v>10</v>
      </c>
      <c r="V23" s="7">
        <f t="shared" si="1"/>
        <v>0.3</v>
      </c>
      <c r="W23" s="7" t="s">
        <v>673</v>
      </c>
      <c r="X23" s="5" t="s">
        <v>679</v>
      </c>
      <c r="Y23" s="48" t="str">
        <f t="shared" si="2"/>
        <v>APROVADO</v>
      </c>
      <c r="Z23" s="7" t="s">
        <v>56</v>
      </c>
      <c r="AA23" s="5">
        <v>11602434</v>
      </c>
      <c r="AB23" s="5" t="s">
        <v>3793</v>
      </c>
      <c r="AC23" s="5" t="s">
        <v>48</v>
      </c>
      <c r="AD23" s="5" t="s">
        <v>5530</v>
      </c>
      <c r="AE23" s="5" t="str">
        <f t="shared" ca="1" si="3"/>
        <v>NO PRAZO</v>
      </c>
      <c r="AF23" s="53"/>
    </row>
    <row r="24" spans="1:32" ht="30" customHeight="1" x14ac:dyDescent="0.25">
      <c r="A24" s="5">
        <v>12717576</v>
      </c>
      <c r="B24" s="5" t="s">
        <v>10</v>
      </c>
      <c r="C24" s="5" t="s">
        <v>5863</v>
      </c>
      <c r="D24" s="7" t="s">
        <v>670</v>
      </c>
      <c r="E24" s="7" t="s">
        <v>50</v>
      </c>
      <c r="F24" s="7" t="s">
        <v>596</v>
      </c>
      <c r="G24" s="7" t="s">
        <v>689</v>
      </c>
      <c r="H24" s="7" t="s">
        <v>676</v>
      </c>
      <c r="I24" s="7" t="s">
        <v>690</v>
      </c>
      <c r="J24" s="7" t="s">
        <v>688</v>
      </c>
      <c r="K24" s="5" t="s">
        <v>10</v>
      </c>
      <c r="L24" s="5" t="s">
        <v>10</v>
      </c>
      <c r="M24" s="5" t="s">
        <v>10</v>
      </c>
      <c r="N24" s="5" t="s">
        <v>45</v>
      </c>
      <c r="O24" s="80" t="s">
        <v>56</v>
      </c>
      <c r="P24" s="101">
        <v>46005</v>
      </c>
      <c r="Q24" s="100">
        <f t="shared" si="0"/>
        <v>46370</v>
      </c>
      <c r="R24" s="5" t="s">
        <v>1839</v>
      </c>
      <c r="S24" s="5" t="s">
        <v>4358</v>
      </c>
      <c r="T24" s="7">
        <v>0.2</v>
      </c>
      <c r="U24" s="7" t="s">
        <v>10</v>
      </c>
      <c r="V24" s="7">
        <f t="shared" si="1"/>
        <v>0.2</v>
      </c>
      <c r="W24" s="7" t="s">
        <v>673</v>
      </c>
      <c r="X24" s="5" t="s">
        <v>679</v>
      </c>
      <c r="Y24" s="48" t="str">
        <f t="shared" si="2"/>
        <v>APROVADO</v>
      </c>
      <c r="Z24" s="7" t="s">
        <v>56</v>
      </c>
      <c r="AA24" s="5">
        <v>11602431</v>
      </c>
      <c r="AB24" s="5" t="s">
        <v>3794</v>
      </c>
      <c r="AC24" s="5" t="s">
        <v>48</v>
      </c>
      <c r="AD24" s="5" t="s">
        <v>5530</v>
      </c>
      <c r="AE24" s="5" t="str">
        <f t="shared" ca="1" si="3"/>
        <v>NO PRAZO</v>
      </c>
      <c r="AF24" s="53"/>
    </row>
    <row r="25" spans="1:32" ht="30" customHeight="1" x14ac:dyDescent="0.25">
      <c r="A25" s="5" t="s">
        <v>4969</v>
      </c>
      <c r="B25" s="5">
        <v>12717577</v>
      </c>
      <c r="C25" s="5" t="s">
        <v>5863</v>
      </c>
      <c r="D25" s="7" t="s">
        <v>670</v>
      </c>
      <c r="E25" s="7" t="s">
        <v>40</v>
      </c>
      <c r="F25" s="7" t="s">
        <v>156</v>
      </c>
      <c r="G25" s="7" t="s">
        <v>4654</v>
      </c>
      <c r="H25" s="7" t="s">
        <v>676</v>
      </c>
      <c r="I25" s="7" t="s">
        <v>687</v>
      </c>
      <c r="J25" s="7" t="s">
        <v>688</v>
      </c>
      <c r="K25" s="5" t="s">
        <v>10</v>
      </c>
      <c r="L25" s="5" t="s">
        <v>10</v>
      </c>
      <c r="M25" s="5" t="s">
        <v>10</v>
      </c>
      <c r="N25" s="5" t="s">
        <v>45</v>
      </c>
      <c r="O25" s="80" t="s">
        <v>56</v>
      </c>
      <c r="P25" s="101">
        <v>46041</v>
      </c>
      <c r="Q25" s="100">
        <f t="shared" si="0"/>
        <v>46406</v>
      </c>
      <c r="R25" s="5" t="s">
        <v>1840</v>
      </c>
      <c r="S25" s="5" t="s">
        <v>4597</v>
      </c>
      <c r="T25" s="7">
        <v>0.5</v>
      </c>
      <c r="U25" s="7" t="s">
        <v>10</v>
      </c>
      <c r="V25" s="7">
        <f t="shared" si="1"/>
        <v>0.5</v>
      </c>
      <c r="W25" s="7" t="s">
        <v>673</v>
      </c>
      <c r="X25" s="5" t="s">
        <v>679</v>
      </c>
      <c r="Y25" s="48" t="str">
        <f t="shared" si="2"/>
        <v>APROVADO</v>
      </c>
      <c r="Z25" s="7" t="s">
        <v>56</v>
      </c>
      <c r="AA25" s="5">
        <v>11597106</v>
      </c>
      <c r="AB25" s="5" t="s">
        <v>3795</v>
      </c>
      <c r="AC25" s="5" t="s">
        <v>48</v>
      </c>
      <c r="AD25" s="5" t="s">
        <v>5530</v>
      </c>
      <c r="AE25" s="5" t="str">
        <f t="shared" ca="1" si="3"/>
        <v>NO PRAZO</v>
      </c>
      <c r="AF25" s="53"/>
    </row>
    <row r="26" spans="1:32" ht="30" customHeight="1" x14ac:dyDescent="0.25">
      <c r="A26" s="5">
        <v>12717580</v>
      </c>
      <c r="B26" s="5" t="s">
        <v>10</v>
      </c>
      <c r="C26" s="5" t="s">
        <v>5863</v>
      </c>
      <c r="D26" s="7" t="s">
        <v>670</v>
      </c>
      <c r="E26" s="7" t="s">
        <v>50</v>
      </c>
      <c r="F26" s="7" t="s">
        <v>589</v>
      </c>
      <c r="G26" s="7" t="s">
        <v>689</v>
      </c>
      <c r="H26" s="7" t="s">
        <v>676</v>
      </c>
      <c r="I26" s="7" t="s">
        <v>690</v>
      </c>
      <c r="J26" s="7" t="s">
        <v>688</v>
      </c>
      <c r="K26" s="5" t="s">
        <v>10</v>
      </c>
      <c r="L26" s="5" t="s">
        <v>10</v>
      </c>
      <c r="M26" s="5" t="s">
        <v>10</v>
      </c>
      <c r="N26" s="5" t="s">
        <v>45</v>
      </c>
      <c r="O26" s="80" t="s">
        <v>56</v>
      </c>
      <c r="P26" s="101">
        <v>46005</v>
      </c>
      <c r="Q26" s="100">
        <f t="shared" si="0"/>
        <v>46370</v>
      </c>
      <c r="R26" s="5" t="s">
        <v>1837</v>
      </c>
      <c r="S26" s="5" t="s">
        <v>4359</v>
      </c>
      <c r="T26" s="7">
        <v>0.1</v>
      </c>
      <c r="U26" s="7" t="s">
        <v>10</v>
      </c>
      <c r="V26" s="7">
        <f t="shared" si="1"/>
        <v>0.1</v>
      </c>
      <c r="W26" s="7" t="s">
        <v>673</v>
      </c>
      <c r="X26" s="5" t="s">
        <v>679</v>
      </c>
      <c r="Y26" s="48" t="str">
        <f t="shared" si="2"/>
        <v>APROVADO</v>
      </c>
      <c r="Z26" s="7" t="s">
        <v>56</v>
      </c>
      <c r="AA26" s="5">
        <v>11602432</v>
      </c>
      <c r="AB26" s="5" t="s">
        <v>3796</v>
      </c>
      <c r="AC26" s="5" t="s">
        <v>48</v>
      </c>
      <c r="AD26" s="5" t="s">
        <v>5530</v>
      </c>
      <c r="AE26" s="5" t="str">
        <f t="shared" ca="1" si="3"/>
        <v>NO PRAZO</v>
      </c>
      <c r="AF26" s="53"/>
    </row>
    <row r="27" spans="1:32" ht="30" customHeight="1" x14ac:dyDescent="0.25">
      <c r="A27" s="5" t="s">
        <v>5171</v>
      </c>
      <c r="B27" s="5">
        <v>13106420</v>
      </c>
      <c r="C27" s="5" t="s">
        <v>5863</v>
      </c>
      <c r="D27" s="7" t="s">
        <v>670</v>
      </c>
      <c r="E27" s="7" t="s">
        <v>40</v>
      </c>
      <c r="F27" s="7" t="s">
        <v>644</v>
      </c>
      <c r="G27" s="7" t="s">
        <v>2101</v>
      </c>
      <c r="H27" s="61" t="s">
        <v>694</v>
      </c>
      <c r="I27" s="7" t="s">
        <v>695</v>
      </c>
      <c r="J27" s="7" t="s">
        <v>696</v>
      </c>
      <c r="K27" s="5" t="s">
        <v>10</v>
      </c>
      <c r="L27" s="5" t="s">
        <v>10</v>
      </c>
      <c r="M27" s="5" t="s">
        <v>10</v>
      </c>
      <c r="N27" s="5" t="s">
        <v>45</v>
      </c>
      <c r="O27" s="80" t="s">
        <v>56</v>
      </c>
      <c r="P27" s="101">
        <v>46092</v>
      </c>
      <c r="Q27" s="100">
        <f t="shared" si="0"/>
        <v>46457</v>
      </c>
      <c r="R27" s="5" t="s">
        <v>2073</v>
      </c>
      <c r="S27" s="5" t="s">
        <v>5172</v>
      </c>
      <c r="T27" s="7">
        <v>6.0000000000000001E-3</v>
      </c>
      <c r="U27" s="7" t="s">
        <v>10</v>
      </c>
      <c r="V27" s="7">
        <f t="shared" si="1"/>
        <v>6.0000000000000001E-3</v>
      </c>
      <c r="W27" s="7" t="s">
        <v>673</v>
      </c>
      <c r="X27" s="5" t="s">
        <v>674</v>
      </c>
      <c r="Y27" s="48" t="str">
        <f t="shared" si="2"/>
        <v>APROVADO</v>
      </c>
      <c r="Z27" s="7" t="s">
        <v>56</v>
      </c>
      <c r="AA27" s="5">
        <v>11597107</v>
      </c>
      <c r="AB27" s="5" t="s">
        <v>3797</v>
      </c>
      <c r="AC27" s="5" t="s">
        <v>48</v>
      </c>
      <c r="AD27" s="5" t="s">
        <v>5530</v>
      </c>
      <c r="AE27" s="5" t="str">
        <f t="shared" ca="1" si="3"/>
        <v>NO PRAZO</v>
      </c>
      <c r="AF27" s="51"/>
    </row>
    <row r="28" spans="1:32" ht="30" customHeight="1" x14ac:dyDescent="0.25">
      <c r="A28" s="111" t="s">
        <v>5701</v>
      </c>
      <c r="B28" s="111">
        <v>19052125001002</v>
      </c>
      <c r="C28" s="9" t="s">
        <v>5864</v>
      </c>
      <c r="D28" s="7" t="s">
        <v>5223</v>
      </c>
      <c r="E28" s="7" t="s">
        <v>256</v>
      </c>
      <c r="F28" s="7" t="s">
        <v>652</v>
      </c>
      <c r="G28" s="34" t="s">
        <v>697</v>
      </c>
      <c r="H28" s="7" t="s">
        <v>700</v>
      </c>
      <c r="I28" s="7" t="s">
        <v>698</v>
      </c>
      <c r="J28" s="7" t="s">
        <v>699</v>
      </c>
      <c r="K28" s="5" t="s">
        <v>10</v>
      </c>
      <c r="L28" s="5" t="s">
        <v>10</v>
      </c>
      <c r="M28" s="5" t="s">
        <v>10</v>
      </c>
      <c r="N28" s="5" t="s">
        <v>45</v>
      </c>
      <c r="O28" s="80" t="s">
        <v>56</v>
      </c>
      <c r="P28" s="101">
        <v>46028</v>
      </c>
      <c r="Q28" s="100">
        <f t="shared" si="0"/>
        <v>46393</v>
      </c>
      <c r="R28" s="5" t="s">
        <v>1841</v>
      </c>
      <c r="S28" s="5" t="s">
        <v>4418</v>
      </c>
      <c r="T28" s="7">
        <v>1E-3</v>
      </c>
      <c r="U28" s="7" t="s">
        <v>10</v>
      </c>
      <c r="V28" s="7">
        <f t="shared" si="1"/>
        <v>1E-3</v>
      </c>
      <c r="W28" s="7" t="s">
        <v>10</v>
      </c>
      <c r="X28" s="5" t="s">
        <v>679</v>
      </c>
      <c r="Y28" s="48" t="str">
        <f t="shared" si="2"/>
        <v>A DEFINIR</v>
      </c>
      <c r="Z28" s="7" t="s">
        <v>56</v>
      </c>
      <c r="AA28" s="5">
        <v>11606665</v>
      </c>
      <c r="AB28" s="5" t="s">
        <v>4114</v>
      </c>
      <c r="AC28" s="5" t="s">
        <v>48</v>
      </c>
      <c r="AD28" s="5" t="s">
        <v>5530</v>
      </c>
      <c r="AE28" s="5" t="str">
        <f t="shared" ca="1" si="3"/>
        <v>NO PRAZO</v>
      </c>
      <c r="AF28" s="49"/>
    </row>
    <row r="29" spans="1:32" ht="30" customHeight="1" x14ac:dyDescent="0.25">
      <c r="A29" s="111" t="s">
        <v>5702</v>
      </c>
      <c r="B29" s="111">
        <v>19052245001001</v>
      </c>
      <c r="C29" s="9" t="s">
        <v>5864</v>
      </c>
      <c r="D29" s="7" t="s">
        <v>5223</v>
      </c>
      <c r="E29" s="7" t="s">
        <v>256</v>
      </c>
      <c r="F29" s="7" t="s">
        <v>652</v>
      </c>
      <c r="G29" s="7" t="s">
        <v>10</v>
      </c>
      <c r="H29" s="7" t="s">
        <v>700</v>
      </c>
      <c r="I29" s="7" t="s">
        <v>698</v>
      </c>
      <c r="J29" s="7" t="s">
        <v>699</v>
      </c>
      <c r="K29" s="5" t="s">
        <v>10</v>
      </c>
      <c r="L29" s="5" t="s">
        <v>10</v>
      </c>
      <c r="M29" s="5" t="s">
        <v>10</v>
      </c>
      <c r="N29" s="5" t="s">
        <v>45</v>
      </c>
      <c r="O29" s="80" t="s">
        <v>56</v>
      </c>
      <c r="P29" s="101">
        <v>46028</v>
      </c>
      <c r="Q29" s="100">
        <f>IF(P29="","",P29+365)</f>
        <v>46393</v>
      </c>
      <c r="R29" s="7" t="s">
        <v>1842</v>
      </c>
      <c r="S29" s="7" t="s">
        <v>4419</v>
      </c>
      <c r="T29" s="7">
        <v>1E-3</v>
      </c>
      <c r="U29" s="7" t="s">
        <v>10</v>
      </c>
      <c r="V29" s="7">
        <f>IFERROR(IF(U29&gt;0,T29*100/U29,T29),T29)</f>
        <v>1E-3</v>
      </c>
      <c r="W29" s="5" t="s">
        <v>10</v>
      </c>
      <c r="X29" s="5" t="s">
        <v>679</v>
      </c>
      <c r="Y29" s="48" t="str">
        <f>IFERROR(IF(W29="-",$AL$6,CHOOSE(IF(T29="",1,2),$AL$7,IF(V29&gt;W29,$AL$5,$AL$4))),"-")</f>
        <v>A DEFINIR</v>
      </c>
      <c r="Z29" s="7" t="s">
        <v>56</v>
      </c>
      <c r="AA29" s="5">
        <v>11599636</v>
      </c>
      <c r="AB29" s="5" t="s">
        <v>3798</v>
      </c>
      <c r="AC29" s="5" t="s">
        <v>48</v>
      </c>
      <c r="AD29" s="5" t="s">
        <v>5530</v>
      </c>
      <c r="AE29" s="5" t="str">
        <f ca="1">IFERROR(IF(OR(AND(YEAR(Q29)=YEAR(TODAY()),MONTH(Q29)&gt;MONTH(TODAY())),(YEAR(Q29)&gt;YEAR(TODAY()))),$AK$4,IF(AND(YEAR(Q29)=YEAR(TODAY()),MONTH(Q29)=MONTH(TODAY())),$AK$5,IF(Q29="",$AK$6,$AK$7))),"-")</f>
        <v>NO PRAZO</v>
      </c>
      <c r="AF29" s="49"/>
    </row>
    <row r="30" spans="1:32" ht="30" customHeight="1" x14ac:dyDescent="0.25">
      <c r="A30" s="111" t="s">
        <v>5840</v>
      </c>
      <c r="B30" s="111">
        <v>19052125001003</v>
      </c>
      <c r="C30" s="9" t="s">
        <v>5864</v>
      </c>
      <c r="D30" s="7" t="s">
        <v>5223</v>
      </c>
      <c r="E30" s="7" t="s">
        <v>256</v>
      </c>
      <c r="F30" s="7" t="s">
        <v>257</v>
      </c>
      <c r="G30" s="7" t="s">
        <v>10</v>
      </c>
      <c r="H30" s="7" t="s">
        <v>700</v>
      </c>
      <c r="I30" s="7" t="s">
        <v>701</v>
      </c>
      <c r="J30" s="7" t="s">
        <v>699</v>
      </c>
      <c r="K30" s="5" t="s">
        <v>10</v>
      </c>
      <c r="L30" s="5" t="s">
        <v>10</v>
      </c>
      <c r="M30" s="5" t="s">
        <v>10</v>
      </c>
      <c r="N30" s="5" t="s">
        <v>45</v>
      </c>
      <c r="O30" s="80" t="s">
        <v>56</v>
      </c>
      <c r="P30" s="101">
        <v>46031</v>
      </c>
      <c r="Q30" s="100">
        <f t="shared" si="0"/>
        <v>46396</v>
      </c>
      <c r="R30" s="5" t="s">
        <v>1911</v>
      </c>
      <c r="S30" s="5" t="s">
        <v>5025</v>
      </c>
      <c r="T30" s="7">
        <v>1E-3</v>
      </c>
      <c r="U30" s="7" t="s">
        <v>10</v>
      </c>
      <c r="V30" s="7">
        <f t="shared" si="1"/>
        <v>1E-3</v>
      </c>
      <c r="W30" s="5" t="s">
        <v>10</v>
      </c>
      <c r="X30" s="5" t="s">
        <v>679</v>
      </c>
      <c r="Y30" s="48" t="str">
        <f t="shared" si="2"/>
        <v>A DEFINIR</v>
      </c>
      <c r="Z30" s="7" t="s">
        <v>56</v>
      </c>
      <c r="AA30" s="5">
        <v>11599840</v>
      </c>
      <c r="AB30" s="5" t="s">
        <v>4115</v>
      </c>
      <c r="AC30" s="5" t="s">
        <v>48</v>
      </c>
      <c r="AD30" s="5" t="s">
        <v>5530</v>
      </c>
      <c r="AE30" s="5" t="str">
        <f t="shared" ca="1" si="3"/>
        <v>NO PRAZO</v>
      </c>
      <c r="AF30" s="87"/>
    </row>
    <row r="31" spans="1:32" ht="30" customHeight="1" x14ac:dyDescent="0.25">
      <c r="A31" s="111" t="s">
        <v>5891</v>
      </c>
      <c r="B31" s="111" t="s">
        <v>10</v>
      </c>
      <c r="C31" s="9" t="s">
        <v>5864</v>
      </c>
      <c r="D31" s="7" t="s">
        <v>702</v>
      </c>
      <c r="E31" s="7" t="s">
        <v>256</v>
      </c>
      <c r="F31" s="7" t="s">
        <v>257</v>
      </c>
      <c r="G31" s="7" t="s">
        <v>10</v>
      </c>
      <c r="H31" s="7" t="s">
        <v>700</v>
      </c>
      <c r="I31" s="7" t="s">
        <v>5893</v>
      </c>
      <c r="J31" s="7" t="s">
        <v>5894</v>
      </c>
      <c r="K31" s="5" t="s">
        <v>10</v>
      </c>
      <c r="L31" s="5" t="s">
        <v>10</v>
      </c>
      <c r="M31" s="5" t="s">
        <v>10</v>
      </c>
      <c r="N31" s="5" t="s">
        <v>45</v>
      </c>
      <c r="O31" s="80" t="s">
        <v>56</v>
      </c>
      <c r="P31" s="101">
        <v>46218</v>
      </c>
      <c r="Q31" s="100">
        <f t="shared" ref="Q31:Q32" si="12">IF(P31="","",P31+365)</f>
        <v>46583</v>
      </c>
      <c r="R31" s="5" t="s">
        <v>273</v>
      </c>
      <c r="S31" s="5" t="s">
        <v>5895</v>
      </c>
      <c r="T31" s="7">
        <v>1E-3</v>
      </c>
      <c r="U31" s="7" t="s">
        <v>10</v>
      </c>
      <c r="V31" s="7">
        <f t="shared" ref="V31:V32" si="13">IFERROR(IF(U31&gt;0,T31*100/U31,T31),T31)</f>
        <v>1E-3</v>
      </c>
      <c r="W31" s="5" t="s">
        <v>10</v>
      </c>
      <c r="X31" s="5" t="s">
        <v>679</v>
      </c>
      <c r="Y31" s="48" t="str">
        <f t="shared" ref="Y31:Y32" si="14">IFERROR(IF(W31="-",$AL$6,CHOOSE(IF(T31="",1,2),$AL$7,IF(V31&gt;W31,$AL$5,$AL$4))),"-")</f>
        <v>A DEFINIR</v>
      </c>
      <c r="Z31" s="7" t="s">
        <v>56</v>
      </c>
      <c r="AA31" s="5" t="s">
        <v>4675</v>
      </c>
      <c r="AB31" s="5" t="s">
        <v>4675</v>
      </c>
      <c r="AC31" s="5" t="s">
        <v>48</v>
      </c>
      <c r="AD31" s="5" t="s">
        <v>5632</v>
      </c>
      <c r="AE31" s="5" t="str">
        <f t="shared" ref="AE31:AE32" ca="1" si="15">IFERROR(IF(OR(AND(YEAR(Q31)=YEAR(TODAY()),MONTH(Q31)&gt;MONTH(TODAY())),(YEAR(Q31)&gt;YEAR(TODAY()))),$AK$4,IF(AND(YEAR(Q31)=YEAR(TODAY()),MONTH(Q31)=MONTH(TODAY())),$AK$5,IF(Q31="",$AK$6,$AK$7))),"-")</f>
        <v>NO PRAZO</v>
      </c>
      <c r="AF31" s="51"/>
    </row>
    <row r="32" spans="1:32" ht="30" customHeight="1" x14ac:dyDescent="0.25">
      <c r="A32" s="111" t="s">
        <v>5892</v>
      </c>
      <c r="B32" s="111" t="s">
        <v>10</v>
      </c>
      <c r="C32" s="9" t="s">
        <v>5864</v>
      </c>
      <c r="D32" s="7" t="s">
        <v>702</v>
      </c>
      <c r="E32" s="7" t="s">
        <v>256</v>
      </c>
      <c r="F32" s="7" t="s">
        <v>257</v>
      </c>
      <c r="G32" s="7" t="s">
        <v>10</v>
      </c>
      <c r="H32" s="7" t="s">
        <v>700</v>
      </c>
      <c r="I32" s="7" t="s">
        <v>5893</v>
      </c>
      <c r="J32" s="7" t="s">
        <v>5894</v>
      </c>
      <c r="K32" s="5" t="s">
        <v>10</v>
      </c>
      <c r="L32" s="5" t="s">
        <v>10</v>
      </c>
      <c r="M32" s="5" t="s">
        <v>10</v>
      </c>
      <c r="N32" s="5" t="s">
        <v>45</v>
      </c>
      <c r="O32" s="80" t="s">
        <v>56</v>
      </c>
      <c r="P32" s="101">
        <v>46218</v>
      </c>
      <c r="Q32" s="100">
        <f t="shared" si="12"/>
        <v>46583</v>
      </c>
      <c r="R32" s="5" t="s">
        <v>273</v>
      </c>
      <c r="S32" s="5" t="s">
        <v>5896</v>
      </c>
      <c r="T32" s="7">
        <v>1E-3</v>
      </c>
      <c r="U32" s="7" t="s">
        <v>10</v>
      </c>
      <c r="V32" s="7">
        <f t="shared" si="13"/>
        <v>1E-3</v>
      </c>
      <c r="W32" s="5" t="s">
        <v>10</v>
      </c>
      <c r="X32" s="5" t="s">
        <v>679</v>
      </c>
      <c r="Y32" s="48" t="str">
        <f t="shared" si="14"/>
        <v>A DEFINIR</v>
      </c>
      <c r="Z32" s="7" t="s">
        <v>56</v>
      </c>
      <c r="AA32" s="5" t="s">
        <v>4675</v>
      </c>
      <c r="AB32" s="5" t="s">
        <v>4675</v>
      </c>
      <c r="AC32" s="5" t="s">
        <v>48</v>
      </c>
      <c r="AD32" s="5" t="s">
        <v>5632</v>
      </c>
      <c r="AE32" s="5" t="str">
        <f t="shared" ca="1" si="15"/>
        <v>NO PRAZO</v>
      </c>
      <c r="AF32" s="51"/>
    </row>
    <row r="33" spans="1:32" ht="30" customHeight="1" x14ac:dyDescent="0.25">
      <c r="A33" s="110">
        <v>23041924001002</v>
      </c>
      <c r="B33" s="5" t="s">
        <v>10</v>
      </c>
      <c r="C33" s="9" t="s">
        <v>5864</v>
      </c>
      <c r="D33" s="7" t="s">
        <v>5223</v>
      </c>
      <c r="E33" s="7" t="s">
        <v>256</v>
      </c>
      <c r="F33" s="7" t="s">
        <v>312</v>
      </c>
      <c r="G33" s="61" t="s">
        <v>10</v>
      </c>
      <c r="H33" s="61" t="s">
        <v>706</v>
      </c>
      <c r="I33" s="62" t="s">
        <v>707</v>
      </c>
      <c r="J33" s="62" t="s">
        <v>708</v>
      </c>
      <c r="K33" s="5" t="s">
        <v>10</v>
      </c>
      <c r="L33" s="5" t="s">
        <v>10</v>
      </c>
      <c r="M33" s="5" t="s">
        <v>10</v>
      </c>
      <c r="N33" s="5" t="s">
        <v>45</v>
      </c>
      <c r="O33" s="80" t="s">
        <v>56</v>
      </c>
      <c r="P33" s="99">
        <v>45958</v>
      </c>
      <c r="Q33" s="100">
        <f t="shared" si="0"/>
        <v>46323</v>
      </c>
      <c r="R33" s="63" t="s">
        <v>1726</v>
      </c>
      <c r="S33" s="63" t="s">
        <v>3634</v>
      </c>
      <c r="T33" s="7">
        <v>0.01</v>
      </c>
      <c r="U33" s="7"/>
      <c r="V33" s="7">
        <f t="shared" si="1"/>
        <v>0.01</v>
      </c>
      <c r="W33" s="7" t="s">
        <v>10</v>
      </c>
      <c r="X33" s="5" t="s">
        <v>679</v>
      </c>
      <c r="Y33" s="48" t="str">
        <f t="shared" si="2"/>
        <v>A DEFINIR</v>
      </c>
      <c r="Z33" s="7" t="s">
        <v>56</v>
      </c>
      <c r="AA33" s="5">
        <v>11599866</v>
      </c>
      <c r="AB33" s="5" t="s">
        <v>3800</v>
      </c>
      <c r="AC33" s="5" t="s">
        <v>48</v>
      </c>
      <c r="AD33" s="5" t="s">
        <v>5530</v>
      </c>
      <c r="AE33" s="5" t="str">
        <f t="shared" ca="1" si="3"/>
        <v>NO PRAZO</v>
      </c>
      <c r="AF33" s="49"/>
    </row>
    <row r="34" spans="1:32" ht="30" customHeight="1" x14ac:dyDescent="0.25">
      <c r="A34" s="5" t="s">
        <v>10</v>
      </c>
      <c r="B34" s="130" t="s">
        <v>10</v>
      </c>
      <c r="C34" s="9" t="s">
        <v>5864</v>
      </c>
      <c r="D34" s="7" t="s">
        <v>4388</v>
      </c>
      <c r="E34" s="134" t="s">
        <v>256</v>
      </c>
      <c r="F34" s="134" t="s">
        <v>257</v>
      </c>
      <c r="G34" s="7" t="s">
        <v>4388</v>
      </c>
      <c r="H34" s="7" t="s">
        <v>10</v>
      </c>
      <c r="I34" s="7" t="s">
        <v>4391</v>
      </c>
      <c r="J34" s="7" t="s">
        <v>4391</v>
      </c>
      <c r="K34" s="7" t="s">
        <v>10</v>
      </c>
      <c r="L34" s="7" t="s">
        <v>10</v>
      </c>
      <c r="M34" s="7" t="s">
        <v>10</v>
      </c>
      <c r="N34" s="7" t="s">
        <v>45</v>
      </c>
      <c r="O34" s="119" t="s">
        <v>46</v>
      </c>
      <c r="P34" s="100">
        <v>45974</v>
      </c>
      <c r="Q34" s="100">
        <f t="shared" si="0"/>
        <v>46339</v>
      </c>
      <c r="R34" s="5" t="s">
        <v>273</v>
      </c>
      <c r="S34" s="48" t="s">
        <v>4389</v>
      </c>
      <c r="T34" s="7">
        <v>0.8</v>
      </c>
      <c r="U34" s="7"/>
      <c r="V34" s="7">
        <f t="shared" si="1"/>
        <v>0.8</v>
      </c>
      <c r="W34" s="5" t="s">
        <v>10</v>
      </c>
      <c r="X34" s="5" t="s">
        <v>4390</v>
      </c>
      <c r="Y34" s="48" t="str">
        <f t="shared" si="2"/>
        <v>A DEFINIR</v>
      </c>
      <c r="Z34" s="7" t="s">
        <v>56</v>
      </c>
      <c r="AA34" s="5">
        <v>11607342</v>
      </c>
      <c r="AB34" s="5" t="s">
        <v>4552</v>
      </c>
      <c r="AC34" s="5" t="s">
        <v>48</v>
      </c>
      <c r="AD34" s="5" t="s">
        <v>5530</v>
      </c>
      <c r="AE34" s="5" t="str">
        <f t="shared" ca="1" si="3"/>
        <v>NO PRAZO</v>
      </c>
      <c r="AF34" s="51"/>
    </row>
    <row r="35" spans="1:32" ht="30" customHeight="1" x14ac:dyDescent="0.25">
      <c r="A35" s="5" t="s">
        <v>719</v>
      </c>
      <c r="B35" s="5" t="s">
        <v>10</v>
      </c>
      <c r="C35" s="9" t="s">
        <v>5864</v>
      </c>
      <c r="D35" s="7" t="s">
        <v>720</v>
      </c>
      <c r="E35" s="7" t="s">
        <v>256</v>
      </c>
      <c r="F35" s="7" t="s">
        <v>257</v>
      </c>
      <c r="G35" s="7" t="s">
        <v>10</v>
      </c>
      <c r="H35" s="7" t="s">
        <v>10</v>
      </c>
      <c r="I35" s="7" t="s">
        <v>721</v>
      </c>
      <c r="J35" s="7" t="s">
        <v>721</v>
      </c>
      <c r="K35" s="5" t="s">
        <v>10</v>
      </c>
      <c r="L35" s="5" t="s">
        <v>10</v>
      </c>
      <c r="M35" s="5" t="s">
        <v>10</v>
      </c>
      <c r="N35" s="5" t="s">
        <v>45</v>
      </c>
      <c r="O35" s="80" t="s">
        <v>56</v>
      </c>
      <c r="P35" s="101">
        <v>45994</v>
      </c>
      <c r="Q35" s="100">
        <f t="shared" si="0"/>
        <v>46359</v>
      </c>
      <c r="R35" s="5" t="s">
        <v>1821</v>
      </c>
      <c r="S35" s="5" t="s">
        <v>4237</v>
      </c>
      <c r="T35" s="7">
        <v>0.39400000000000002</v>
      </c>
      <c r="U35" s="7" t="s">
        <v>10</v>
      </c>
      <c r="V35" s="7">
        <f t="shared" si="1"/>
        <v>0.39400000000000002</v>
      </c>
      <c r="W35" s="5" t="s">
        <v>10</v>
      </c>
      <c r="X35" s="5" t="s">
        <v>330</v>
      </c>
      <c r="Y35" s="48" t="str">
        <f t="shared" si="2"/>
        <v>A DEFINIR</v>
      </c>
      <c r="Z35" s="7" t="s">
        <v>56</v>
      </c>
      <c r="AA35" s="5">
        <v>11599639</v>
      </c>
      <c r="AB35" s="5" t="s">
        <v>3802</v>
      </c>
      <c r="AC35" s="5" t="s">
        <v>48</v>
      </c>
      <c r="AD35" s="5" t="s">
        <v>5530</v>
      </c>
      <c r="AE35" s="5" t="str">
        <f t="shared" ca="1" si="3"/>
        <v>NO PRAZO</v>
      </c>
      <c r="AF35" s="53"/>
    </row>
    <row r="36" spans="1:32" ht="30" customHeight="1" x14ac:dyDescent="0.25">
      <c r="A36" s="5" t="s">
        <v>722</v>
      </c>
      <c r="B36" s="5" t="s">
        <v>10</v>
      </c>
      <c r="C36" s="9" t="s">
        <v>5864</v>
      </c>
      <c r="D36" s="7" t="s">
        <v>723</v>
      </c>
      <c r="E36" s="7" t="s">
        <v>256</v>
      </c>
      <c r="F36" s="7" t="s">
        <v>257</v>
      </c>
      <c r="G36" s="7" t="s">
        <v>723</v>
      </c>
      <c r="H36" s="7" t="s">
        <v>723</v>
      </c>
      <c r="I36" s="7" t="s">
        <v>724</v>
      </c>
      <c r="J36" s="7" t="s">
        <v>724</v>
      </c>
      <c r="K36" s="5" t="s">
        <v>10</v>
      </c>
      <c r="L36" s="5" t="s">
        <v>10</v>
      </c>
      <c r="M36" s="5" t="s">
        <v>10</v>
      </c>
      <c r="N36" s="5" t="s">
        <v>45</v>
      </c>
      <c r="O36" s="80" t="s">
        <v>56</v>
      </c>
      <c r="P36" s="101">
        <v>45996</v>
      </c>
      <c r="Q36" s="100">
        <f t="shared" si="0"/>
        <v>46361</v>
      </c>
      <c r="R36" s="5" t="s">
        <v>1812</v>
      </c>
      <c r="S36" s="5" t="s">
        <v>4251</v>
      </c>
      <c r="T36" s="7">
        <v>7.4999999999999997E-2</v>
      </c>
      <c r="U36" s="7" t="s">
        <v>10</v>
      </c>
      <c r="V36" s="7">
        <f t="shared" si="1"/>
        <v>7.4999999999999997E-2</v>
      </c>
      <c r="W36" s="5" t="s">
        <v>10</v>
      </c>
      <c r="X36" s="5" t="s">
        <v>330</v>
      </c>
      <c r="Y36" s="48" t="str">
        <f t="shared" si="2"/>
        <v>A DEFINIR</v>
      </c>
      <c r="Z36" s="7" t="s">
        <v>56</v>
      </c>
      <c r="AA36" s="5">
        <v>11599640</v>
      </c>
      <c r="AB36" s="5" t="s">
        <v>3803</v>
      </c>
      <c r="AC36" s="5" t="s">
        <v>48</v>
      </c>
      <c r="AD36" s="5" t="s">
        <v>5530</v>
      </c>
      <c r="AE36" s="5" t="str">
        <f t="shared" ca="1" si="3"/>
        <v>NO PRAZO</v>
      </c>
      <c r="AF36" s="51"/>
    </row>
    <row r="37" spans="1:32" ht="30" customHeight="1" x14ac:dyDescent="0.25">
      <c r="A37" s="9" t="s">
        <v>733</v>
      </c>
      <c r="B37" s="5" t="s">
        <v>10</v>
      </c>
      <c r="C37" s="5" t="s">
        <v>5863</v>
      </c>
      <c r="D37" s="61" t="s">
        <v>734</v>
      </c>
      <c r="E37" s="7" t="s">
        <v>640</v>
      </c>
      <c r="F37" s="7" t="s">
        <v>643</v>
      </c>
      <c r="G37" s="61" t="s">
        <v>734</v>
      </c>
      <c r="H37" s="61" t="s">
        <v>10</v>
      </c>
      <c r="I37" s="61" t="s">
        <v>735</v>
      </c>
      <c r="J37" s="62" t="s">
        <v>736</v>
      </c>
      <c r="K37" s="5" t="s">
        <v>10</v>
      </c>
      <c r="L37" s="5" t="s">
        <v>10</v>
      </c>
      <c r="M37" s="5" t="s">
        <v>10</v>
      </c>
      <c r="N37" s="5" t="s">
        <v>45</v>
      </c>
      <c r="O37" s="80" t="s">
        <v>56</v>
      </c>
      <c r="P37" s="99">
        <v>46029</v>
      </c>
      <c r="Q37" s="100">
        <f t="shared" si="0"/>
        <v>46394</v>
      </c>
      <c r="R37" s="82" t="s">
        <v>1880</v>
      </c>
      <c r="S37" s="82" t="s">
        <v>4428</v>
      </c>
      <c r="T37" s="82">
        <v>0.18</v>
      </c>
      <c r="U37" s="7" t="s">
        <v>10</v>
      </c>
      <c r="V37" s="7">
        <f t="shared" si="1"/>
        <v>0.18</v>
      </c>
      <c r="W37" s="7">
        <v>0.5</v>
      </c>
      <c r="X37" s="7" t="s">
        <v>2151</v>
      </c>
      <c r="Y37" s="48" t="str">
        <f t="shared" si="2"/>
        <v>APROVADO</v>
      </c>
      <c r="Z37" s="7" t="s">
        <v>56</v>
      </c>
      <c r="AA37" s="5">
        <v>11601985</v>
      </c>
      <c r="AB37" s="5" t="s">
        <v>4116</v>
      </c>
      <c r="AC37" s="5" t="s">
        <v>48</v>
      </c>
      <c r="AD37" s="5" t="s">
        <v>5530</v>
      </c>
      <c r="AE37" s="5" t="str">
        <f t="shared" ca="1" si="3"/>
        <v>NO PRAZO</v>
      </c>
      <c r="AF37" s="53"/>
    </row>
    <row r="38" spans="1:32" ht="30" customHeight="1" x14ac:dyDescent="0.25">
      <c r="A38" s="5" t="s">
        <v>740</v>
      </c>
      <c r="B38" s="5" t="s">
        <v>10</v>
      </c>
      <c r="C38" s="9" t="s">
        <v>5864</v>
      </c>
      <c r="D38" s="7" t="s">
        <v>670</v>
      </c>
      <c r="E38" s="7" t="s">
        <v>256</v>
      </c>
      <c r="F38" s="7" t="s">
        <v>312</v>
      </c>
      <c r="G38" s="7" t="s">
        <v>641</v>
      </c>
      <c r="H38" s="7" t="s">
        <v>641</v>
      </c>
      <c r="I38" s="62" t="s">
        <v>742</v>
      </c>
      <c r="J38" s="62" t="s">
        <v>743</v>
      </c>
      <c r="K38" s="5" t="s">
        <v>10</v>
      </c>
      <c r="L38" s="5" t="s">
        <v>45</v>
      </c>
      <c r="M38" s="5" t="s">
        <v>10</v>
      </c>
      <c r="N38" s="5" t="s">
        <v>10</v>
      </c>
      <c r="O38" s="80" t="s">
        <v>56</v>
      </c>
      <c r="P38" s="101">
        <v>45832</v>
      </c>
      <c r="Q38" s="100">
        <f t="shared" si="0"/>
        <v>46197</v>
      </c>
      <c r="R38" s="82" t="s">
        <v>744</v>
      </c>
      <c r="S38" s="82" t="s">
        <v>2689</v>
      </c>
      <c r="T38" s="7">
        <v>4.0000000000000002E-4</v>
      </c>
      <c r="U38" s="7" t="s">
        <v>10</v>
      </c>
      <c r="V38" s="7">
        <f t="shared" si="1"/>
        <v>4.0000000000000002E-4</v>
      </c>
      <c r="W38" s="7" t="s">
        <v>673</v>
      </c>
      <c r="X38" s="5" t="s">
        <v>679</v>
      </c>
      <c r="Y38" s="48" t="str">
        <f t="shared" si="2"/>
        <v>APROVADO</v>
      </c>
      <c r="Z38" s="7" t="s">
        <v>56</v>
      </c>
      <c r="AA38" s="5">
        <v>11604350</v>
      </c>
      <c r="AB38" s="5" t="s">
        <v>2927</v>
      </c>
      <c r="AC38" s="5" t="s">
        <v>48</v>
      </c>
      <c r="AD38" s="5" t="s">
        <v>5530</v>
      </c>
      <c r="AE38" s="5" t="s">
        <v>5906</v>
      </c>
      <c r="AF38" s="49"/>
    </row>
    <row r="39" spans="1:32" ht="30" customHeight="1" x14ac:dyDescent="0.25">
      <c r="A39" s="5" t="s">
        <v>745</v>
      </c>
      <c r="B39" s="5" t="s">
        <v>10</v>
      </c>
      <c r="C39" s="5" t="s">
        <v>5863</v>
      </c>
      <c r="D39" s="7" t="s">
        <v>670</v>
      </c>
      <c r="E39" s="7" t="s">
        <v>40</v>
      </c>
      <c r="F39" s="7" t="s">
        <v>90</v>
      </c>
      <c r="G39" s="7" t="s">
        <v>646</v>
      </c>
      <c r="H39" s="7" t="s">
        <v>10</v>
      </c>
      <c r="I39" s="7" t="s">
        <v>3739</v>
      </c>
      <c r="J39" s="62" t="s">
        <v>3740</v>
      </c>
      <c r="K39" s="5" t="s">
        <v>10</v>
      </c>
      <c r="L39" s="5" t="s">
        <v>45</v>
      </c>
      <c r="M39" s="5" t="s">
        <v>10</v>
      </c>
      <c r="N39" s="5" t="s">
        <v>10</v>
      </c>
      <c r="O39" s="80" t="s">
        <v>56</v>
      </c>
      <c r="P39" s="101">
        <v>46236</v>
      </c>
      <c r="Q39" s="100">
        <f t="shared" si="0"/>
        <v>46601</v>
      </c>
      <c r="R39" s="82" t="s">
        <v>3032</v>
      </c>
      <c r="S39" s="82" t="s">
        <v>5968</v>
      </c>
      <c r="T39" s="7"/>
      <c r="U39" s="7" t="s">
        <v>10</v>
      </c>
      <c r="V39" s="7">
        <f t="shared" si="1"/>
        <v>0</v>
      </c>
      <c r="W39" s="7" t="s">
        <v>673</v>
      </c>
      <c r="X39" s="5" t="s">
        <v>674</v>
      </c>
      <c r="Y39" s="48" t="str">
        <f t="shared" si="2"/>
        <v>AGUARDANDO CERTIFICADO</v>
      </c>
      <c r="Z39" s="7" t="s">
        <v>56</v>
      </c>
      <c r="AA39" s="5">
        <v>11606666</v>
      </c>
      <c r="AB39" s="5" t="s">
        <v>4117</v>
      </c>
      <c r="AC39" s="5" t="s">
        <v>48</v>
      </c>
      <c r="AD39" s="5" t="s">
        <v>5632</v>
      </c>
      <c r="AE39" s="5" t="str">
        <f t="shared" ca="1" si="3"/>
        <v>NO PRAZO</v>
      </c>
      <c r="AF39" s="52" t="s">
        <v>5967</v>
      </c>
    </row>
    <row r="40" spans="1:32" ht="30" customHeight="1" x14ac:dyDescent="0.25">
      <c r="A40" s="15" t="s">
        <v>748</v>
      </c>
      <c r="B40" s="5" t="s">
        <v>10</v>
      </c>
      <c r="C40" s="9" t="s">
        <v>5864</v>
      </c>
      <c r="D40" s="7" t="s">
        <v>749</v>
      </c>
      <c r="E40" s="7" t="s">
        <v>256</v>
      </c>
      <c r="F40" s="7" t="s">
        <v>257</v>
      </c>
      <c r="G40" s="7" t="s">
        <v>749</v>
      </c>
      <c r="H40" s="7" t="s">
        <v>750</v>
      </c>
      <c r="I40" s="7" t="s">
        <v>751</v>
      </c>
      <c r="J40" s="7" t="s">
        <v>752</v>
      </c>
      <c r="K40" s="5" t="s">
        <v>10</v>
      </c>
      <c r="L40" s="5" t="s">
        <v>10</v>
      </c>
      <c r="M40" s="5" t="s">
        <v>10</v>
      </c>
      <c r="N40" s="5" t="s">
        <v>45</v>
      </c>
      <c r="O40" s="80" t="s">
        <v>56</v>
      </c>
      <c r="P40" s="101">
        <v>46034</v>
      </c>
      <c r="Q40" s="100">
        <f t="shared" si="0"/>
        <v>46399</v>
      </c>
      <c r="R40" s="5" t="s">
        <v>1885</v>
      </c>
      <c r="S40" s="5" t="s">
        <v>5026</v>
      </c>
      <c r="T40" s="7">
        <v>0.43</v>
      </c>
      <c r="U40" s="7" t="s">
        <v>10</v>
      </c>
      <c r="V40" s="7">
        <f t="shared" si="1"/>
        <v>0.43</v>
      </c>
      <c r="W40" s="5" t="s">
        <v>10</v>
      </c>
      <c r="X40" s="48" t="s">
        <v>753</v>
      </c>
      <c r="Y40" s="48" t="str">
        <f t="shared" si="2"/>
        <v>A DEFINIR</v>
      </c>
      <c r="Z40" s="7" t="s">
        <v>56</v>
      </c>
      <c r="AA40" s="5">
        <v>11599642</v>
      </c>
      <c r="AB40" s="5" t="s">
        <v>3811</v>
      </c>
      <c r="AC40" s="5" t="s">
        <v>48</v>
      </c>
      <c r="AD40" s="5" t="s">
        <v>5530</v>
      </c>
      <c r="AE40" s="5" t="str">
        <f t="shared" ca="1" si="3"/>
        <v>NO PRAZO</v>
      </c>
      <c r="AF40" s="7"/>
    </row>
    <row r="41" spans="1:32" ht="30" customHeight="1" x14ac:dyDescent="0.25">
      <c r="A41" s="15" t="s">
        <v>754</v>
      </c>
      <c r="B41" s="5" t="s">
        <v>10</v>
      </c>
      <c r="C41" s="5" t="s">
        <v>5864</v>
      </c>
      <c r="D41" s="7" t="s">
        <v>749</v>
      </c>
      <c r="E41" s="7" t="s">
        <v>40</v>
      </c>
      <c r="F41" s="7" t="s">
        <v>644</v>
      </c>
      <c r="G41" s="7" t="s">
        <v>749</v>
      </c>
      <c r="H41" s="7" t="s">
        <v>750</v>
      </c>
      <c r="I41" s="7" t="s">
        <v>755</v>
      </c>
      <c r="J41" s="7" t="s">
        <v>756</v>
      </c>
      <c r="K41" s="5" t="s">
        <v>10</v>
      </c>
      <c r="L41" s="5" t="s">
        <v>10</v>
      </c>
      <c r="M41" s="5" t="s">
        <v>10</v>
      </c>
      <c r="N41" s="5" t="s">
        <v>45</v>
      </c>
      <c r="O41" s="80" t="s">
        <v>56</v>
      </c>
      <c r="P41" s="101">
        <v>46034</v>
      </c>
      <c r="Q41" s="100">
        <f t="shared" si="0"/>
        <v>46399</v>
      </c>
      <c r="R41" s="5" t="s">
        <v>1886</v>
      </c>
      <c r="S41" s="5" t="s">
        <v>5031</v>
      </c>
      <c r="T41" s="7">
        <v>0.21</v>
      </c>
      <c r="U41" s="7" t="s">
        <v>10</v>
      </c>
      <c r="V41" s="7">
        <f t="shared" si="1"/>
        <v>0.21</v>
      </c>
      <c r="W41" s="5" t="s">
        <v>10</v>
      </c>
      <c r="X41" s="48" t="s">
        <v>753</v>
      </c>
      <c r="Y41" s="48" t="str">
        <f t="shared" si="2"/>
        <v>A DEFINIR</v>
      </c>
      <c r="Z41" s="7" t="s">
        <v>56</v>
      </c>
      <c r="AA41" s="5">
        <v>11597110</v>
      </c>
      <c r="AB41" s="5" t="s">
        <v>3812</v>
      </c>
      <c r="AC41" s="5" t="s">
        <v>48</v>
      </c>
      <c r="AD41" s="5" t="s">
        <v>5530</v>
      </c>
      <c r="AE41" s="5" t="str">
        <f t="shared" ca="1" si="3"/>
        <v>NO PRAZO</v>
      </c>
      <c r="AF41" s="7"/>
    </row>
    <row r="42" spans="1:32" ht="30" customHeight="1" x14ac:dyDescent="0.25">
      <c r="A42" s="5" t="s">
        <v>2685</v>
      </c>
      <c r="B42" s="5" t="s">
        <v>10</v>
      </c>
      <c r="C42" s="9" t="s">
        <v>5864</v>
      </c>
      <c r="D42" s="7" t="s">
        <v>757</v>
      </c>
      <c r="E42" s="7" t="s">
        <v>256</v>
      </c>
      <c r="F42" s="7" t="s">
        <v>312</v>
      </c>
      <c r="G42" s="62" t="s">
        <v>757</v>
      </c>
      <c r="H42" s="62" t="s">
        <v>757</v>
      </c>
      <c r="I42" s="62" t="s">
        <v>2686</v>
      </c>
      <c r="J42" s="62" t="s">
        <v>2686</v>
      </c>
      <c r="K42" s="5" t="s">
        <v>10</v>
      </c>
      <c r="L42" s="5" t="s">
        <v>10</v>
      </c>
      <c r="M42" s="5" t="s">
        <v>10</v>
      </c>
      <c r="N42" s="5" t="s">
        <v>1006</v>
      </c>
      <c r="O42" s="46" t="s">
        <v>46</v>
      </c>
      <c r="P42" s="101">
        <v>46205</v>
      </c>
      <c r="Q42" s="100">
        <f t="shared" si="0"/>
        <v>46570</v>
      </c>
      <c r="R42" s="63" t="s">
        <v>2687</v>
      </c>
      <c r="S42" s="63" t="s">
        <v>5730</v>
      </c>
      <c r="T42" s="7">
        <v>3.4</v>
      </c>
      <c r="U42" s="7"/>
      <c r="V42" s="7">
        <f t="shared" si="1"/>
        <v>3.4</v>
      </c>
      <c r="W42" s="5" t="s">
        <v>10</v>
      </c>
      <c r="X42" s="5" t="s">
        <v>443</v>
      </c>
      <c r="Y42" s="48" t="str">
        <f t="shared" si="2"/>
        <v>A DEFINIR</v>
      </c>
      <c r="Z42" s="7" t="s">
        <v>56</v>
      </c>
      <c r="AA42" s="5">
        <v>11599644</v>
      </c>
      <c r="AB42" s="5" t="s">
        <v>3813</v>
      </c>
      <c r="AC42" s="5" t="s">
        <v>48</v>
      </c>
      <c r="AD42" s="5" t="s">
        <v>5632</v>
      </c>
      <c r="AE42" s="5" t="str">
        <f t="shared" ca="1" si="3"/>
        <v>NO PRAZO</v>
      </c>
      <c r="AF42" s="51"/>
    </row>
    <row r="43" spans="1:32" ht="30" customHeight="1" x14ac:dyDescent="0.25">
      <c r="A43" s="5" t="s">
        <v>758</v>
      </c>
      <c r="B43" s="5" t="s">
        <v>10</v>
      </c>
      <c r="C43" s="9" t="s">
        <v>5864</v>
      </c>
      <c r="D43" s="7" t="s">
        <v>757</v>
      </c>
      <c r="E43" s="7" t="s">
        <v>256</v>
      </c>
      <c r="F43" s="7" t="s">
        <v>257</v>
      </c>
      <c r="G43" s="62" t="s">
        <v>757</v>
      </c>
      <c r="H43" s="62" t="s">
        <v>757</v>
      </c>
      <c r="I43" s="62" t="s">
        <v>5841</v>
      </c>
      <c r="J43" s="62" t="s">
        <v>5842</v>
      </c>
      <c r="K43" s="5" t="s">
        <v>10</v>
      </c>
      <c r="L43" s="5" t="s">
        <v>45</v>
      </c>
      <c r="M43" s="5" t="s">
        <v>10</v>
      </c>
      <c r="N43" s="5" t="s">
        <v>10</v>
      </c>
      <c r="O43" s="46" t="s">
        <v>46</v>
      </c>
      <c r="P43" s="101">
        <v>46205</v>
      </c>
      <c r="Q43" s="100">
        <f t="shared" si="0"/>
        <v>46570</v>
      </c>
      <c r="R43" s="63" t="s">
        <v>2961</v>
      </c>
      <c r="S43" s="63" t="s">
        <v>5731</v>
      </c>
      <c r="T43" s="7">
        <v>5.7</v>
      </c>
      <c r="U43" s="7" t="s">
        <v>10</v>
      </c>
      <c r="V43" s="7">
        <f t="shared" si="1"/>
        <v>5.7</v>
      </c>
      <c r="W43" s="5" t="s">
        <v>10</v>
      </c>
      <c r="X43" s="5" t="s">
        <v>443</v>
      </c>
      <c r="Y43" s="48" t="str">
        <f t="shared" si="2"/>
        <v>A DEFINIR</v>
      </c>
      <c r="Z43" s="7" t="s">
        <v>56</v>
      </c>
      <c r="AA43" s="5">
        <v>11599831</v>
      </c>
      <c r="AB43" s="5" t="s">
        <v>2934</v>
      </c>
      <c r="AC43" s="5" t="s">
        <v>48</v>
      </c>
      <c r="AD43" s="5" t="s">
        <v>5632</v>
      </c>
      <c r="AE43" s="5" t="str">
        <f t="shared" ca="1" si="3"/>
        <v>NO PRAZO</v>
      </c>
      <c r="AF43" s="51"/>
    </row>
    <row r="44" spans="1:32" ht="30" customHeight="1" x14ac:dyDescent="0.25">
      <c r="A44" s="5" t="s">
        <v>4313</v>
      </c>
      <c r="B44" s="5" t="s">
        <v>10</v>
      </c>
      <c r="C44" s="9" t="s">
        <v>5864</v>
      </c>
      <c r="D44" s="7" t="s">
        <v>757</v>
      </c>
      <c r="E44" s="7" t="s">
        <v>256</v>
      </c>
      <c r="F44" s="7" t="s">
        <v>317</v>
      </c>
      <c r="G44" s="7" t="s">
        <v>757</v>
      </c>
      <c r="H44" s="7" t="s">
        <v>757</v>
      </c>
      <c r="I44" s="7" t="s">
        <v>4314</v>
      </c>
      <c r="J44" s="7" t="s">
        <v>4314</v>
      </c>
      <c r="K44" s="5" t="s">
        <v>10</v>
      </c>
      <c r="L44" s="5" t="s">
        <v>45</v>
      </c>
      <c r="M44" s="5" t="s">
        <v>10</v>
      </c>
      <c r="N44" s="5" t="s">
        <v>10</v>
      </c>
      <c r="O44" s="46" t="s">
        <v>46</v>
      </c>
      <c r="P44" s="101">
        <v>46002</v>
      </c>
      <c r="Q44" s="100">
        <f t="shared" si="0"/>
        <v>46367</v>
      </c>
      <c r="R44" s="5" t="s">
        <v>4316</v>
      </c>
      <c r="S44" s="5" t="s">
        <v>4315</v>
      </c>
      <c r="T44" s="5">
        <v>20.5</v>
      </c>
      <c r="U44" s="7"/>
      <c r="V44" s="7">
        <f t="shared" si="1"/>
        <v>20.5</v>
      </c>
      <c r="W44" s="5" t="s">
        <v>10</v>
      </c>
      <c r="X44" s="5" t="s">
        <v>443</v>
      </c>
      <c r="Y44" s="48" t="str">
        <f t="shared" si="2"/>
        <v>A DEFINIR</v>
      </c>
      <c r="Z44" s="7" t="s">
        <v>56</v>
      </c>
      <c r="AA44" s="5">
        <v>11607338</v>
      </c>
      <c r="AB44" s="5" t="s">
        <v>4547</v>
      </c>
      <c r="AC44" s="5" t="s">
        <v>48</v>
      </c>
      <c r="AD44" s="5" t="s">
        <v>5530</v>
      </c>
      <c r="AE44" s="5" t="str">
        <f t="shared" ca="1" si="3"/>
        <v>NO PRAZO</v>
      </c>
      <c r="AF44" s="51"/>
    </row>
    <row r="45" spans="1:32" ht="30" customHeight="1" x14ac:dyDescent="0.25">
      <c r="A45" s="5" t="s">
        <v>2082</v>
      </c>
      <c r="B45" s="5" t="s">
        <v>10</v>
      </c>
      <c r="C45" s="9" t="s">
        <v>5864</v>
      </c>
      <c r="D45" s="7" t="s">
        <v>757</v>
      </c>
      <c r="E45" s="7" t="s">
        <v>256</v>
      </c>
      <c r="F45" s="7" t="s">
        <v>447</v>
      </c>
      <c r="G45" s="7" t="s">
        <v>757</v>
      </c>
      <c r="H45" s="7" t="s">
        <v>757</v>
      </c>
      <c r="I45" s="7" t="s">
        <v>2083</v>
      </c>
      <c r="J45" s="7" t="s">
        <v>2083</v>
      </c>
      <c r="K45" s="5" t="s">
        <v>10</v>
      </c>
      <c r="L45" s="5" t="s">
        <v>45</v>
      </c>
      <c r="M45" s="5" t="s">
        <v>10</v>
      </c>
      <c r="N45" s="5" t="s">
        <v>10</v>
      </c>
      <c r="O45" s="46" t="s">
        <v>46</v>
      </c>
      <c r="P45" s="101">
        <v>46129</v>
      </c>
      <c r="Q45" s="100">
        <f t="shared" si="0"/>
        <v>46494</v>
      </c>
      <c r="R45" s="5" t="s">
        <v>2084</v>
      </c>
      <c r="S45" s="5" t="s">
        <v>5295</v>
      </c>
      <c r="T45" s="5">
        <v>4.4000000000000004</v>
      </c>
      <c r="U45" s="7"/>
      <c r="V45" s="7">
        <f t="shared" si="1"/>
        <v>4.4000000000000004</v>
      </c>
      <c r="W45" s="5" t="s">
        <v>10</v>
      </c>
      <c r="X45" s="5" t="s">
        <v>443</v>
      </c>
      <c r="Y45" s="48" t="str">
        <f t="shared" si="2"/>
        <v>A DEFINIR</v>
      </c>
      <c r="Z45" s="7" t="s">
        <v>56</v>
      </c>
      <c r="AA45" s="5">
        <v>11599797</v>
      </c>
      <c r="AB45" s="5" t="s">
        <v>4118</v>
      </c>
      <c r="AC45" s="5" t="s">
        <v>48</v>
      </c>
      <c r="AD45" s="5" t="s">
        <v>5530</v>
      </c>
      <c r="AE45" s="5" t="str">
        <f t="shared" ca="1" si="3"/>
        <v>NO PRAZO</v>
      </c>
      <c r="AF45" s="51"/>
    </row>
    <row r="46" spans="1:32" ht="30" customHeight="1" x14ac:dyDescent="0.25">
      <c r="A46" s="5" t="s">
        <v>759</v>
      </c>
      <c r="B46" s="5" t="s">
        <v>10</v>
      </c>
      <c r="C46" s="9" t="s">
        <v>5864</v>
      </c>
      <c r="D46" s="7" t="s">
        <v>757</v>
      </c>
      <c r="E46" s="7" t="s">
        <v>256</v>
      </c>
      <c r="F46" s="7" t="s">
        <v>317</v>
      </c>
      <c r="G46" s="7" t="s">
        <v>757</v>
      </c>
      <c r="H46" s="7" t="s">
        <v>757</v>
      </c>
      <c r="I46" s="7" t="s">
        <v>760</v>
      </c>
      <c r="J46" s="7" t="s">
        <v>760</v>
      </c>
      <c r="K46" s="5" t="s">
        <v>10</v>
      </c>
      <c r="L46" s="5" t="s">
        <v>45</v>
      </c>
      <c r="M46" s="5" t="s">
        <v>10</v>
      </c>
      <c r="N46" s="5" t="s">
        <v>10</v>
      </c>
      <c r="O46" s="46" t="s">
        <v>46</v>
      </c>
      <c r="P46" s="101">
        <v>46099</v>
      </c>
      <c r="Q46" s="100">
        <f t="shared" si="0"/>
        <v>46464</v>
      </c>
      <c r="R46" s="5" t="s">
        <v>1897</v>
      </c>
      <c r="S46" s="5" t="s">
        <v>5053</v>
      </c>
      <c r="T46" s="5">
        <v>6.6</v>
      </c>
      <c r="U46" s="7"/>
      <c r="V46" s="7">
        <f t="shared" si="1"/>
        <v>6.6</v>
      </c>
      <c r="W46" s="5" t="s">
        <v>10</v>
      </c>
      <c r="X46" s="5" t="s">
        <v>443</v>
      </c>
      <c r="Y46" s="48" t="str">
        <f t="shared" si="2"/>
        <v>A DEFINIR</v>
      </c>
      <c r="Z46" s="7" t="s">
        <v>56</v>
      </c>
      <c r="AA46" s="5">
        <v>11602471</v>
      </c>
      <c r="AB46" s="5" t="s">
        <v>3814</v>
      </c>
      <c r="AC46" s="5" t="s">
        <v>48</v>
      </c>
      <c r="AD46" s="5" t="s">
        <v>5530</v>
      </c>
      <c r="AE46" s="5" t="str">
        <f t="shared" ca="1" si="3"/>
        <v>NO PRAZO</v>
      </c>
      <c r="AF46" s="49"/>
    </row>
    <row r="47" spans="1:32" ht="30" customHeight="1" x14ac:dyDescent="0.25">
      <c r="A47" s="5" t="s">
        <v>761</v>
      </c>
      <c r="B47" s="5" t="s">
        <v>10</v>
      </c>
      <c r="C47" s="9" t="s">
        <v>5864</v>
      </c>
      <c r="D47" s="7" t="s">
        <v>670</v>
      </c>
      <c r="E47" s="7" t="s">
        <v>256</v>
      </c>
      <c r="F47" s="7" t="s">
        <v>317</v>
      </c>
      <c r="G47" s="7" t="s">
        <v>675</v>
      </c>
      <c r="H47" s="7" t="s">
        <v>675</v>
      </c>
      <c r="I47" s="7" t="s">
        <v>762</v>
      </c>
      <c r="J47" s="62" t="s">
        <v>763</v>
      </c>
      <c r="K47" s="5" t="s">
        <v>10</v>
      </c>
      <c r="L47" s="5" t="s">
        <v>45</v>
      </c>
      <c r="M47" s="5" t="s">
        <v>10</v>
      </c>
      <c r="N47" s="5" t="s">
        <v>10</v>
      </c>
      <c r="O47" s="80" t="s">
        <v>56</v>
      </c>
      <c r="P47" s="101">
        <v>46002</v>
      </c>
      <c r="Q47" s="100">
        <f t="shared" si="0"/>
        <v>46367</v>
      </c>
      <c r="R47" s="82" t="s">
        <v>1843</v>
      </c>
      <c r="S47" s="82" t="s">
        <v>4323</v>
      </c>
      <c r="T47" s="7">
        <v>1.1000000000000001E-3</v>
      </c>
      <c r="U47" s="7" t="s">
        <v>10</v>
      </c>
      <c r="V47" s="7">
        <f t="shared" si="1"/>
        <v>1.1000000000000001E-3</v>
      </c>
      <c r="W47" s="7" t="s">
        <v>673</v>
      </c>
      <c r="X47" s="5" t="s">
        <v>679</v>
      </c>
      <c r="Y47" s="48" t="str">
        <f t="shared" si="2"/>
        <v>APROVADO</v>
      </c>
      <c r="Z47" s="7" t="s">
        <v>56</v>
      </c>
      <c r="AA47" s="5">
        <v>11606667</v>
      </c>
      <c r="AB47" s="5" t="s">
        <v>4119</v>
      </c>
      <c r="AC47" s="5" t="s">
        <v>48</v>
      </c>
      <c r="AD47" s="5" t="s">
        <v>5530</v>
      </c>
      <c r="AE47" s="5" t="str">
        <f t="shared" ca="1" si="3"/>
        <v>NO PRAZO</v>
      </c>
      <c r="AF47" s="51"/>
    </row>
    <row r="48" spans="1:32" ht="30" customHeight="1" x14ac:dyDescent="0.25">
      <c r="A48" s="5" t="s">
        <v>1906</v>
      </c>
      <c r="B48" s="5" t="s">
        <v>10</v>
      </c>
      <c r="C48" s="9" t="s">
        <v>5864</v>
      </c>
      <c r="D48" s="7" t="s">
        <v>1907</v>
      </c>
      <c r="E48" s="7" t="s">
        <v>256</v>
      </c>
      <c r="F48" s="7" t="s">
        <v>257</v>
      </c>
      <c r="G48" s="7" t="s">
        <v>1907</v>
      </c>
      <c r="H48" s="7" t="s">
        <v>1907</v>
      </c>
      <c r="I48" s="7" t="s">
        <v>1908</v>
      </c>
      <c r="J48" s="7" t="s">
        <v>1909</v>
      </c>
      <c r="K48" s="5" t="s">
        <v>10</v>
      </c>
      <c r="L48" s="5" t="s">
        <v>10</v>
      </c>
      <c r="M48" s="5" t="s">
        <v>10</v>
      </c>
      <c r="N48" s="5" t="s">
        <v>45</v>
      </c>
      <c r="O48" s="80" t="s">
        <v>56</v>
      </c>
      <c r="P48" s="101">
        <v>46052</v>
      </c>
      <c r="Q48" s="100">
        <f t="shared" si="0"/>
        <v>46417</v>
      </c>
      <c r="R48" s="5" t="s">
        <v>1910</v>
      </c>
      <c r="S48" s="5" t="s">
        <v>4666</v>
      </c>
      <c r="T48" s="7">
        <v>0.41</v>
      </c>
      <c r="U48" s="7" t="s">
        <v>10</v>
      </c>
      <c r="V48" s="7">
        <f t="shared" si="1"/>
        <v>0.41</v>
      </c>
      <c r="W48" s="5" t="s">
        <v>10</v>
      </c>
      <c r="X48" s="5" t="s">
        <v>764</v>
      </c>
      <c r="Y48" s="48" t="str">
        <f t="shared" si="2"/>
        <v>A DEFINIR</v>
      </c>
      <c r="Z48" s="7" t="s">
        <v>56</v>
      </c>
      <c r="AA48" s="5">
        <v>11599645</v>
      </c>
      <c r="AB48" s="5" t="s">
        <v>3963</v>
      </c>
      <c r="AC48" s="5" t="s">
        <v>48</v>
      </c>
      <c r="AD48" s="5" t="s">
        <v>5530</v>
      </c>
      <c r="AE48" s="5" t="str">
        <f t="shared" ca="1" si="3"/>
        <v>NO PRAZO</v>
      </c>
      <c r="AF48" s="49"/>
    </row>
    <row r="49" spans="1:32" ht="30" customHeight="1" x14ac:dyDescent="0.25">
      <c r="A49" s="5" t="s">
        <v>4970</v>
      </c>
      <c r="B49" s="5" t="s">
        <v>765</v>
      </c>
      <c r="C49" s="5" t="s">
        <v>5863</v>
      </c>
      <c r="D49" s="7" t="s">
        <v>670</v>
      </c>
      <c r="E49" s="7" t="s">
        <v>446</v>
      </c>
      <c r="F49" s="7" t="s">
        <v>446</v>
      </c>
      <c r="G49" s="7" t="s">
        <v>446</v>
      </c>
      <c r="H49" s="7" t="s">
        <v>446</v>
      </c>
      <c r="I49" s="7" t="s">
        <v>766</v>
      </c>
      <c r="J49" s="7" t="s">
        <v>767</v>
      </c>
      <c r="K49" s="5" t="s">
        <v>10</v>
      </c>
      <c r="L49" s="5" t="s">
        <v>10</v>
      </c>
      <c r="M49" s="5" t="s">
        <v>10</v>
      </c>
      <c r="N49" s="5" t="s">
        <v>45</v>
      </c>
      <c r="O49" s="80" t="s">
        <v>56</v>
      </c>
      <c r="P49" s="101">
        <v>46029</v>
      </c>
      <c r="Q49" s="100">
        <f t="shared" si="0"/>
        <v>46394</v>
      </c>
      <c r="R49" s="5" t="s">
        <v>1844</v>
      </c>
      <c r="S49" s="5" t="s">
        <v>4432</v>
      </c>
      <c r="T49" s="7">
        <v>2E-3</v>
      </c>
      <c r="U49" s="7" t="s">
        <v>10</v>
      </c>
      <c r="V49" s="7">
        <f t="shared" si="1"/>
        <v>2E-3</v>
      </c>
      <c r="W49" s="7" t="s">
        <v>673</v>
      </c>
      <c r="X49" s="5" t="s">
        <v>674</v>
      </c>
      <c r="Y49" s="48" t="str">
        <f t="shared" si="2"/>
        <v>APROVADO</v>
      </c>
      <c r="Z49" s="7" t="s">
        <v>56</v>
      </c>
      <c r="AA49" s="5">
        <v>11602429</v>
      </c>
      <c r="AB49" s="5" t="s">
        <v>3815</v>
      </c>
      <c r="AC49" s="5" t="s">
        <v>48</v>
      </c>
      <c r="AD49" s="5" t="s">
        <v>5530</v>
      </c>
      <c r="AE49" s="5" t="str">
        <f t="shared" ref="AE49:AE66" ca="1" si="16">IFERROR(IF(OR(AND(YEAR(Q49)=YEAR(TODAY()),MONTH(Q49)&gt;MONTH(TODAY())),(YEAR(Q49)&gt;YEAR(TODAY()))),$AK$4,IF(AND(YEAR(Q49)=YEAR(TODAY()),MONTH(Q49)=MONTH(TODAY())),$AK$5,IF(Q49="",$AK$6,$AK$7))),"-")</f>
        <v>NO PRAZO</v>
      </c>
      <c r="AF49" s="53"/>
    </row>
    <row r="50" spans="1:32" ht="30" customHeight="1" x14ac:dyDescent="0.25">
      <c r="A50" s="5" t="s">
        <v>4610</v>
      </c>
      <c r="B50" s="5" t="s">
        <v>10</v>
      </c>
      <c r="C50" s="5" t="s">
        <v>5863</v>
      </c>
      <c r="D50" s="7" t="s">
        <v>670</v>
      </c>
      <c r="E50" s="7" t="s">
        <v>256</v>
      </c>
      <c r="F50" s="7" t="s">
        <v>652</v>
      </c>
      <c r="G50" s="34" t="s">
        <v>697</v>
      </c>
      <c r="H50" s="7" t="s">
        <v>697</v>
      </c>
      <c r="I50" s="7" t="s">
        <v>695</v>
      </c>
      <c r="J50" s="7" t="s">
        <v>768</v>
      </c>
      <c r="K50" s="5" t="s">
        <v>10</v>
      </c>
      <c r="L50" s="5" t="s">
        <v>10</v>
      </c>
      <c r="M50" s="5" t="s">
        <v>10</v>
      </c>
      <c r="N50" s="5" t="s">
        <v>45</v>
      </c>
      <c r="O50" s="80" t="s">
        <v>56</v>
      </c>
      <c r="P50" s="101">
        <v>46057</v>
      </c>
      <c r="Q50" s="100">
        <f t="shared" si="0"/>
        <v>46422</v>
      </c>
      <c r="R50" s="5" t="s">
        <v>4611</v>
      </c>
      <c r="S50" s="5" t="s">
        <v>4673</v>
      </c>
      <c r="T50" s="7">
        <v>0.01</v>
      </c>
      <c r="U50" s="7" t="s">
        <v>10</v>
      </c>
      <c r="V50" s="7">
        <f t="shared" si="1"/>
        <v>0.01</v>
      </c>
      <c r="W50" s="7" t="s">
        <v>673</v>
      </c>
      <c r="X50" s="5" t="s">
        <v>674</v>
      </c>
      <c r="Y50" s="48" t="str">
        <f t="shared" si="2"/>
        <v>APROVADO</v>
      </c>
      <c r="Z50" s="7" t="s">
        <v>46</v>
      </c>
      <c r="AA50" s="5">
        <v>11606668</v>
      </c>
      <c r="AB50" s="5" t="s">
        <v>4612</v>
      </c>
      <c r="AC50" s="5" t="s">
        <v>48</v>
      </c>
      <c r="AD50" s="5" t="s">
        <v>5530</v>
      </c>
      <c r="AE50" s="5" t="str">
        <f t="shared" ca="1" si="16"/>
        <v>NO PRAZO</v>
      </c>
      <c r="AF50" s="53"/>
    </row>
    <row r="51" spans="1:32" ht="30" customHeight="1" x14ac:dyDescent="0.25">
      <c r="A51" s="5" t="s">
        <v>4613</v>
      </c>
      <c r="B51" s="5" t="s">
        <v>10</v>
      </c>
      <c r="C51" s="5" t="s">
        <v>5863</v>
      </c>
      <c r="D51" s="7" t="s">
        <v>670</v>
      </c>
      <c r="E51" s="7" t="s">
        <v>256</v>
      </c>
      <c r="F51" s="7" t="s">
        <v>652</v>
      </c>
      <c r="G51" s="34" t="s">
        <v>697</v>
      </c>
      <c r="H51" s="7" t="s">
        <v>641</v>
      </c>
      <c r="I51" s="7" t="s">
        <v>695</v>
      </c>
      <c r="J51" s="7" t="s">
        <v>768</v>
      </c>
      <c r="K51" s="5" t="s">
        <v>10</v>
      </c>
      <c r="L51" s="5" t="s">
        <v>10</v>
      </c>
      <c r="M51" s="5" t="s">
        <v>10</v>
      </c>
      <c r="N51" s="5" t="s">
        <v>45</v>
      </c>
      <c r="O51" s="80" t="s">
        <v>56</v>
      </c>
      <c r="P51" s="101">
        <v>46057</v>
      </c>
      <c r="Q51" s="100">
        <f t="shared" si="0"/>
        <v>46422</v>
      </c>
      <c r="R51" s="5" t="s">
        <v>4614</v>
      </c>
      <c r="S51" s="5" t="s">
        <v>4674</v>
      </c>
      <c r="T51" s="7">
        <v>8.9999999999999993E-3</v>
      </c>
      <c r="U51" s="7" t="s">
        <v>10</v>
      </c>
      <c r="V51" s="7">
        <f t="shared" si="1"/>
        <v>8.9999999999999993E-3</v>
      </c>
      <c r="W51" s="7" t="s">
        <v>673</v>
      </c>
      <c r="X51" s="5" t="s">
        <v>674</v>
      </c>
      <c r="Y51" s="48" t="str">
        <f t="shared" si="2"/>
        <v>APROVADO</v>
      </c>
      <c r="Z51" s="7" t="s">
        <v>46</v>
      </c>
      <c r="AA51" s="5">
        <v>11606670</v>
      </c>
      <c r="AB51" s="5" t="s">
        <v>4615</v>
      </c>
      <c r="AC51" s="5" t="s">
        <v>48</v>
      </c>
      <c r="AD51" s="5" t="s">
        <v>5530</v>
      </c>
      <c r="AE51" s="5" t="str">
        <f t="shared" ca="1" si="16"/>
        <v>NO PRAZO</v>
      </c>
      <c r="AF51" s="53"/>
    </row>
    <row r="52" spans="1:32" ht="30" customHeight="1" x14ac:dyDescent="0.25">
      <c r="A52" s="5" t="s">
        <v>769</v>
      </c>
      <c r="B52" s="5" t="s">
        <v>10</v>
      </c>
      <c r="C52" s="5" t="s">
        <v>5864</v>
      </c>
      <c r="D52" s="7" t="s">
        <v>670</v>
      </c>
      <c r="E52" s="7" t="s">
        <v>256</v>
      </c>
      <c r="F52" s="7" t="s">
        <v>257</v>
      </c>
      <c r="G52" s="7" t="s">
        <v>641</v>
      </c>
      <c r="H52" s="7" t="s">
        <v>641</v>
      </c>
      <c r="I52" s="7" t="s">
        <v>770</v>
      </c>
      <c r="J52" s="7" t="s">
        <v>771</v>
      </c>
      <c r="K52" s="5" t="s">
        <v>10</v>
      </c>
      <c r="L52" s="5" t="s">
        <v>10</v>
      </c>
      <c r="M52" s="5" t="s">
        <v>10</v>
      </c>
      <c r="N52" s="5" t="s">
        <v>45</v>
      </c>
      <c r="O52" s="80" t="s">
        <v>56</v>
      </c>
      <c r="P52" s="100">
        <v>46028</v>
      </c>
      <c r="Q52" s="100">
        <f t="shared" si="0"/>
        <v>46393</v>
      </c>
      <c r="R52" s="63" t="s">
        <v>1845</v>
      </c>
      <c r="S52" s="63" t="s">
        <v>4420</v>
      </c>
      <c r="T52" s="63">
        <v>0.2</v>
      </c>
      <c r="U52" s="63" t="s">
        <v>10</v>
      </c>
      <c r="V52" s="7">
        <f t="shared" si="1"/>
        <v>0.2</v>
      </c>
      <c r="W52" s="7" t="s">
        <v>673</v>
      </c>
      <c r="X52" s="5" t="s">
        <v>679</v>
      </c>
      <c r="Y52" s="48" t="str">
        <f t="shared" si="2"/>
        <v>APROVADO</v>
      </c>
      <c r="Z52" s="7" t="s">
        <v>56</v>
      </c>
      <c r="AA52" s="5">
        <v>11606671</v>
      </c>
      <c r="AB52" s="5" t="s">
        <v>4120</v>
      </c>
      <c r="AC52" s="5" t="s">
        <v>48</v>
      </c>
      <c r="AD52" s="5" t="s">
        <v>5530</v>
      </c>
      <c r="AE52" s="5" t="str">
        <f t="shared" ca="1" si="16"/>
        <v>NO PRAZO</v>
      </c>
      <c r="AF52" s="49"/>
    </row>
    <row r="53" spans="1:32" ht="30" customHeight="1" x14ac:dyDescent="0.25">
      <c r="A53" s="5" t="s">
        <v>772</v>
      </c>
      <c r="B53" s="5" t="s">
        <v>10</v>
      </c>
      <c r="C53" s="5" t="s">
        <v>5864</v>
      </c>
      <c r="D53" s="7" t="s">
        <v>670</v>
      </c>
      <c r="E53" s="7" t="s">
        <v>256</v>
      </c>
      <c r="F53" s="7" t="s">
        <v>652</v>
      </c>
      <c r="G53" s="34" t="s">
        <v>697</v>
      </c>
      <c r="H53" s="7" t="s">
        <v>641</v>
      </c>
      <c r="I53" s="7" t="s">
        <v>695</v>
      </c>
      <c r="J53" s="7" t="s">
        <v>768</v>
      </c>
      <c r="K53" s="5" t="s">
        <v>10</v>
      </c>
      <c r="L53" s="5" t="s">
        <v>10</v>
      </c>
      <c r="M53" s="5" t="s">
        <v>10</v>
      </c>
      <c r="N53" s="5" t="s">
        <v>45</v>
      </c>
      <c r="O53" s="80" t="s">
        <v>56</v>
      </c>
      <c r="P53" s="101">
        <v>45944</v>
      </c>
      <c r="Q53" s="100">
        <f t="shared" si="0"/>
        <v>46309</v>
      </c>
      <c r="R53" s="5" t="s">
        <v>1727</v>
      </c>
      <c r="S53" s="5" t="s">
        <v>3546</v>
      </c>
      <c r="T53" s="7">
        <v>1.2E-2</v>
      </c>
      <c r="U53" s="7" t="s">
        <v>10</v>
      </c>
      <c r="V53" s="7">
        <f t="shared" si="1"/>
        <v>1.2E-2</v>
      </c>
      <c r="W53" s="7" t="s">
        <v>673</v>
      </c>
      <c r="X53" s="5" t="s">
        <v>674</v>
      </c>
      <c r="Y53" s="48" t="str">
        <f t="shared" si="2"/>
        <v>APROVADO</v>
      </c>
      <c r="Z53" s="7" t="s">
        <v>56</v>
      </c>
      <c r="AA53" s="5">
        <v>11541856</v>
      </c>
      <c r="AB53" s="5" t="s">
        <v>3816</v>
      </c>
      <c r="AC53" s="5" t="s">
        <v>48</v>
      </c>
      <c r="AD53" s="5" t="s">
        <v>5530</v>
      </c>
      <c r="AE53" s="5" t="str">
        <f t="shared" ca="1" si="16"/>
        <v>NO PRAZO</v>
      </c>
      <c r="AF53" s="51"/>
    </row>
    <row r="54" spans="1:32" ht="30" customHeight="1" x14ac:dyDescent="0.25">
      <c r="A54" s="5" t="s">
        <v>773</v>
      </c>
      <c r="B54" s="5" t="s">
        <v>10</v>
      </c>
      <c r="C54" s="5" t="s">
        <v>5864</v>
      </c>
      <c r="D54" s="7" t="s">
        <v>670</v>
      </c>
      <c r="E54" s="7" t="s">
        <v>256</v>
      </c>
      <c r="F54" s="7" t="s">
        <v>444</v>
      </c>
      <c r="G54" s="7" t="s">
        <v>641</v>
      </c>
      <c r="H54" s="7" t="s">
        <v>641</v>
      </c>
      <c r="I54" s="7" t="s">
        <v>677</v>
      </c>
      <c r="J54" s="7" t="s">
        <v>774</v>
      </c>
      <c r="K54" s="5" t="s">
        <v>10</v>
      </c>
      <c r="L54" s="5" t="s">
        <v>10</v>
      </c>
      <c r="M54" s="5" t="s">
        <v>10</v>
      </c>
      <c r="N54" s="5" t="s">
        <v>45</v>
      </c>
      <c r="O54" s="80" t="s">
        <v>56</v>
      </c>
      <c r="P54" s="101">
        <v>46071</v>
      </c>
      <c r="Q54" s="100">
        <f t="shared" si="0"/>
        <v>46436</v>
      </c>
      <c r="R54" s="5" t="s">
        <v>1901</v>
      </c>
      <c r="S54" s="5" t="s">
        <v>4866</v>
      </c>
      <c r="T54" s="59">
        <v>0.01</v>
      </c>
      <c r="U54" s="59" t="s">
        <v>10</v>
      </c>
      <c r="V54" s="7">
        <f t="shared" si="1"/>
        <v>0.01</v>
      </c>
      <c r="W54" s="7" t="s">
        <v>673</v>
      </c>
      <c r="X54" s="5" t="s">
        <v>679</v>
      </c>
      <c r="Y54" s="48" t="str">
        <f t="shared" si="2"/>
        <v>APROVADO</v>
      </c>
      <c r="Z54" s="7" t="s">
        <v>56</v>
      </c>
      <c r="AA54" s="5">
        <v>11541851</v>
      </c>
      <c r="AB54" s="5" t="s">
        <v>3817</v>
      </c>
      <c r="AC54" s="5" t="s">
        <v>48</v>
      </c>
      <c r="AD54" s="5" t="s">
        <v>5530</v>
      </c>
      <c r="AE54" s="5" t="str">
        <f t="shared" ca="1" si="16"/>
        <v>NO PRAZO</v>
      </c>
      <c r="AF54" s="53"/>
    </row>
    <row r="55" spans="1:32" ht="30" customHeight="1" x14ac:dyDescent="0.25">
      <c r="A55" s="5" t="s">
        <v>775</v>
      </c>
      <c r="B55" s="5" t="s">
        <v>10</v>
      </c>
      <c r="C55" s="5" t="s">
        <v>5864</v>
      </c>
      <c r="D55" s="7" t="s">
        <v>670</v>
      </c>
      <c r="E55" s="7" t="s">
        <v>256</v>
      </c>
      <c r="F55" s="7" t="s">
        <v>444</v>
      </c>
      <c r="G55" s="7" t="s">
        <v>641</v>
      </c>
      <c r="H55" s="7" t="s">
        <v>641</v>
      </c>
      <c r="I55" s="7" t="s">
        <v>776</v>
      </c>
      <c r="J55" s="7" t="s">
        <v>777</v>
      </c>
      <c r="K55" s="5" t="s">
        <v>10</v>
      </c>
      <c r="L55" s="5" t="s">
        <v>10</v>
      </c>
      <c r="M55" s="5" t="s">
        <v>10</v>
      </c>
      <c r="N55" s="5" t="s">
        <v>45</v>
      </c>
      <c r="O55" s="80" t="s">
        <v>56</v>
      </c>
      <c r="P55" s="101">
        <v>46029</v>
      </c>
      <c r="Q55" s="100">
        <f t="shared" si="0"/>
        <v>46394</v>
      </c>
      <c r="R55" s="7" t="s">
        <v>1846</v>
      </c>
      <c r="S55" s="7" t="s">
        <v>4433</v>
      </c>
      <c r="T55" s="7">
        <v>1.1000000000000001E-3</v>
      </c>
      <c r="U55" s="7" t="s">
        <v>10</v>
      </c>
      <c r="V55" s="7">
        <f t="shared" si="1"/>
        <v>1.1000000000000001E-3</v>
      </c>
      <c r="W55" s="7" t="s">
        <v>673</v>
      </c>
      <c r="X55" s="5" t="s">
        <v>679</v>
      </c>
      <c r="Y55" s="48" t="str">
        <f t="shared" si="2"/>
        <v>APROVADO</v>
      </c>
      <c r="Z55" s="7" t="s">
        <v>56</v>
      </c>
      <c r="AA55" s="5">
        <v>11541852</v>
      </c>
      <c r="AB55" s="5" t="s">
        <v>3818</v>
      </c>
      <c r="AC55" s="5" t="s">
        <v>48</v>
      </c>
      <c r="AD55" s="5" t="s">
        <v>5530</v>
      </c>
      <c r="AE55" s="5" t="str">
        <f t="shared" ca="1" si="16"/>
        <v>NO PRAZO</v>
      </c>
      <c r="AF55" s="53"/>
    </row>
    <row r="56" spans="1:32" ht="30" customHeight="1" x14ac:dyDescent="0.25">
      <c r="A56" s="5" t="s">
        <v>778</v>
      </c>
      <c r="B56" s="5" t="s">
        <v>10</v>
      </c>
      <c r="C56" s="5" t="s">
        <v>5864</v>
      </c>
      <c r="D56" s="7" t="s">
        <v>670</v>
      </c>
      <c r="E56" s="7" t="s">
        <v>256</v>
      </c>
      <c r="F56" s="7" t="s">
        <v>444</v>
      </c>
      <c r="G56" s="7" t="s">
        <v>641</v>
      </c>
      <c r="H56" s="7" t="s">
        <v>641</v>
      </c>
      <c r="I56" s="7" t="s">
        <v>779</v>
      </c>
      <c r="J56" s="7" t="s">
        <v>678</v>
      </c>
      <c r="K56" s="5" t="s">
        <v>10</v>
      </c>
      <c r="L56" s="5" t="s">
        <v>10</v>
      </c>
      <c r="M56" s="5" t="s">
        <v>10</v>
      </c>
      <c r="N56" s="5" t="s">
        <v>45</v>
      </c>
      <c r="O56" s="80" t="s">
        <v>56</v>
      </c>
      <c r="P56" s="101">
        <v>46002</v>
      </c>
      <c r="Q56" s="100">
        <f t="shared" si="0"/>
        <v>46367</v>
      </c>
      <c r="R56" s="5" t="s">
        <v>1847</v>
      </c>
      <c r="S56" s="5" t="s">
        <v>4324</v>
      </c>
      <c r="T56" s="7">
        <v>0.01</v>
      </c>
      <c r="U56" s="7" t="s">
        <v>10</v>
      </c>
      <c r="V56" s="7">
        <f t="shared" si="1"/>
        <v>0.01</v>
      </c>
      <c r="W56" s="7" t="s">
        <v>673</v>
      </c>
      <c r="X56" s="5" t="s">
        <v>679</v>
      </c>
      <c r="Y56" s="48" t="str">
        <f t="shared" si="2"/>
        <v>APROVADO</v>
      </c>
      <c r="Z56" s="7" t="s">
        <v>56</v>
      </c>
      <c r="AA56" s="5">
        <v>11606672</v>
      </c>
      <c r="AB56" s="5" t="s">
        <v>4121</v>
      </c>
      <c r="AC56" s="5" t="s">
        <v>48</v>
      </c>
      <c r="AD56" s="5" t="s">
        <v>5530</v>
      </c>
      <c r="AE56" s="5" t="str">
        <f t="shared" ca="1" si="16"/>
        <v>NO PRAZO</v>
      </c>
      <c r="AF56" s="51"/>
    </row>
    <row r="57" spans="1:32" ht="30" customHeight="1" x14ac:dyDescent="0.25">
      <c r="A57" s="5" t="s">
        <v>780</v>
      </c>
      <c r="B57" s="5" t="s">
        <v>10</v>
      </c>
      <c r="C57" s="5" t="s">
        <v>5864</v>
      </c>
      <c r="D57" s="7" t="s">
        <v>741</v>
      </c>
      <c r="E57" s="7" t="s">
        <v>256</v>
      </c>
      <c r="F57" s="7" t="s">
        <v>257</v>
      </c>
      <c r="G57" s="7" t="s">
        <v>641</v>
      </c>
      <c r="H57" s="7" t="s">
        <v>641</v>
      </c>
      <c r="I57" s="7" t="s">
        <v>781</v>
      </c>
      <c r="J57" s="7" t="s">
        <v>777</v>
      </c>
      <c r="K57" s="5" t="s">
        <v>10</v>
      </c>
      <c r="L57" s="5" t="s">
        <v>10</v>
      </c>
      <c r="M57" s="5" t="s">
        <v>10</v>
      </c>
      <c r="N57" s="5" t="s">
        <v>45</v>
      </c>
      <c r="O57" s="80" t="s">
        <v>56</v>
      </c>
      <c r="P57" s="101">
        <v>46002</v>
      </c>
      <c r="Q57" s="100">
        <f t="shared" si="0"/>
        <v>46367</v>
      </c>
      <c r="R57" s="7" t="s">
        <v>1848</v>
      </c>
      <c r="S57" s="7" t="s">
        <v>4325</v>
      </c>
      <c r="T57" s="7">
        <v>5.0000000000000001E-4</v>
      </c>
      <c r="U57" s="7" t="s">
        <v>10</v>
      </c>
      <c r="V57" s="7">
        <f t="shared" si="1"/>
        <v>5.0000000000000001E-4</v>
      </c>
      <c r="W57" s="7" t="s">
        <v>673</v>
      </c>
      <c r="X57" s="5" t="s">
        <v>679</v>
      </c>
      <c r="Y57" s="48" t="str">
        <f t="shared" si="2"/>
        <v>APROVADO</v>
      </c>
      <c r="Z57" s="7" t="s">
        <v>56</v>
      </c>
      <c r="AA57" s="5">
        <v>11606673</v>
      </c>
      <c r="AB57" s="5" t="s">
        <v>4122</v>
      </c>
      <c r="AC57" s="5" t="s">
        <v>48</v>
      </c>
      <c r="AD57" s="5" t="s">
        <v>5530</v>
      </c>
      <c r="AE57" s="5" t="str">
        <f t="shared" ca="1" si="16"/>
        <v>NO PRAZO</v>
      </c>
      <c r="AF57" s="51"/>
    </row>
    <row r="58" spans="1:32" ht="30" customHeight="1" x14ac:dyDescent="0.25">
      <c r="A58" s="5" t="s">
        <v>782</v>
      </c>
      <c r="B58" s="5" t="s">
        <v>10</v>
      </c>
      <c r="C58" s="5" t="s">
        <v>5864</v>
      </c>
      <c r="D58" s="7" t="s">
        <v>670</v>
      </c>
      <c r="E58" s="7" t="s">
        <v>256</v>
      </c>
      <c r="F58" s="7" t="s">
        <v>257</v>
      </c>
      <c r="G58" s="7" t="s">
        <v>641</v>
      </c>
      <c r="H58" s="7" t="s">
        <v>641</v>
      </c>
      <c r="I58" s="7" t="s">
        <v>783</v>
      </c>
      <c r="J58" s="7" t="s">
        <v>4992</v>
      </c>
      <c r="K58" s="5" t="s">
        <v>10</v>
      </c>
      <c r="L58" s="5" t="s">
        <v>10</v>
      </c>
      <c r="M58" s="5" t="s">
        <v>10</v>
      </c>
      <c r="N58" s="5" t="s">
        <v>45</v>
      </c>
      <c r="O58" s="80" t="s">
        <v>56</v>
      </c>
      <c r="P58" s="101">
        <v>46073</v>
      </c>
      <c r="Q58" s="100">
        <f t="shared" si="0"/>
        <v>46438</v>
      </c>
      <c r="R58" s="5" t="s">
        <v>1991</v>
      </c>
      <c r="S58" s="5" t="s">
        <v>4917</v>
      </c>
      <c r="T58" s="7">
        <v>0.01</v>
      </c>
      <c r="U58" s="7" t="s">
        <v>10</v>
      </c>
      <c r="V58" s="7">
        <f t="shared" si="1"/>
        <v>0.01</v>
      </c>
      <c r="W58" s="7" t="s">
        <v>673</v>
      </c>
      <c r="X58" s="5" t="s">
        <v>679</v>
      </c>
      <c r="Y58" s="48" t="str">
        <f t="shared" si="2"/>
        <v>APROVADO</v>
      </c>
      <c r="Z58" s="7" t="s">
        <v>56</v>
      </c>
      <c r="AA58" s="5">
        <v>11541854</v>
      </c>
      <c r="AB58" s="5" t="s">
        <v>3819</v>
      </c>
      <c r="AC58" s="5" t="s">
        <v>48</v>
      </c>
      <c r="AD58" s="5" t="s">
        <v>5530</v>
      </c>
      <c r="AE58" s="5" t="str">
        <f t="shared" ca="1" si="16"/>
        <v>NO PRAZO</v>
      </c>
      <c r="AF58" s="51"/>
    </row>
    <row r="59" spans="1:32" ht="30" customHeight="1" x14ac:dyDescent="0.25">
      <c r="A59" s="5" t="s">
        <v>784</v>
      </c>
      <c r="B59" s="5" t="s">
        <v>10</v>
      </c>
      <c r="C59" s="5" t="s">
        <v>5863</v>
      </c>
      <c r="D59" s="7" t="s">
        <v>670</v>
      </c>
      <c r="E59" s="7" t="s">
        <v>40</v>
      </c>
      <c r="F59" s="7" t="s">
        <v>156</v>
      </c>
      <c r="G59" s="7" t="s">
        <v>4655</v>
      </c>
      <c r="H59" s="7" t="s">
        <v>641</v>
      </c>
      <c r="I59" s="7" t="s">
        <v>783</v>
      </c>
      <c r="J59" s="7" t="s">
        <v>785</v>
      </c>
      <c r="K59" s="5" t="s">
        <v>10</v>
      </c>
      <c r="L59" s="5" t="s">
        <v>10</v>
      </c>
      <c r="M59" s="5" t="s">
        <v>10</v>
      </c>
      <c r="N59" s="5" t="s">
        <v>45</v>
      </c>
      <c r="O59" s="80" t="s">
        <v>56</v>
      </c>
      <c r="P59" s="101">
        <v>46041</v>
      </c>
      <c r="Q59" s="100">
        <f t="shared" si="0"/>
        <v>46406</v>
      </c>
      <c r="R59" s="5" t="s">
        <v>1849</v>
      </c>
      <c r="S59" s="5" t="s">
        <v>4598</v>
      </c>
      <c r="T59" s="7">
        <v>7.0000000000000007E-2</v>
      </c>
      <c r="U59" s="7" t="s">
        <v>10</v>
      </c>
      <c r="V59" s="7">
        <f t="shared" si="1"/>
        <v>7.0000000000000007E-2</v>
      </c>
      <c r="W59" s="7" t="s">
        <v>673</v>
      </c>
      <c r="X59" s="5" t="s">
        <v>679</v>
      </c>
      <c r="Y59" s="48" t="str">
        <f t="shared" si="2"/>
        <v>APROVADO</v>
      </c>
      <c r="Z59" s="7" t="s">
        <v>56</v>
      </c>
      <c r="AA59" s="5">
        <v>11541855</v>
      </c>
      <c r="AB59" s="5" t="s">
        <v>3820</v>
      </c>
      <c r="AC59" s="5" t="s">
        <v>48</v>
      </c>
      <c r="AD59" s="5" t="s">
        <v>5530</v>
      </c>
      <c r="AE59" s="5" t="str">
        <f t="shared" ca="1" si="16"/>
        <v>NO PRAZO</v>
      </c>
      <c r="AF59" s="53"/>
    </row>
    <row r="60" spans="1:32" ht="30" customHeight="1" x14ac:dyDescent="0.25">
      <c r="A60" s="5" t="s">
        <v>786</v>
      </c>
      <c r="B60" s="5" t="s">
        <v>10</v>
      </c>
      <c r="C60" s="5" t="s">
        <v>5864</v>
      </c>
      <c r="D60" s="7" t="s">
        <v>670</v>
      </c>
      <c r="E60" s="7" t="s">
        <v>256</v>
      </c>
      <c r="F60" s="7" t="s">
        <v>317</v>
      </c>
      <c r="G60" s="7" t="s">
        <v>641</v>
      </c>
      <c r="H60" s="7" t="s">
        <v>641</v>
      </c>
      <c r="I60" s="7" t="s">
        <v>783</v>
      </c>
      <c r="J60" s="7" t="s">
        <v>678</v>
      </c>
      <c r="K60" s="5" t="s">
        <v>10</v>
      </c>
      <c r="L60" s="5" t="s">
        <v>10</v>
      </c>
      <c r="M60" s="5" t="s">
        <v>10</v>
      </c>
      <c r="N60" s="5" t="s">
        <v>45</v>
      </c>
      <c r="O60" s="80" t="s">
        <v>56</v>
      </c>
      <c r="P60" s="101">
        <v>46002</v>
      </c>
      <c r="Q60" s="100">
        <f t="shared" si="0"/>
        <v>46367</v>
      </c>
      <c r="R60" s="5" t="s">
        <v>1850</v>
      </c>
      <c r="S60" s="5" t="s">
        <v>4326</v>
      </c>
      <c r="T60" s="7">
        <v>0.01</v>
      </c>
      <c r="U60" s="7" t="s">
        <v>10</v>
      </c>
      <c r="V60" s="7">
        <f t="shared" si="1"/>
        <v>0.01</v>
      </c>
      <c r="W60" s="7" t="s">
        <v>673</v>
      </c>
      <c r="X60" s="5" t="s">
        <v>679</v>
      </c>
      <c r="Y60" s="48" t="str">
        <f t="shared" si="2"/>
        <v>APROVADO</v>
      </c>
      <c r="Z60" s="7" t="s">
        <v>56</v>
      </c>
      <c r="AA60" s="5">
        <v>11606674</v>
      </c>
      <c r="AB60" s="5" t="s">
        <v>4123</v>
      </c>
      <c r="AC60" s="5" t="s">
        <v>48</v>
      </c>
      <c r="AD60" s="5" t="s">
        <v>5530</v>
      </c>
      <c r="AE60" s="5" t="str">
        <f t="shared" ca="1" si="16"/>
        <v>NO PRAZO</v>
      </c>
      <c r="AF60" s="51"/>
    </row>
    <row r="61" spans="1:32" ht="30" customHeight="1" x14ac:dyDescent="0.25">
      <c r="A61" s="5" t="s">
        <v>787</v>
      </c>
      <c r="B61" s="5" t="s">
        <v>10</v>
      </c>
      <c r="C61" s="5" t="s">
        <v>5864</v>
      </c>
      <c r="D61" s="7" t="s">
        <v>670</v>
      </c>
      <c r="E61" s="7" t="s">
        <v>256</v>
      </c>
      <c r="F61" s="7" t="s">
        <v>257</v>
      </c>
      <c r="G61" s="7" t="s">
        <v>697</v>
      </c>
      <c r="H61" s="7" t="s">
        <v>670</v>
      </c>
      <c r="I61" s="7" t="s">
        <v>779</v>
      </c>
      <c r="J61" s="7" t="s">
        <v>678</v>
      </c>
      <c r="K61" s="5" t="s">
        <v>10</v>
      </c>
      <c r="L61" s="5" t="s">
        <v>10</v>
      </c>
      <c r="M61" s="5" t="s">
        <v>10</v>
      </c>
      <c r="N61" s="5" t="s">
        <v>45</v>
      </c>
      <c r="O61" s="80" t="s">
        <v>56</v>
      </c>
      <c r="P61" s="99">
        <v>46127</v>
      </c>
      <c r="Q61" s="100">
        <f t="shared" si="0"/>
        <v>46492</v>
      </c>
      <c r="R61" s="5" t="s">
        <v>2115</v>
      </c>
      <c r="S61" s="5" t="s">
        <v>5264</v>
      </c>
      <c r="T61" s="7">
        <v>0.02</v>
      </c>
      <c r="U61" s="7" t="s">
        <v>10</v>
      </c>
      <c r="V61" s="7">
        <f t="shared" si="1"/>
        <v>0.02</v>
      </c>
      <c r="W61" s="7" t="s">
        <v>673</v>
      </c>
      <c r="X61" s="5" t="s">
        <v>679</v>
      </c>
      <c r="Y61" s="48" t="str">
        <f t="shared" si="2"/>
        <v>APROVADO</v>
      </c>
      <c r="Z61" s="7" t="s">
        <v>56</v>
      </c>
      <c r="AA61" s="5">
        <v>11603538</v>
      </c>
      <c r="AB61" s="5" t="s">
        <v>2786</v>
      </c>
      <c r="AC61" s="5" t="s">
        <v>48</v>
      </c>
      <c r="AD61" s="5" t="s">
        <v>5530</v>
      </c>
      <c r="AE61" s="5" t="str">
        <f t="shared" ca="1" si="16"/>
        <v>NO PRAZO</v>
      </c>
      <c r="AF61" s="51"/>
    </row>
    <row r="62" spans="1:32" ht="30" customHeight="1" x14ac:dyDescent="0.25">
      <c r="A62" s="5" t="s">
        <v>4616</v>
      </c>
      <c r="B62" s="5" t="s">
        <v>10</v>
      </c>
      <c r="C62" s="5" t="s">
        <v>5863</v>
      </c>
      <c r="D62" s="7" t="s">
        <v>670</v>
      </c>
      <c r="E62" s="7" t="s">
        <v>40</v>
      </c>
      <c r="F62" s="7" t="s">
        <v>182</v>
      </c>
      <c r="G62" s="7" t="s">
        <v>689</v>
      </c>
      <c r="H62" s="7" t="s">
        <v>676</v>
      </c>
      <c r="I62" s="7" t="s">
        <v>690</v>
      </c>
      <c r="J62" s="7" t="s">
        <v>4617</v>
      </c>
      <c r="K62" s="5" t="s">
        <v>10</v>
      </c>
      <c r="L62" s="5" t="s">
        <v>10</v>
      </c>
      <c r="M62" s="5" t="s">
        <v>10</v>
      </c>
      <c r="N62" s="5" t="s">
        <v>45</v>
      </c>
      <c r="O62" s="80" t="s">
        <v>56</v>
      </c>
      <c r="P62" s="101">
        <v>46052</v>
      </c>
      <c r="Q62" s="100">
        <f t="shared" si="0"/>
        <v>46417</v>
      </c>
      <c r="R62" s="7" t="s">
        <v>4618</v>
      </c>
      <c r="S62" s="7" t="s">
        <v>4653</v>
      </c>
      <c r="T62" s="7">
        <v>0.1</v>
      </c>
      <c r="U62" s="7" t="s">
        <v>10</v>
      </c>
      <c r="V62" s="7">
        <f t="shared" si="1"/>
        <v>0.1</v>
      </c>
      <c r="W62" s="7" t="s">
        <v>673</v>
      </c>
      <c r="X62" s="5" t="s">
        <v>679</v>
      </c>
      <c r="Y62" s="48" t="str">
        <f t="shared" si="2"/>
        <v>APROVADO</v>
      </c>
      <c r="Z62" s="7" t="s">
        <v>56</v>
      </c>
      <c r="AA62" s="5">
        <v>11606675</v>
      </c>
      <c r="AB62" s="5" t="s">
        <v>4619</v>
      </c>
      <c r="AC62" s="5" t="s">
        <v>48</v>
      </c>
      <c r="AD62" s="5" t="s">
        <v>5530</v>
      </c>
      <c r="AE62" s="5" t="str">
        <f t="shared" ca="1" si="16"/>
        <v>NO PRAZO</v>
      </c>
      <c r="AF62" s="51"/>
    </row>
    <row r="63" spans="1:32" ht="30" customHeight="1" x14ac:dyDescent="0.25">
      <c r="A63" s="5" t="s">
        <v>788</v>
      </c>
      <c r="B63" s="5" t="s">
        <v>10</v>
      </c>
      <c r="C63" s="5" t="s">
        <v>5863</v>
      </c>
      <c r="D63" s="7" t="s">
        <v>670</v>
      </c>
      <c r="E63" s="7" t="s">
        <v>639</v>
      </c>
      <c r="F63" s="7" t="s">
        <v>639</v>
      </c>
      <c r="G63" s="7" t="s">
        <v>675</v>
      </c>
      <c r="H63" s="7" t="s">
        <v>675</v>
      </c>
      <c r="I63" s="7" t="s">
        <v>789</v>
      </c>
      <c r="J63" s="7" t="s">
        <v>4657</v>
      </c>
      <c r="K63" s="5" t="s">
        <v>10</v>
      </c>
      <c r="L63" s="5" t="s">
        <v>10</v>
      </c>
      <c r="M63" s="5" t="s">
        <v>10</v>
      </c>
      <c r="N63" s="5" t="s">
        <v>45</v>
      </c>
      <c r="O63" s="80" t="s">
        <v>56</v>
      </c>
      <c r="P63" s="101">
        <v>46049</v>
      </c>
      <c r="Q63" s="100">
        <f t="shared" si="0"/>
        <v>46414</v>
      </c>
      <c r="R63" s="5" t="s">
        <v>1887</v>
      </c>
      <c r="S63" s="5" t="s">
        <v>4656</v>
      </c>
      <c r="T63" s="7">
        <v>0.5</v>
      </c>
      <c r="U63" s="7" t="s">
        <v>10</v>
      </c>
      <c r="V63" s="7">
        <f t="shared" si="1"/>
        <v>0.5</v>
      </c>
      <c r="W63" s="7" t="s">
        <v>673</v>
      </c>
      <c r="X63" s="5" t="s">
        <v>679</v>
      </c>
      <c r="Y63" s="48" t="str">
        <f t="shared" si="2"/>
        <v>APROVADO</v>
      </c>
      <c r="Z63" s="7" t="s">
        <v>46</v>
      </c>
      <c r="AA63" s="5">
        <v>11602435</v>
      </c>
      <c r="AB63" s="5" t="s">
        <v>3821</v>
      </c>
      <c r="AC63" s="5" t="s">
        <v>48</v>
      </c>
      <c r="AD63" s="5" t="s">
        <v>5530</v>
      </c>
      <c r="AE63" s="5" t="str">
        <f t="shared" ca="1" si="16"/>
        <v>NO PRAZO</v>
      </c>
      <c r="AF63" s="53"/>
    </row>
    <row r="64" spans="1:32" ht="30" customHeight="1" x14ac:dyDescent="0.25">
      <c r="A64" s="5" t="s">
        <v>790</v>
      </c>
      <c r="B64" s="5" t="s">
        <v>10</v>
      </c>
      <c r="C64" s="5" t="s">
        <v>5864</v>
      </c>
      <c r="D64" s="7" t="s">
        <v>670</v>
      </c>
      <c r="E64" s="7" t="s">
        <v>256</v>
      </c>
      <c r="F64" s="7" t="s">
        <v>257</v>
      </c>
      <c r="G64" s="7" t="s">
        <v>641</v>
      </c>
      <c r="H64" s="7" t="s">
        <v>670</v>
      </c>
      <c r="I64" s="7" t="s">
        <v>779</v>
      </c>
      <c r="J64" s="7" t="s">
        <v>678</v>
      </c>
      <c r="K64" s="5" t="s">
        <v>10</v>
      </c>
      <c r="L64" s="5" t="s">
        <v>45</v>
      </c>
      <c r="M64" s="5" t="s">
        <v>10</v>
      </c>
      <c r="N64" s="5" t="s">
        <v>10</v>
      </c>
      <c r="O64" s="80" t="s">
        <v>56</v>
      </c>
      <c r="P64" s="101">
        <v>46077</v>
      </c>
      <c r="Q64" s="100">
        <f t="shared" si="0"/>
        <v>46442</v>
      </c>
      <c r="R64" s="5" t="s">
        <v>2008</v>
      </c>
      <c r="S64" s="5" t="s">
        <v>4934</v>
      </c>
      <c r="T64" s="7">
        <v>0.02</v>
      </c>
      <c r="U64" s="7" t="s">
        <v>10</v>
      </c>
      <c r="V64" s="7">
        <f t="shared" si="1"/>
        <v>0.02</v>
      </c>
      <c r="W64" s="7" t="s">
        <v>673</v>
      </c>
      <c r="X64" s="5" t="s">
        <v>679</v>
      </c>
      <c r="Y64" s="48" t="str">
        <f t="shared" si="2"/>
        <v>APROVADO</v>
      </c>
      <c r="Z64" s="7" t="s">
        <v>56</v>
      </c>
      <c r="AA64" s="5">
        <v>11603772</v>
      </c>
      <c r="AB64" s="5" t="s">
        <v>2504</v>
      </c>
      <c r="AC64" s="5" t="s">
        <v>48</v>
      </c>
      <c r="AD64" s="5" t="s">
        <v>5530</v>
      </c>
      <c r="AE64" s="5" t="str">
        <f t="shared" ca="1" si="16"/>
        <v>NO PRAZO</v>
      </c>
      <c r="AF64" s="53"/>
    </row>
    <row r="65" spans="1:32" ht="30" customHeight="1" x14ac:dyDescent="0.25">
      <c r="A65" s="5" t="s">
        <v>792</v>
      </c>
      <c r="B65" s="5" t="s">
        <v>10</v>
      </c>
      <c r="C65" s="5" t="s">
        <v>5863</v>
      </c>
      <c r="D65" s="7" t="s">
        <v>5843</v>
      </c>
      <c r="E65" s="7" t="s">
        <v>256</v>
      </c>
      <c r="F65" s="7" t="s">
        <v>257</v>
      </c>
      <c r="G65" s="7" t="s">
        <v>641</v>
      </c>
      <c r="H65" s="7" t="s">
        <v>670</v>
      </c>
      <c r="I65" s="7" t="s">
        <v>695</v>
      </c>
      <c r="J65" s="7" t="s">
        <v>793</v>
      </c>
      <c r="K65" s="5" t="s">
        <v>10</v>
      </c>
      <c r="L65" s="5" t="s">
        <v>45</v>
      </c>
      <c r="M65" s="5" t="s">
        <v>10</v>
      </c>
      <c r="N65" s="5" t="s">
        <v>10</v>
      </c>
      <c r="O65" s="80" t="s">
        <v>56</v>
      </c>
      <c r="P65" s="101">
        <v>45821</v>
      </c>
      <c r="Q65" s="100">
        <f t="shared" si="0"/>
        <v>46186</v>
      </c>
      <c r="R65" s="5" t="s">
        <v>794</v>
      </c>
      <c r="S65" s="5" t="s">
        <v>2403</v>
      </c>
      <c r="T65" s="7">
        <v>0.03</v>
      </c>
      <c r="U65" s="7" t="s">
        <v>10</v>
      </c>
      <c r="V65" s="7">
        <f t="shared" si="1"/>
        <v>0.03</v>
      </c>
      <c r="W65" s="5" t="s">
        <v>10</v>
      </c>
      <c r="X65" s="5" t="s">
        <v>674</v>
      </c>
      <c r="Y65" s="48" t="str">
        <f t="shared" si="2"/>
        <v>A DEFINIR</v>
      </c>
      <c r="Z65" s="7" t="s">
        <v>56</v>
      </c>
      <c r="AA65" s="5">
        <v>11604345</v>
      </c>
      <c r="AB65" s="5" t="s">
        <v>2921</v>
      </c>
      <c r="AC65" s="5" t="s">
        <v>48</v>
      </c>
      <c r="AD65" s="5" t="s">
        <v>5530</v>
      </c>
      <c r="AE65" s="5" t="s">
        <v>5906</v>
      </c>
      <c r="AF65" s="51"/>
    </row>
    <row r="66" spans="1:32" ht="30" customHeight="1" x14ac:dyDescent="0.25">
      <c r="A66" s="5" t="s">
        <v>795</v>
      </c>
      <c r="B66" s="5" t="s">
        <v>10</v>
      </c>
      <c r="C66" s="5" t="s">
        <v>5863</v>
      </c>
      <c r="D66" s="7" t="s">
        <v>670</v>
      </c>
      <c r="E66" s="7" t="s">
        <v>256</v>
      </c>
      <c r="F66" s="7" t="s">
        <v>257</v>
      </c>
      <c r="G66" s="7" t="s">
        <v>641</v>
      </c>
      <c r="H66" s="7" t="s">
        <v>670</v>
      </c>
      <c r="I66" s="7" t="s">
        <v>695</v>
      </c>
      <c r="J66" s="7" t="s">
        <v>793</v>
      </c>
      <c r="K66" s="5" t="s">
        <v>10</v>
      </c>
      <c r="L66" s="5" t="s">
        <v>45</v>
      </c>
      <c r="M66" s="5" t="s">
        <v>10</v>
      </c>
      <c r="N66" s="5" t="s">
        <v>10</v>
      </c>
      <c r="O66" s="80" t="s">
        <v>56</v>
      </c>
      <c r="P66" s="99">
        <v>46205</v>
      </c>
      <c r="Q66" s="100">
        <f t="shared" si="0"/>
        <v>46570</v>
      </c>
      <c r="R66" s="63" t="s">
        <v>2359</v>
      </c>
      <c r="S66" s="63" t="s">
        <v>5899</v>
      </c>
      <c r="T66" s="7">
        <v>0.03</v>
      </c>
      <c r="U66" s="7" t="s">
        <v>10</v>
      </c>
      <c r="V66" s="7">
        <f t="shared" si="1"/>
        <v>0.03</v>
      </c>
      <c r="W66" s="5" t="s">
        <v>10</v>
      </c>
      <c r="X66" s="5" t="s">
        <v>674</v>
      </c>
      <c r="Y66" s="48" t="str">
        <f t="shared" si="2"/>
        <v>A DEFINIR</v>
      </c>
      <c r="Z66" s="7" t="s">
        <v>56</v>
      </c>
      <c r="AA66" s="5">
        <v>11604346</v>
      </c>
      <c r="AB66" s="5" t="s">
        <v>2922</v>
      </c>
      <c r="AC66" s="5" t="s">
        <v>48</v>
      </c>
      <c r="AD66" s="5" t="s">
        <v>5632</v>
      </c>
      <c r="AE66" s="5" t="str">
        <f t="shared" ca="1" si="16"/>
        <v>NO PRAZO</v>
      </c>
      <c r="AF66" s="49"/>
    </row>
    <row r="67" spans="1:32" ht="30" customHeight="1" x14ac:dyDescent="0.25">
      <c r="A67" s="5" t="s">
        <v>796</v>
      </c>
      <c r="B67" s="5" t="s">
        <v>10</v>
      </c>
      <c r="C67" s="5" t="s">
        <v>5863</v>
      </c>
      <c r="D67" s="7" t="s">
        <v>5843</v>
      </c>
      <c r="E67" s="7" t="s">
        <v>256</v>
      </c>
      <c r="F67" s="7" t="s">
        <v>257</v>
      </c>
      <c r="G67" s="7" t="s">
        <v>641</v>
      </c>
      <c r="H67" s="7" t="s">
        <v>670</v>
      </c>
      <c r="I67" s="7" t="s">
        <v>695</v>
      </c>
      <c r="J67" s="7" t="s">
        <v>793</v>
      </c>
      <c r="K67" s="5" t="s">
        <v>10</v>
      </c>
      <c r="L67" s="5" t="s">
        <v>45</v>
      </c>
      <c r="M67" s="5" t="s">
        <v>10</v>
      </c>
      <c r="N67" s="5" t="s">
        <v>10</v>
      </c>
      <c r="O67" s="80" t="s">
        <v>56</v>
      </c>
      <c r="P67" s="101">
        <v>46203</v>
      </c>
      <c r="Q67" s="100">
        <f t="shared" si="0"/>
        <v>46568</v>
      </c>
      <c r="R67" s="5" t="s">
        <v>2962</v>
      </c>
      <c r="S67" s="5" t="s">
        <v>5716</v>
      </c>
      <c r="T67" s="7">
        <v>0.03</v>
      </c>
      <c r="U67" s="7" t="s">
        <v>10</v>
      </c>
      <c r="V67" s="7">
        <f t="shared" si="1"/>
        <v>0.03</v>
      </c>
      <c r="W67" s="5" t="s">
        <v>10</v>
      </c>
      <c r="X67" s="5" t="s">
        <v>674</v>
      </c>
      <c r="Y67" s="48" t="str">
        <f t="shared" si="2"/>
        <v>A DEFINIR</v>
      </c>
      <c r="Z67" s="7" t="s">
        <v>56</v>
      </c>
      <c r="AA67" s="5">
        <v>11604347</v>
      </c>
      <c r="AB67" s="5" t="s">
        <v>2923</v>
      </c>
      <c r="AC67" s="5" t="s">
        <v>48</v>
      </c>
      <c r="AD67" s="5" t="s">
        <v>5530</v>
      </c>
      <c r="AE67" s="5" t="str">
        <f t="shared" ref="AE67:AE95" ca="1" si="17">IFERROR(IF(OR(AND(YEAR(Q67)=YEAR(TODAY()),MONTH(Q67)&gt;MONTH(TODAY())),(YEAR(Q67)&gt;YEAR(TODAY()))),$AK$4,IF(AND(YEAR(Q67)=YEAR(TODAY()),MONTH(Q67)=MONTH(TODAY())),$AK$5,IF(Q67="",$AK$6,$AK$7))),"-")</f>
        <v>NO PRAZO</v>
      </c>
      <c r="AF67" s="51"/>
    </row>
    <row r="68" spans="1:32" ht="30" customHeight="1" x14ac:dyDescent="0.25">
      <c r="A68" s="5" t="s">
        <v>797</v>
      </c>
      <c r="B68" s="5" t="s">
        <v>10</v>
      </c>
      <c r="C68" s="5" t="s">
        <v>5863</v>
      </c>
      <c r="D68" s="7" t="s">
        <v>670</v>
      </c>
      <c r="E68" s="7" t="s">
        <v>256</v>
      </c>
      <c r="F68" s="7" t="s">
        <v>257</v>
      </c>
      <c r="G68" s="7" t="s">
        <v>641</v>
      </c>
      <c r="H68" s="7" t="s">
        <v>670</v>
      </c>
      <c r="I68" s="7" t="s">
        <v>695</v>
      </c>
      <c r="J68" s="7" t="s">
        <v>793</v>
      </c>
      <c r="K68" s="5" t="s">
        <v>10</v>
      </c>
      <c r="L68" s="5" t="s">
        <v>45</v>
      </c>
      <c r="M68" s="5" t="s">
        <v>10</v>
      </c>
      <c r="N68" s="5" t="s">
        <v>10</v>
      </c>
      <c r="O68" s="80" t="s">
        <v>56</v>
      </c>
      <c r="P68" s="101">
        <v>46203</v>
      </c>
      <c r="Q68" s="100">
        <f t="shared" si="0"/>
        <v>46568</v>
      </c>
      <c r="R68" s="5" t="s">
        <v>2697</v>
      </c>
      <c r="S68" s="5" t="s">
        <v>5717</v>
      </c>
      <c r="T68" s="7">
        <v>0.02</v>
      </c>
      <c r="U68" s="7" t="s">
        <v>10</v>
      </c>
      <c r="V68" s="7">
        <f t="shared" si="1"/>
        <v>0.02</v>
      </c>
      <c r="W68" s="7" t="s">
        <v>10</v>
      </c>
      <c r="X68" s="5" t="s">
        <v>674</v>
      </c>
      <c r="Y68" s="48" t="str">
        <f t="shared" si="2"/>
        <v>A DEFINIR</v>
      </c>
      <c r="Z68" s="7" t="s">
        <v>56</v>
      </c>
      <c r="AA68" s="5">
        <v>11604348</v>
      </c>
      <c r="AB68" s="5" t="s">
        <v>2924</v>
      </c>
      <c r="AC68" s="5" t="s">
        <v>48</v>
      </c>
      <c r="AD68" s="5" t="s">
        <v>5530</v>
      </c>
      <c r="AE68" s="5" t="str">
        <f t="shared" ca="1" si="17"/>
        <v>NO PRAZO</v>
      </c>
      <c r="AF68" s="51"/>
    </row>
    <row r="69" spans="1:32" ht="30" customHeight="1" x14ac:dyDescent="0.25">
      <c r="A69" s="9" t="s">
        <v>798</v>
      </c>
      <c r="B69" s="5" t="s">
        <v>10</v>
      </c>
      <c r="C69" s="5" t="s">
        <v>5863</v>
      </c>
      <c r="D69" s="61" t="s">
        <v>670</v>
      </c>
      <c r="E69" s="7" t="s">
        <v>40</v>
      </c>
      <c r="F69" s="7" t="s">
        <v>644</v>
      </c>
      <c r="G69" s="7" t="s">
        <v>2101</v>
      </c>
      <c r="H69" s="61" t="s">
        <v>694</v>
      </c>
      <c r="I69" s="61" t="s">
        <v>799</v>
      </c>
      <c r="J69" s="62" t="s">
        <v>791</v>
      </c>
      <c r="K69" s="5" t="s">
        <v>10</v>
      </c>
      <c r="L69" s="5" t="s">
        <v>45</v>
      </c>
      <c r="M69" s="5" t="s">
        <v>10</v>
      </c>
      <c r="N69" s="5" t="s">
        <v>10</v>
      </c>
      <c r="O69" s="80" t="s">
        <v>56</v>
      </c>
      <c r="P69" s="99">
        <v>46092</v>
      </c>
      <c r="Q69" s="100">
        <f t="shared" si="0"/>
        <v>46457</v>
      </c>
      <c r="R69" s="63" t="s">
        <v>2074</v>
      </c>
      <c r="S69" s="63" t="s">
        <v>5042</v>
      </c>
      <c r="T69" s="7">
        <v>0.05</v>
      </c>
      <c r="U69" s="7" t="s">
        <v>10</v>
      </c>
      <c r="V69" s="7">
        <f t="shared" si="1"/>
        <v>0.05</v>
      </c>
      <c r="W69" s="7" t="s">
        <v>673</v>
      </c>
      <c r="X69" s="5" t="s">
        <v>674</v>
      </c>
      <c r="Y69" s="48" t="str">
        <f t="shared" si="2"/>
        <v>APROVADO</v>
      </c>
      <c r="Z69" s="7" t="s">
        <v>56</v>
      </c>
      <c r="AA69" s="5">
        <v>11597089</v>
      </c>
      <c r="AB69" s="5" t="s">
        <v>3822</v>
      </c>
      <c r="AC69" s="5" t="s">
        <v>48</v>
      </c>
      <c r="AD69" s="5" t="s">
        <v>5530</v>
      </c>
      <c r="AE69" s="5" t="str">
        <f t="shared" ca="1" si="17"/>
        <v>NO PRAZO</v>
      </c>
      <c r="AF69" s="53"/>
    </row>
    <row r="70" spans="1:32" ht="30" customHeight="1" x14ac:dyDescent="0.25">
      <c r="A70" s="9" t="s">
        <v>800</v>
      </c>
      <c r="B70" s="5" t="s">
        <v>10</v>
      </c>
      <c r="C70" s="5" t="s">
        <v>5863</v>
      </c>
      <c r="D70" s="61" t="s">
        <v>670</v>
      </c>
      <c r="E70" s="7" t="s">
        <v>40</v>
      </c>
      <c r="F70" s="7" t="s">
        <v>644</v>
      </c>
      <c r="G70" s="7" t="s">
        <v>2101</v>
      </c>
      <c r="H70" s="61" t="s">
        <v>694</v>
      </c>
      <c r="I70" s="61" t="s">
        <v>799</v>
      </c>
      <c r="J70" s="62" t="s">
        <v>791</v>
      </c>
      <c r="K70" s="5" t="s">
        <v>10</v>
      </c>
      <c r="L70" s="5" t="s">
        <v>45</v>
      </c>
      <c r="M70" s="5" t="s">
        <v>10</v>
      </c>
      <c r="N70" s="5" t="s">
        <v>10</v>
      </c>
      <c r="O70" s="80" t="s">
        <v>56</v>
      </c>
      <c r="P70" s="99">
        <v>46092</v>
      </c>
      <c r="Q70" s="100">
        <f t="shared" si="0"/>
        <v>46457</v>
      </c>
      <c r="R70" s="63" t="s">
        <v>2075</v>
      </c>
      <c r="S70" s="63" t="s">
        <v>5043</v>
      </c>
      <c r="T70" s="7">
        <v>0.05</v>
      </c>
      <c r="U70" s="7" t="s">
        <v>10</v>
      </c>
      <c r="V70" s="7">
        <f t="shared" si="1"/>
        <v>0.05</v>
      </c>
      <c r="W70" s="7" t="s">
        <v>673</v>
      </c>
      <c r="X70" s="5" t="s">
        <v>674</v>
      </c>
      <c r="Y70" s="48" t="str">
        <f t="shared" si="2"/>
        <v>APROVADO</v>
      </c>
      <c r="Z70" s="7" t="s">
        <v>56</v>
      </c>
      <c r="AA70" s="5">
        <v>11597090</v>
      </c>
      <c r="AB70" s="5" t="s">
        <v>3823</v>
      </c>
      <c r="AC70" s="5" t="s">
        <v>48</v>
      </c>
      <c r="AD70" s="5" t="s">
        <v>5530</v>
      </c>
      <c r="AE70" s="5" t="str">
        <f t="shared" ca="1" si="17"/>
        <v>NO PRAZO</v>
      </c>
      <c r="AF70" s="53"/>
    </row>
    <row r="71" spans="1:32" ht="30" customHeight="1" x14ac:dyDescent="0.25">
      <c r="A71" s="5" t="s">
        <v>1899</v>
      </c>
      <c r="B71" s="5" t="s">
        <v>10</v>
      </c>
      <c r="C71" s="5" t="s">
        <v>5864</v>
      </c>
      <c r="D71" s="7" t="s">
        <v>670</v>
      </c>
      <c r="E71" s="7" t="s">
        <v>256</v>
      </c>
      <c r="F71" s="7" t="s">
        <v>317</v>
      </c>
      <c r="G71" s="7" t="s">
        <v>641</v>
      </c>
      <c r="H71" s="7" t="s">
        <v>641</v>
      </c>
      <c r="I71" s="62" t="s">
        <v>802</v>
      </c>
      <c r="J71" s="5" t="s">
        <v>803</v>
      </c>
      <c r="K71" s="5" t="s">
        <v>10</v>
      </c>
      <c r="L71" s="5" t="s">
        <v>10</v>
      </c>
      <c r="M71" s="5" t="s">
        <v>10</v>
      </c>
      <c r="N71" s="5" t="s">
        <v>45</v>
      </c>
      <c r="O71" s="95" t="s">
        <v>56</v>
      </c>
      <c r="P71" s="105">
        <v>46028</v>
      </c>
      <c r="Q71" s="100">
        <f t="shared" si="0"/>
        <v>46393</v>
      </c>
      <c r="R71" s="63" t="s">
        <v>1900</v>
      </c>
      <c r="S71" s="63" t="s">
        <v>4427</v>
      </c>
      <c r="T71" s="7">
        <v>0.01</v>
      </c>
      <c r="U71" s="5" t="s">
        <v>10</v>
      </c>
      <c r="V71" s="7">
        <f t="shared" si="1"/>
        <v>0.01</v>
      </c>
      <c r="W71" s="7" t="s">
        <v>673</v>
      </c>
      <c r="X71" s="7" t="s">
        <v>679</v>
      </c>
      <c r="Y71" s="48" t="str">
        <f t="shared" si="2"/>
        <v>APROVADO</v>
      </c>
      <c r="Z71" s="7" t="s">
        <v>56</v>
      </c>
      <c r="AA71" s="5">
        <v>11606720</v>
      </c>
      <c r="AB71" s="5" t="s">
        <v>4193</v>
      </c>
      <c r="AC71" s="5" t="s">
        <v>48</v>
      </c>
      <c r="AD71" s="5" t="s">
        <v>5530</v>
      </c>
      <c r="AE71" s="5" t="str">
        <f t="shared" ca="1" si="17"/>
        <v>NO PRAZO</v>
      </c>
      <c r="AF71" s="49"/>
    </row>
    <row r="72" spans="1:32" ht="30" customHeight="1" x14ac:dyDescent="0.25">
      <c r="A72" s="5" t="s">
        <v>2242</v>
      </c>
      <c r="B72" s="5" t="s">
        <v>10</v>
      </c>
      <c r="C72" s="5" t="s">
        <v>5863</v>
      </c>
      <c r="D72" s="61" t="s">
        <v>670</v>
      </c>
      <c r="E72" s="7" t="s">
        <v>50</v>
      </c>
      <c r="F72" s="7" t="s">
        <v>658</v>
      </c>
      <c r="G72" s="7" t="s">
        <v>641</v>
      </c>
      <c r="H72" s="7" t="s">
        <v>670</v>
      </c>
      <c r="I72" s="7" t="s">
        <v>695</v>
      </c>
      <c r="J72" s="7" t="s">
        <v>791</v>
      </c>
      <c r="K72" s="5" t="s">
        <v>10</v>
      </c>
      <c r="L72" s="5" t="s">
        <v>45</v>
      </c>
      <c r="M72" s="5" t="s">
        <v>10</v>
      </c>
      <c r="N72" s="5" t="s">
        <v>10</v>
      </c>
      <c r="O72" s="80" t="s">
        <v>56</v>
      </c>
      <c r="P72" s="101">
        <v>46168</v>
      </c>
      <c r="Q72" s="100">
        <f t="shared" si="0"/>
        <v>46533</v>
      </c>
      <c r="R72" s="5" t="s">
        <v>5338</v>
      </c>
      <c r="S72" s="5" t="s">
        <v>5606</v>
      </c>
      <c r="T72" s="7">
        <v>0.11</v>
      </c>
      <c r="U72" s="7" t="s">
        <v>10</v>
      </c>
      <c r="V72" s="7">
        <f t="shared" si="1"/>
        <v>0.11</v>
      </c>
      <c r="W72" s="7" t="s">
        <v>673</v>
      </c>
      <c r="X72" s="5" t="s">
        <v>674</v>
      </c>
      <c r="Y72" s="48" t="str">
        <f t="shared" si="2"/>
        <v>APROVADO</v>
      </c>
      <c r="Z72" s="7" t="s">
        <v>56</v>
      </c>
      <c r="AA72" s="5">
        <v>11606814</v>
      </c>
      <c r="AB72" s="5" t="s">
        <v>4124</v>
      </c>
      <c r="AC72" s="5" t="s">
        <v>48</v>
      </c>
      <c r="AD72" s="5" t="s">
        <v>5530</v>
      </c>
      <c r="AE72" s="5" t="str">
        <f t="shared" ca="1" si="17"/>
        <v>NO PRAZO</v>
      </c>
      <c r="AF72" s="53"/>
    </row>
    <row r="73" spans="1:32" ht="30" customHeight="1" x14ac:dyDescent="0.25">
      <c r="A73" s="5" t="s">
        <v>801</v>
      </c>
      <c r="B73" s="5" t="s">
        <v>10</v>
      </c>
      <c r="C73" s="5" t="s">
        <v>5864</v>
      </c>
      <c r="D73" s="7" t="s">
        <v>670</v>
      </c>
      <c r="E73" s="7" t="s">
        <v>256</v>
      </c>
      <c r="F73" s="7" t="s">
        <v>317</v>
      </c>
      <c r="G73" s="7" t="s">
        <v>641</v>
      </c>
      <c r="H73" s="7" t="s">
        <v>641</v>
      </c>
      <c r="I73" s="62" t="s">
        <v>802</v>
      </c>
      <c r="J73" s="62" t="s">
        <v>803</v>
      </c>
      <c r="K73" s="5" t="s">
        <v>10</v>
      </c>
      <c r="L73" s="5" t="s">
        <v>45</v>
      </c>
      <c r="M73" s="5" t="s">
        <v>10</v>
      </c>
      <c r="N73" s="5" t="s">
        <v>10</v>
      </c>
      <c r="O73" s="80" t="s">
        <v>56</v>
      </c>
      <c r="P73" s="101">
        <v>46028</v>
      </c>
      <c r="Q73" s="100">
        <f t="shared" si="0"/>
        <v>46393</v>
      </c>
      <c r="R73" s="63" t="s">
        <v>1902</v>
      </c>
      <c r="S73" s="63" t="s">
        <v>4421</v>
      </c>
      <c r="T73" s="7">
        <v>0.01</v>
      </c>
      <c r="U73" s="7" t="s">
        <v>10</v>
      </c>
      <c r="V73" s="7">
        <f t="shared" si="1"/>
        <v>0.01</v>
      </c>
      <c r="W73" s="7" t="s">
        <v>673</v>
      </c>
      <c r="X73" s="5" t="s">
        <v>679</v>
      </c>
      <c r="Y73" s="48" t="str">
        <f t="shared" si="2"/>
        <v>APROVADO</v>
      </c>
      <c r="Z73" s="7" t="s">
        <v>56</v>
      </c>
      <c r="AA73" s="5">
        <v>11606676</v>
      </c>
      <c r="AB73" s="5" t="s">
        <v>4125</v>
      </c>
      <c r="AC73" s="5" t="s">
        <v>48</v>
      </c>
      <c r="AD73" s="5" t="s">
        <v>5530</v>
      </c>
      <c r="AE73" s="5" t="str">
        <f t="shared" ca="1" si="17"/>
        <v>NO PRAZO</v>
      </c>
      <c r="AF73" s="49"/>
    </row>
    <row r="74" spans="1:32" ht="30" customHeight="1" x14ac:dyDescent="0.25">
      <c r="A74" s="5" t="s">
        <v>804</v>
      </c>
      <c r="B74" s="5" t="s">
        <v>10</v>
      </c>
      <c r="C74" s="5" t="s">
        <v>5864</v>
      </c>
      <c r="D74" s="7" t="s">
        <v>670</v>
      </c>
      <c r="E74" s="7" t="s">
        <v>256</v>
      </c>
      <c r="F74" s="7" t="s">
        <v>257</v>
      </c>
      <c r="G74" s="7" t="s">
        <v>641</v>
      </c>
      <c r="H74" s="7" t="s">
        <v>641</v>
      </c>
      <c r="I74" s="62" t="s">
        <v>805</v>
      </c>
      <c r="J74" s="62" t="s">
        <v>806</v>
      </c>
      <c r="K74" s="5" t="s">
        <v>10</v>
      </c>
      <c r="L74" s="5" t="s">
        <v>45</v>
      </c>
      <c r="M74" s="5" t="s">
        <v>10</v>
      </c>
      <c r="N74" s="5" t="s">
        <v>10</v>
      </c>
      <c r="O74" s="80" t="s">
        <v>56</v>
      </c>
      <c r="P74" s="101">
        <v>46205</v>
      </c>
      <c r="Q74" s="100">
        <f t="shared" si="0"/>
        <v>46570</v>
      </c>
      <c r="R74" s="63" t="s">
        <v>2700</v>
      </c>
      <c r="S74" s="63" t="s">
        <v>5732</v>
      </c>
      <c r="T74" s="7">
        <v>8.9999999999999998E-4</v>
      </c>
      <c r="U74" s="7" t="s">
        <v>10</v>
      </c>
      <c r="V74" s="7">
        <f t="shared" si="1"/>
        <v>8.9999999999999998E-4</v>
      </c>
      <c r="W74" s="7" t="s">
        <v>673</v>
      </c>
      <c r="X74" s="5" t="s">
        <v>679</v>
      </c>
      <c r="Y74" s="48" t="str">
        <f t="shared" si="2"/>
        <v>APROVADO</v>
      </c>
      <c r="Z74" s="7" t="s">
        <v>56</v>
      </c>
      <c r="AA74" s="5">
        <v>11604360</v>
      </c>
      <c r="AB74" s="5" t="s">
        <v>2941</v>
      </c>
      <c r="AC74" s="5" t="s">
        <v>48</v>
      </c>
      <c r="AD74" s="5" t="s">
        <v>5632</v>
      </c>
      <c r="AE74" s="5" t="str">
        <f t="shared" ca="1" si="17"/>
        <v>NO PRAZO</v>
      </c>
      <c r="AF74" s="51"/>
    </row>
    <row r="75" spans="1:32" ht="30" customHeight="1" x14ac:dyDescent="0.25">
      <c r="A75" s="9" t="s">
        <v>807</v>
      </c>
      <c r="B75" s="5" t="s">
        <v>10</v>
      </c>
      <c r="C75" s="5" t="s">
        <v>5864</v>
      </c>
      <c r="D75" s="61" t="s">
        <v>670</v>
      </c>
      <c r="E75" s="7" t="s">
        <v>256</v>
      </c>
      <c r="F75" s="7" t="s">
        <v>312</v>
      </c>
      <c r="G75" s="7" t="s">
        <v>641</v>
      </c>
      <c r="H75" s="61" t="s">
        <v>10</v>
      </c>
      <c r="I75" s="62" t="s">
        <v>808</v>
      </c>
      <c r="J75" s="62" t="s">
        <v>809</v>
      </c>
      <c r="K75" s="5" t="s">
        <v>10</v>
      </c>
      <c r="L75" s="5" t="s">
        <v>10</v>
      </c>
      <c r="M75" s="5" t="s">
        <v>10</v>
      </c>
      <c r="N75" s="5" t="s">
        <v>45</v>
      </c>
      <c r="O75" s="80" t="s">
        <v>56</v>
      </c>
      <c r="P75" s="99">
        <v>46205</v>
      </c>
      <c r="Q75" s="100">
        <f t="shared" si="0"/>
        <v>46570</v>
      </c>
      <c r="R75" s="63" t="s">
        <v>2690</v>
      </c>
      <c r="S75" s="63" t="s">
        <v>5733</v>
      </c>
      <c r="T75" s="7">
        <v>6.9999999999999999E-4</v>
      </c>
      <c r="U75" s="7" t="s">
        <v>10</v>
      </c>
      <c r="V75" s="7">
        <f t="shared" si="1"/>
        <v>6.9999999999999999E-4</v>
      </c>
      <c r="W75" s="7" t="s">
        <v>673</v>
      </c>
      <c r="X75" s="5" t="s">
        <v>679</v>
      </c>
      <c r="Y75" s="48" t="str">
        <f t="shared" si="2"/>
        <v>APROVADO</v>
      </c>
      <c r="Z75" s="7" t="s">
        <v>56</v>
      </c>
      <c r="AA75" s="5">
        <v>11604351</v>
      </c>
      <c r="AB75" s="5" t="s">
        <v>2928</v>
      </c>
      <c r="AC75" s="5" t="s">
        <v>48</v>
      </c>
      <c r="AD75" s="5" t="s">
        <v>5632</v>
      </c>
      <c r="AE75" s="5" t="str">
        <f t="shared" ca="1" si="17"/>
        <v>NO PRAZO</v>
      </c>
      <c r="AF75" s="51"/>
    </row>
    <row r="76" spans="1:32" ht="30" customHeight="1" x14ac:dyDescent="0.25">
      <c r="A76" s="5" t="s">
        <v>1685</v>
      </c>
      <c r="B76" s="5" t="s">
        <v>10</v>
      </c>
      <c r="C76" s="5" t="s">
        <v>5864</v>
      </c>
      <c r="D76" s="7" t="s">
        <v>1686</v>
      </c>
      <c r="E76" s="7" t="s">
        <v>639</v>
      </c>
      <c r="F76" s="7" t="s">
        <v>641</v>
      </c>
      <c r="G76" s="7" t="s">
        <v>641</v>
      </c>
      <c r="H76" s="7" t="s">
        <v>1687</v>
      </c>
      <c r="I76" s="7" t="s">
        <v>1688</v>
      </c>
      <c r="J76" s="7" t="s">
        <v>5957</v>
      </c>
      <c r="K76" s="5" t="s">
        <v>10</v>
      </c>
      <c r="L76" s="5" t="s">
        <v>45</v>
      </c>
      <c r="M76" s="5" t="s">
        <v>10</v>
      </c>
      <c r="N76" s="5" t="s">
        <v>10</v>
      </c>
      <c r="O76" s="80" t="s">
        <v>56</v>
      </c>
      <c r="P76" s="101">
        <v>46223</v>
      </c>
      <c r="Q76" s="100">
        <f t="shared" si="0"/>
        <v>46588</v>
      </c>
      <c r="R76" s="48" t="s">
        <v>2476</v>
      </c>
      <c r="S76" s="169">
        <v>507991</v>
      </c>
      <c r="T76" s="7">
        <v>20</v>
      </c>
      <c r="U76" s="7" t="s">
        <v>10</v>
      </c>
      <c r="V76" s="7">
        <f t="shared" si="1"/>
        <v>20</v>
      </c>
      <c r="W76" s="7" t="s">
        <v>673</v>
      </c>
      <c r="X76" s="7" t="s">
        <v>674</v>
      </c>
      <c r="Y76" s="48" t="str">
        <f t="shared" si="2"/>
        <v>APROVADO</v>
      </c>
      <c r="Z76" s="7" t="s">
        <v>56</v>
      </c>
      <c r="AA76" s="5">
        <v>11604105</v>
      </c>
      <c r="AB76" s="5" t="s">
        <v>2894</v>
      </c>
      <c r="AC76" s="5" t="s">
        <v>1689</v>
      </c>
      <c r="AD76" s="5" t="s">
        <v>5632</v>
      </c>
      <c r="AE76" s="5" t="str">
        <f t="shared" ca="1" si="17"/>
        <v>NO PRAZO</v>
      </c>
      <c r="AF76" s="49"/>
    </row>
    <row r="77" spans="1:32" ht="30" customHeight="1" x14ac:dyDescent="0.25">
      <c r="A77" s="5" t="s">
        <v>1690</v>
      </c>
      <c r="B77" s="5" t="s">
        <v>10</v>
      </c>
      <c r="C77" s="5" t="s">
        <v>5864</v>
      </c>
      <c r="D77" s="7" t="s">
        <v>1686</v>
      </c>
      <c r="E77" s="7" t="s">
        <v>639</v>
      </c>
      <c r="F77" s="7" t="s">
        <v>641</v>
      </c>
      <c r="G77" s="7" t="s">
        <v>641</v>
      </c>
      <c r="H77" s="7" t="s">
        <v>1691</v>
      </c>
      <c r="I77" s="7" t="s">
        <v>1688</v>
      </c>
      <c r="J77" s="7" t="s">
        <v>1688</v>
      </c>
      <c r="K77" s="5" t="s">
        <v>10</v>
      </c>
      <c r="L77" s="5" t="s">
        <v>45</v>
      </c>
      <c r="M77" s="5" t="s">
        <v>10</v>
      </c>
      <c r="N77" s="5" t="s">
        <v>10</v>
      </c>
      <c r="O77" s="80" t="s">
        <v>56</v>
      </c>
      <c r="P77" s="101">
        <v>46223</v>
      </c>
      <c r="Q77" s="100">
        <f t="shared" si="0"/>
        <v>46588</v>
      </c>
      <c r="R77" s="48" t="s">
        <v>2477</v>
      </c>
      <c r="S77" s="169">
        <v>507992</v>
      </c>
      <c r="T77" s="7">
        <v>23</v>
      </c>
      <c r="U77" s="7" t="s">
        <v>10</v>
      </c>
      <c r="V77" s="7">
        <f t="shared" si="1"/>
        <v>23</v>
      </c>
      <c r="W77" s="7" t="s">
        <v>673</v>
      </c>
      <c r="X77" s="7" t="s">
        <v>674</v>
      </c>
      <c r="Y77" s="48" t="str">
        <f t="shared" si="2"/>
        <v>APROVADO</v>
      </c>
      <c r="Z77" s="7" t="s">
        <v>56</v>
      </c>
      <c r="AA77" s="5">
        <v>11604106</v>
      </c>
      <c r="AB77" s="5" t="s">
        <v>2895</v>
      </c>
      <c r="AC77" s="5" t="s">
        <v>1689</v>
      </c>
      <c r="AD77" s="5" t="s">
        <v>5632</v>
      </c>
      <c r="AE77" s="5" t="str">
        <f t="shared" ca="1" si="17"/>
        <v>NO PRAZO</v>
      </c>
      <c r="AF77" s="49"/>
    </row>
    <row r="78" spans="1:32" ht="30" customHeight="1" x14ac:dyDescent="0.25">
      <c r="A78" s="5" t="s">
        <v>2206</v>
      </c>
      <c r="B78" s="131" t="s">
        <v>10</v>
      </c>
      <c r="C78" s="5" t="s">
        <v>5863</v>
      </c>
      <c r="D78" s="7" t="s">
        <v>5844</v>
      </c>
      <c r="E78" s="7" t="s">
        <v>40</v>
      </c>
      <c r="F78" s="7" t="s">
        <v>156</v>
      </c>
      <c r="G78" s="132" t="s">
        <v>2224</v>
      </c>
      <c r="H78" s="132" t="s">
        <v>2225</v>
      </c>
      <c r="I78" s="132" t="s">
        <v>2226</v>
      </c>
      <c r="J78" s="7" t="s">
        <v>2228</v>
      </c>
      <c r="K78" s="131" t="s">
        <v>10</v>
      </c>
      <c r="L78" s="131" t="s">
        <v>45</v>
      </c>
      <c r="M78" s="131" t="s">
        <v>10</v>
      </c>
      <c r="N78" s="131" t="s">
        <v>10</v>
      </c>
      <c r="O78" s="138" t="s">
        <v>56</v>
      </c>
      <c r="P78" s="99">
        <v>46127</v>
      </c>
      <c r="Q78" s="100">
        <f t="shared" si="0"/>
        <v>46492</v>
      </c>
      <c r="R78" s="5" t="s">
        <v>2213</v>
      </c>
      <c r="S78" s="5" t="s">
        <v>5349</v>
      </c>
      <c r="T78" s="7">
        <v>2</v>
      </c>
      <c r="U78" s="7"/>
      <c r="V78" s="7">
        <f t="shared" si="1"/>
        <v>2</v>
      </c>
      <c r="W78" s="5" t="s">
        <v>10</v>
      </c>
      <c r="X78" s="5" t="s">
        <v>679</v>
      </c>
      <c r="Y78" s="48" t="str">
        <f t="shared" si="2"/>
        <v>A DEFINIR</v>
      </c>
      <c r="Z78" s="7" t="s">
        <v>56</v>
      </c>
      <c r="AA78" s="5">
        <v>11606744</v>
      </c>
      <c r="AB78" s="5" t="s">
        <v>4219</v>
      </c>
      <c r="AC78" s="5" t="s">
        <v>48</v>
      </c>
      <c r="AD78" s="5" t="s">
        <v>5530</v>
      </c>
      <c r="AE78" s="5" t="str">
        <f t="shared" ca="1" si="17"/>
        <v>NO PRAZO</v>
      </c>
      <c r="AF78" s="51"/>
    </row>
    <row r="79" spans="1:32" ht="30" customHeight="1" x14ac:dyDescent="0.25">
      <c r="A79" s="5" t="s">
        <v>2207</v>
      </c>
      <c r="B79" s="131" t="s">
        <v>10</v>
      </c>
      <c r="C79" s="5" t="s">
        <v>5863</v>
      </c>
      <c r="D79" s="7" t="s">
        <v>5844</v>
      </c>
      <c r="E79" s="7" t="s">
        <v>40</v>
      </c>
      <c r="F79" s="7" t="s">
        <v>156</v>
      </c>
      <c r="G79" s="132" t="s">
        <v>2227</v>
      </c>
      <c r="H79" s="132" t="s">
        <v>10</v>
      </c>
      <c r="I79" s="7" t="s">
        <v>2226</v>
      </c>
      <c r="J79" s="132" t="s">
        <v>2228</v>
      </c>
      <c r="K79" s="131" t="s">
        <v>10</v>
      </c>
      <c r="L79" s="131" t="s">
        <v>45</v>
      </c>
      <c r="M79" s="131" t="s">
        <v>10</v>
      </c>
      <c r="N79" s="131" t="s">
        <v>10</v>
      </c>
      <c r="O79" s="138" t="s">
        <v>56</v>
      </c>
      <c r="P79" s="101">
        <v>46156</v>
      </c>
      <c r="Q79" s="100">
        <f t="shared" si="0"/>
        <v>46521</v>
      </c>
      <c r="R79" s="5" t="s">
        <v>5562</v>
      </c>
      <c r="S79" s="5" t="s">
        <v>5607</v>
      </c>
      <c r="T79" s="7">
        <v>1</v>
      </c>
      <c r="U79" s="7"/>
      <c r="V79" s="7">
        <f t="shared" si="1"/>
        <v>1</v>
      </c>
      <c r="W79" s="5" t="s">
        <v>10</v>
      </c>
      <c r="X79" s="5" t="s">
        <v>679</v>
      </c>
      <c r="Y79" s="48" t="str">
        <f t="shared" si="2"/>
        <v>A DEFINIR</v>
      </c>
      <c r="Z79" s="7" t="s">
        <v>46</v>
      </c>
      <c r="AA79" s="5">
        <v>11606745</v>
      </c>
      <c r="AB79" s="5" t="s">
        <v>4220</v>
      </c>
      <c r="AC79" s="5" t="s">
        <v>48</v>
      </c>
      <c r="AD79" s="5" t="s">
        <v>5530</v>
      </c>
      <c r="AE79" s="5" t="str">
        <f t="shared" ca="1" si="17"/>
        <v>NO PRAZO</v>
      </c>
      <c r="AF79" s="49"/>
    </row>
    <row r="80" spans="1:32" ht="30" customHeight="1" x14ac:dyDescent="0.25">
      <c r="A80" s="5" t="s">
        <v>2271</v>
      </c>
      <c r="B80" s="131" t="s">
        <v>10</v>
      </c>
      <c r="C80" s="5" t="s">
        <v>5863</v>
      </c>
      <c r="D80" s="7" t="s">
        <v>670</v>
      </c>
      <c r="E80" s="7" t="s">
        <v>50</v>
      </c>
      <c r="F80" s="7" t="s">
        <v>658</v>
      </c>
      <c r="G80" s="7" t="s">
        <v>641</v>
      </c>
      <c r="H80" s="132" t="s">
        <v>10</v>
      </c>
      <c r="I80" s="116" t="s">
        <v>695</v>
      </c>
      <c r="J80" s="116" t="s">
        <v>2272</v>
      </c>
      <c r="K80" s="131" t="s">
        <v>10</v>
      </c>
      <c r="L80" s="131" t="s">
        <v>45</v>
      </c>
      <c r="M80" s="131" t="s">
        <v>10</v>
      </c>
      <c r="N80" s="131" t="s">
        <v>10</v>
      </c>
      <c r="O80" s="138" t="s">
        <v>56</v>
      </c>
      <c r="P80" s="101">
        <v>46164</v>
      </c>
      <c r="Q80" s="100">
        <f t="shared" ref="Q80:Q143" si="18">IF(P80="","",P80+365)</f>
        <v>46529</v>
      </c>
      <c r="R80" s="5" t="s">
        <v>2273</v>
      </c>
      <c r="S80" s="5" t="s">
        <v>5548</v>
      </c>
      <c r="T80" s="7">
        <v>0.03</v>
      </c>
      <c r="U80" s="7"/>
      <c r="V80" s="7">
        <f t="shared" ref="V80:V143" si="19">IFERROR(IF(U80&gt;0,T80*100/U80,T80),T80)</f>
        <v>0.03</v>
      </c>
      <c r="W80" s="5" t="s">
        <v>10</v>
      </c>
      <c r="X80" s="5" t="s">
        <v>674</v>
      </c>
      <c r="Y80" s="48" t="str">
        <f t="shared" ref="Y80:Y143" si="20">IFERROR(IF(W80="-",$AL$6,CHOOSE(IF(T80="",1,2),$AL$7,IF(V80&gt;W80,$AL$5,$AL$4))),"-")</f>
        <v>A DEFINIR</v>
      </c>
      <c r="Z80" s="7" t="s">
        <v>56</v>
      </c>
      <c r="AA80" s="5">
        <v>11606747</v>
      </c>
      <c r="AB80" s="5" t="s">
        <v>4222</v>
      </c>
      <c r="AC80" s="5" t="s">
        <v>48</v>
      </c>
      <c r="AD80" s="5" t="s">
        <v>5530</v>
      </c>
      <c r="AE80" s="5" t="str">
        <f t="shared" ca="1" si="17"/>
        <v>NO PRAZO</v>
      </c>
      <c r="AF80" s="49"/>
    </row>
    <row r="81" spans="1:37" ht="30" customHeight="1" x14ac:dyDescent="0.25">
      <c r="A81" s="5" t="s">
        <v>3071</v>
      </c>
      <c r="B81" s="131" t="s">
        <v>10</v>
      </c>
      <c r="C81" s="5" t="s">
        <v>5863</v>
      </c>
      <c r="D81" s="7" t="s">
        <v>670</v>
      </c>
      <c r="E81" s="7" t="s">
        <v>40</v>
      </c>
      <c r="F81" s="7" t="s">
        <v>644</v>
      </c>
      <c r="G81" s="7" t="s">
        <v>2101</v>
      </c>
      <c r="H81" s="61" t="s">
        <v>694</v>
      </c>
      <c r="I81" s="116" t="s">
        <v>695</v>
      </c>
      <c r="J81" s="116" t="s">
        <v>2272</v>
      </c>
      <c r="K81" s="131" t="s">
        <v>10</v>
      </c>
      <c r="L81" s="131" t="s">
        <v>45</v>
      </c>
      <c r="M81" s="131" t="s">
        <v>10</v>
      </c>
      <c r="N81" s="131" t="s">
        <v>10</v>
      </c>
      <c r="O81" s="138" t="s">
        <v>56</v>
      </c>
      <c r="P81" s="101">
        <v>46236</v>
      </c>
      <c r="Q81" s="100">
        <f t="shared" si="18"/>
        <v>46601</v>
      </c>
      <c r="R81" s="5" t="s">
        <v>3072</v>
      </c>
      <c r="S81" s="5" t="s">
        <v>5969</v>
      </c>
      <c r="T81" s="7"/>
      <c r="U81" s="7" t="s">
        <v>10</v>
      </c>
      <c r="V81" s="7">
        <f t="shared" si="19"/>
        <v>0</v>
      </c>
      <c r="W81" s="7" t="s">
        <v>673</v>
      </c>
      <c r="X81" s="5" t="s">
        <v>674</v>
      </c>
      <c r="Y81" s="48" t="str">
        <f t="shared" si="20"/>
        <v>AGUARDANDO CERTIFICADO</v>
      </c>
      <c r="Z81" s="7" t="s">
        <v>56</v>
      </c>
      <c r="AA81" s="5">
        <v>11606746</v>
      </c>
      <c r="AB81" s="5" t="s">
        <v>4221</v>
      </c>
      <c r="AC81" s="5" t="s">
        <v>48</v>
      </c>
      <c r="AD81" s="5" t="s">
        <v>5632</v>
      </c>
      <c r="AE81" s="5" t="str">
        <f t="shared" ca="1" si="17"/>
        <v>NO PRAZO</v>
      </c>
      <c r="AF81" s="52" t="s">
        <v>5967</v>
      </c>
    </row>
    <row r="82" spans="1:37" ht="30" customHeight="1" x14ac:dyDescent="0.25">
      <c r="A82" s="5" t="s">
        <v>4671</v>
      </c>
      <c r="B82" s="5">
        <v>12432789</v>
      </c>
      <c r="C82" s="5" t="s">
        <v>5863</v>
      </c>
      <c r="D82" s="7" t="s">
        <v>670</v>
      </c>
      <c r="E82" s="7" t="s">
        <v>40</v>
      </c>
      <c r="F82" s="7" t="s">
        <v>655</v>
      </c>
      <c r="G82" s="7" t="s">
        <v>493</v>
      </c>
      <c r="H82" s="7" t="s">
        <v>4605</v>
      </c>
      <c r="I82" s="7" t="s">
        <v>687</v>
      </c>
      <c r="J82" s="7" t="s">
        <v>688</v>
      </c>
      <c r="K82" s="5" t="s">
        <v>10</v>
      </c>
      <c r="L82" s="5" t="s">
        <v>10</v>
      </c>
      <c r="M82" s="5" t="s">
        <v>10</v>
      </c>
      <c r="N82" s="5" t="s">
        <v>45</v>
      </c>
      <c r="O82" s="80" t="s">
        <v>56</v>
      </c>
      <c r="P82" s="101">
        <v>46057</v>
      </c>
      <c r="Q82" s="100">
        <f t="shared" si="18"/>
        <v>46422</v>
      </c>
      <c r="R82" s="7" t="s">
        <v>4606</v>
      </c>
      <c r="S82" s="7" t="s">
        <v>4786</v>
      </c>
      <c r="T82" s="7">
        <v>0.3</v>
      </c>
      <c r="U82" s="7" t="s">
        <v>10</v>
      </c>
      <c r="V82" s="7">
        <f t="shared" si="19"/>
        <v>0.3</v>
      </c>
      <c r="W82" s="7" t="s">
        <v>673</v>
      </c>
      <c r="X82" s="5" t="s">
        <v>679</v>
      </c>
      <c r="Y82" s="48" t="str">
        <f t="shared" si="20"/>
        <v>APROVADO</v>
      </c>
      <c r="Z82" s="7" t="s">
        <v>46</v>
      </c>
      <c r="AA82" s="5">
        <v>11597100</v>
      </c>
      <c r="AB82" s="5" t="s">
        <v>4607</v>
      </c>
      <c r="AC82" s="5" t="s">
        <v>48</v>
      </c>
      <c r="AD82" s="5" t="s">
        <v>5530</v>
      </c>
      <c r="AE82" s="5" t="str">
        <f t="shared" ca="1" si="17"/>
        <v>NO PRAZO</v>
      </c>
      <c r="AF82" s="53"/>
    </row>
    <row r="83" spans="1:37" ht="30" customHeight="1" x14ac:dyDescent="0.25">
      <c r="A83" s="5" t="s">
        <v>4670</v>
      </c>
      <c r="B83" s="5">
        <v>4655</v>
      </c>
      <c r="C83" s="5" t="s">
        <v>5863</v>
      </c>
      <c r="D83" s="7" t="s">
        <v>670</v>
      </c>
      <c r="E83" s="7" t="s">
        <v>50</v>
      </c>
      <c r="F83" s="7" t="s">
        <v>3584</v>
      </c>
      <c r="G83" s="7" t="s">
        <v>675</v>
      </c>
      <c r="H83" s="7" t="s">
        <v>676</v>
      </c>
      <c r="I83" s="7" t="s">
        <v>671</v>
      </c>
      <c r="J83" s="7" t="s">
        <v>4602</v>
      </c>
      <c r="K83" s="5" t="s">
        <v>10</v>
      </c>
      <c r="L83" s="5" t="s">
        <v>10</v>
      </c>
      <c r="M83" s="5" t="s">
        <v>10</v>
      </c>
      <c r="N83" s="5" t="s">
        <v>45</v>
      </c>
      <c r="O83" s="80" t="s">
        <v>56</v>
      </c>
      <c r="P83" s="101">
        <v>46057</v>
      </c>
      <c r="Q83" s="100">
        <f t="shared" si="18"/>
        <v>46422</v>
      </c>
      <c r="R83" s="5" t="s">
        <v>4603</v>
      </c>
      <c r="S83" s="5" t="s">
        <v>4672</v>
      </c>
      <c r="T83" s="7">
        <v>2.0000000000000001E-4</v>
      </c>
      <c r="U83" s="7" t="s">
        <v>10</v>
      </c>
      <c r="V83" s="7">
        <f t="shared" si="19"/>
        <v>2.0000000000000001E-4</v>
      </c>
      <c r="W83" s="7" t="s">
        <v>673</v>
      </c>
      <c r="X83" s="5" t="s">
        <v>674</v>
      </c>
      <c r="Y83" s="48" t="str">
        <f t="shared" si="20"/>
        <v>APROVADO</v>
      </c>
      <c r="Z83" s="7" t="s">
        <v>56</v>
      </c>
      <c r="AA83" s="5">
        <v>11540328</v>
      </c>
      <c r="AB83" s="5" t="s">
        <v>4604</v>
      </c>
      <c r="AC83" s="5" t="s">
        <v>48</v>
      </c>
      <c r="AD83" s="5" t="s">
        <v>5530</v>
      </c>
      <c r="AE83" s="5" t="str">
        <f t="shared" ca="1" si="17"/>
        <v>NO PRAZO</v>
      </c>
      <c r="AF83" s="53"/>
    </row>
    <row r="84" spans="1:37" ht="30" customHeight="1" x14ac:dyDescent="0.25">
      <c r="A84" s="5" t="s">
        <v>4777</v>
      </c>
      <c r="B84" s="5">
        <v>12578805</v>
      </c>
      <c r="C84" s="5" t="s">
        <v>5863</v>
      </c>
      <c r="D84" s="7" t="s">
        <v>670</v>
      </c>
      <c r="E84" s="7" t="s">
        <v>40</v>
      </c>
      <c r="F84" s="7" t="s">
        <v>156</v>
      </c>
      <c r="G84" s="7" t="s">
        <v>655</v>
      </c>
      <c r="H84" s="7" t="s">
        <v>676</v>
      </c>
      <c r="I84" s="7" t="s">
        <v>687</v>
      </c>
      <c r="J84" s="7" t="s">
        <v>688</v>
      </c>
      <c r="K84" s="5" t="s">
        <v>10</v>
      </c>
      <c r="L84" s="5" t="s">
        <v>10</v>
      </c>
      <c r="M84" s="5" t="s">
        <v>10</v>
      </c>
      <c r="N84" s="5" t="s">
        <v>45</v>
      </c>
      <c r="O84" s="80" t="s">
        <v>56</v>
      </c>
      <c r="P84" s="101">
        <v>46050</v>
      </c>
      <c r="Q84" s="100">
        <f t="shared" si="18"/>
        <v>46415</v>
      </c>
      <c r="R84" s="5" t="s">
        <v>4608</v>
      </c>
      <c r="S84" s="5" t="s">
        <v>4661</v>
      </c>
      <c r="T84" s="7">
        <v>0.3</v>
      </c>
      <c r="U84" s="7" t="s">
        <v>10</v>
      </c>
      <c r="V84" s="7">
        <f t="shared" si="19"/>
        <v>0.3</v>
      </c>
      <c r="W84" s="7" t="s">
        <v>673</v>
      </c>
      <c r="X84" s="5" t="s">
        <v>679</v>
      </c>
      <c r="Y84" s="48" t="str">
        <f t="shared" si="20"/>
        <v>APROVADO</v>
      </c>
      <c r="Z84" s="7" t="s">
        <v>46</v>
      </c>
      <c r="AA84" s="5">
        <v>11597102</v>
      </c>
      <c r="AB84" s="5" t="s">
        <v>4609</v>
      </c>
      <c r="AC84" s="5" t="s">
        <v>48</v>
      </c>
      <c r="AD84" s="5" t="s">
        <v>5530</v>
      </c>
      <c r="AE84" s="5" t="str">
        <f t="shared" ca="1" si="17"/>
        <v>NO PRAZO</v>
      </c>
      <c r="AF84" s="53"/>
    </row>
    <row r="85" spans="1:37" ht="30" customHeight="1" x14ac:dyDescent="0.25">
      <c r="A85" s="5" t="s">
        <v>810</v>
      </c>
      <c r="B85" s="5" t="s">
        <v>10</v>
      </c>
      <c r="C85" s="5" t="s">
        <v>5863</v>
      </c>
      <c r="D85" s="7" t="s">
        <v>670</v>
      </c>
      <c r="E85" s="7" t="s">
        <v>50</v>
      </c>
      <c r="F85" s="7" t="s">
        <v>589</v>
      </c>
      <c r="G85" s="7" t="s">
        <v>613</v>
      </c>
      <c r="H85" s="7" t="s">
        <v>811</v>
      </c>
      <c r="I85" s="7" t="s">
        <v>812</v>
      </c>
      <c r="J85" s="7" t="s">
        <v>813</v>
      </c>
      <c r="K85" s="5" t="s">
        <v>10</v>
      </c>
      <c r="L85" s="5" t="s">
        <v>10</v>
      </c>
      <c r="M85" s="5" t="s">
        <v>10</v>
      </c>
      <c r="N85" s="5" t="s">
        <v>45</v>
      </c>
      <c r="O85" s="80" t="s">
        <v>56</v>
      </c>
      <c r="P85" s="101">
        <v>45963</v>
      </c>
      <c r="Q85" s="100">
        <f t="shared" si="18"/>
        <v>46328</v>
      </c>
      <c r="R85" s="7" t="s">
        <v>1754</v>
      </c>
      <c r="S85" s="7" t="s">
        <v>3683</v>
      </c>
      <c r="T85" s="7">
        <v>0.2</v>
      </c>
      <c r="U85" s="7" t="s">
        <v>10</v>
      </c>
      <c r="V85" s="7">
        <f t="shared" si="19"/>
        <v>0.2</v>
      </c>
      <c r="W85" s="5" t="s">
        <v>10</v>
      </c>
      <c r="X85" s="5" t="s">
        <v>679</v>
      </c>
      <c r="Y85" s="48" t="str">
        <f t="shared" si="20"/>
        <v>A DEFINIR</v>
      </c>
      <c r="Z85" s="7" t="s">
        <v>56</v>
      </c>
      <c r="AA85" s="5">
        <v>11601944</v>
      </c>
      <c r="AB85" s="5" t="s">
        <v>3824</v>
      </c>
      <c r="AC85" s="5" t="s">
        <v>48</v>
      </c>
      <c r="AD85" s="5" t="s">
        <v>5530</v>
      </c>
      <c r="AE85" s="5" t="str">
        <f t="shared" ca="1" si="17"/>
        <v>NO PRAZO</v>
      </c>
      <c r="AF85" s="51"/>
    </row>
    <row r="86" spans="1:37" ht="30" customHeight="1" x14ac:dyDescent="0.25">
      <c r="A86" s="5" t="s">
        <v>814</v>
      </c>
      <c r="B86" s="5" t="s">
        <v>10</v>
      </c>
      <c r="C86" s="5" t="s">
        <v>5863</v>
      </c>
      <c r="D86" s="7" t="s">
        <v>670</v>
      </c>
      <c r="E86" s="7" t="s">
        <v>50</v>
      </c>
      <c r="F86" s="7" t="s">
        <v>589</v>
      </c>
      <c r="G86" s="7" t="s">
        <v>613</v>
      </c>
      <c r="H86" s="7" t="s">
        <v>815</v>
      </c>
      <c r="I86" s="7" t="s">
        <v>812</v>
      </c>
      <c r="J86" s="7" t="s">
        <v>813</v>
      </c>
      <c r="K86" s="5" t="s">
        <v>10</v>
      </c>
      <c r="L86" s="5" t="s">
        <v>10</v>
      </c>
      <c r="M86" s="5" t="s">
        <v>10</v>
      </c>
      <c r="N86" s="5" t="s">
        <v>45</v>
      </c>
      <c r="O86" s="80" t="s">
        <v>56</v>
      </c>
      <c r="P86" s="101">
        <v>45963</v>
      </c>
      <c r="Q86" s="100">
        <f t="shared" si="18"/>
        <v>46328</v>
      </c>
      <c r="R86" s="7" t="s">
        <v>1755</v>
      </c>
      <c r="S86" s="7" t="s">
        <v>3684</v>
      </c>
      <c r="T86" s="7">
        <v>0.1</v>
      </c>
      <c r="U86" s="7" t="s">
        <v>10</v>
      </c>
      <c r="V86" s="7">
        <f t="shared" si="19"/>
        <v>0.1</v>
      </c>
      <c r="W86" s="5" t="s">
        <v>10</v>
      </c>
      <c r="X86" s="5" t="s">
        <v>679</v>
      </c>
      <c r="Y86" s="48" t="str">
        <f t="shared" si="20"/>
        <v>A DEFINIR</v>
      </c>
      <c r="Z86" s="7" t="s">
        <v>56</v>
      </c>
      <c r="AA86" s="5">
        <v>11601946</v>
      </c>
      <c r="AB86" s="5" t="s">
        <v>3825</v>
      </c>
      <c r="AC86" s="5" t="s">
        <v>48</v>
      </c>
      <c r="AD86" s="5" t="s">
        <v>5530</v>
      </c>
      <c r="AE86" s="5" t="str">
        <f t="shared" ca="1" si="17"/>
        <v>NO PRAZO</v>
      </c>
      <c r="AF86" s="51"/>
    </row>
    <row r="87" spans="1:37" ht="30" customHeight="1" x14ac:dyDescent="0.25">
      <c r="A87" s="5" t="s">
        <v>3699</v>
      </c>
      <c r="B87" s="5" t="s">
        <v>10</v>
      </c>
      <c r="C87" s="5" t="s">
        <v>5863</v>
      </c>
      <c r="D87" s="7" t="s">
        <v>670</v>
      </c>
      <c r="E87" s="7" t="s">
        <v>50</v>
      </c>
      <c r="F87" s="7" t="s">
        <v>589</v>
      </c>
      <c r="G87" s="7" t="s">
        <v>613</v>
      </c>
      <c r="H87" s="7" t="s">
        <v>844</v>
      </c>
      <c r="I87" s="7" t="s">
        <v>812</v>
      </c>
      <c r="J87" s="7" t="s">
        <v>813</v>
      </c>
      <c r="K87" s="5" t="s">
        <v>10</v>
      </c>
      <c r="L87" s="5" t="s">
        <v>10</v>
      </c>
      <c r="M87" s="5" t="s">
        <v>10</v>
      </c>
      <c r="N87" s="5" t="s">
        <v>45</v>
      </c>
      <c r="O87" s="80" t="s">
        <v>56</v>
      </c>
      <c r="P87" s="101">
        <v>45963</v>
      </c>
      <c r="Q87" s="100">
        <f t="shared" si="18"/>
        <v>46328</v>
      </c>
      <c r="R87" s="7" t="s">
        <v>10</v>
      </c>
      <c r="S87" s="7" t="s">
        <v>3700</v>
      </c>
      <c r="T87" s="7">
        <v>0.1</v>
      </c>
      <c r="U87" s="7" t="s">
        <v>10</v>
      </c>
      <c r="V87" s="7">
        <f t="shared" si="19"/>
        <v>0.1</v>
      </c>
      <c r="W87" s="5" t="s">
        <v>10</v>
      </c>
      <c r="X87" s="5" t="s">
        <v>679</v>
      </c>
      <c r="Y87" s="48" t="str">
        <f t="shared" si="20"/>
        <v>A DEFINIR</v>
      </c>
      <c r="Z87" s="7" t="s">
        <v>56</v>
      </c>
      <c r="AA87" s="5">
        <v>11606678</v>
      </c>
      <c r="AB87" s="5" t="s">
        <v>4126</v>
      </c>
      <c r="AC87" s="5" t="s">
        <v>48</v>
      </c>
      <c r="AD87" s="5" t="s">
        <v>5530</v>
      </c>
      <c r="AE87" s="5" t="str">
        <f t="shared" ca="1" si="17"/>
        <v>NO PRAZO</v>
      </c>
      <c r="AF87" s="51"/>
    </row>
    <row r="88" spans="1:37" ht="30" customHeight="1" x14ac:dyDescent="0.25">
      <c r="A88" s="5" t="s">
        <v>816</v>
      </c>
      <c r="B88" s="5" t="s">
        <v>10</v>
      </c>
      <c r="C88" s="5" t="s">
        <v>5863</v>
      </c>
      <c r="D88" s="7" t="s">
        <v>670</v>
      </c>
      <c r="E88" s="7" t="s">
        <v>50</v>
      </c>
      <c r="F88" s="7" t="s">
        <v>589</v>
      </c>
      <c r="G88" s="7" t="s">
        <v>613</v>
      </c>
      <c r="H88" s="7" t="s">
        <v>817</v>
      </c>
      <c r="I88" s="7" t="s">
        <v>812</v>
      </c>
      <c r="J88" s="7" t="s">
        <v>813</v>
      </c>
      <c r="K88" s="5" t="s">
        <v>10</v>
      </c>
      <c r="L88" s="5" t="s">
        <v>10</v>
      </c>
      <c r="M88" s="5" t="s">
        <v>10</v>
      </c>
      <c r="N88" s="5" t="s">
        <v>45</v>
      </c>
      <c r="O88" s="80" t="s">
        <v>56</v>
      </c>
      <c r="P88" s="101">
        <v>45963</v>
      </c>
      <c r="Q88" s="100">
        <f t="shared" si="18"/>
        <v>46328</v>
      </c>
      <c r="R88" s="7" t="s">
        <v>1792</v>
      </c>
      <c r="S88" s="7" t="s">
        <v>3685</v>
      </c>
      <c r="T88" s="7">
        <v>0.2</v>
      </c>
      <c r="U88" s="7" t="s">
        <v>10</v>
      </c>
      <c r="V88" s="7">
        <f t="shared" si="19"/>
        <v>0.2</v>
      </c>
      <c r="W88" s="5" t="s">
        <v>10</v>
      </c>
      <c r="X88" s="5" t="s">
        <v>679</v>
      </c>
      <c r="Y88" s="48" t="str">
        <f t="shared" si="20"/>
        <v>A DEFINIR</v>
      </c>
      <c r="Z88" s="7" t="s">
        <v>56</v>
      </c>
      <c r="AA88" s="5">
        <v>11601947</v>
      </c>
      <c r="AB88" s="5" t="s">
        <v>3826</v>
      </c>
      <c r="AC88" s="5" t="s">
        <v>48</v>
      </c>
      <c r="AD88" s="5" t="s">
        <v>5530</v>
      </c>
      <c r="AE88" s="5" t="str">
        <f t="shared" ca="1" si="17"/>
        <v>NO PRAZO</v>
      </c>
      <c r="AF88" s="51"/>
    </row>
    <row r="89" spans="1:37" ht="30" customHeight="1" x14ac:dyDescent="0.3">
      <c r="A89" s="5" t="s">
        <v>818</v>
      </c>
      <c r="B89" s="5" t="s">
        <v>10</v>
      </c>
      <c r="C89" s="5" t="s">
        <v>5863</v>
      </c>
      <c r="D89" s="7" t="s">
        <v>670</v>
      </c>
      <c r="E89" s="7" t="s">
        <v>50</v>
      </c>
      <c r="F89" s="7" t="s">
        <v>589</v>
      </c>
      <c r="G89" s="7" t="s">
        <v>613</v>
      </c>
      <c r="H89" s="7" t="s">
        <v>819</v>
      </c>
      <c r="I89" s="7" t="s">
        <v>812</v>
      </c>
      <c r="J89" s="7" t="s">
        <v>813</v>
      </c>
      <c r="K89" s="5" t="s">
        <v>10</v>
      </c>
      <c r="L89" s="5" t="s">
        <v>10</v>
      </c>
      <c r="M89" s="5" t="s">
        <v>10</v>
      </c>
      <c r="N89" s="5" t="s">
        <v>45</v>
      </c>
      <c r="O89" s="80" t="s">
        <v>56</v>
      </c>
      <c r="P89" s="101">
        <v>45963</v>
      </c>
      <c r="Q89" s="100">
        <f t="shared" si="18"/>
        <v>46328</v>
      </c>
      <c r="R89" s="7" t="s">
        <v>2195</v>
      </c>
      <c r="S89" s="7" t="s">
        <v>3686</v>
      </c>
      <c r="T89" s="7">
        <v>0.2</v>
      </c>
      <c r="U89" s="7" t="s">
        <v>10</v>
      </c>
      <c r="V89" s="7">
        <f t="shared" si="19"/>
        <v>0.2</v>
      </c>
      <c r="W89" s="5" t="s">
        <v>10</v>
      </c>
      <c r="X89" s="5" t="s">
        <v>679</v>
      </c>
      <c r="Y89" s="48" t="str">
        <f t="shared" si="20"/>
        <v>A DEFINIR</v>
      </c>
      <c r="Z89" s="7" t="s">
        <v>56</v>
      </c>
      <c r="AA89" s="5">
        <v>11601948</v>
      </c>
      <c r="AB89" s="5" t="s">
        <v>3827</v>
      </c>
      <c r="AC89" s="5" t="s">
        <v>48</v>
      </c>
      <c r="AD89" s="5" t="s">
        <v>5530</v>
      </c>
      <c r="AE89" s="5" t="str">
        <f t="shared" ca="1" si="17"/>
        <v>NO PRAZO</v>
      </c>
      <c r="AF89" s="51"/>
      <c r="AG89" s="50"/>
      <c r="AH89" s="50"/>
      <c r="AI89" s="50"/>
      <c r="AJ89" s="50"/>
      <c r="AK89" s="50"/>
    </row>
    <row r="90" spans="1:37" ht="30" customHeight="1" x14ac:dyDescent="0.3">
      <c r="A90" s="5" t="s">
        <v>820</v>
      </c>
      <c r="B90" s="5" t="s">
        <v>10</v>
      </c>
      <c r="C90" s="5" t="s">
        <v>5863</v>
      </c>
      <c r="D90" s="7" t="s">
        <v>670</v>
      </c>
      <c r="E90" s="7" t="s">
        <v>50</v>
      </c>
      <c r="F90" s="7" t="s">
        <v>589</v>
      </c>
      <c r="G90" s="7" t="s">
        <v>613</v>
      </c>
      <c r="H90" s="7" t="s">
        <v>821</v>
      </c>
      <c r="I90" s="7" t="s">
        <v>812</v>
      </c>
      <c r="J90" s="7" t="s">
        <v>813</v>
      </c>
      <c r="K90" s="5" t="s">
        <v>10</v>
      </c>
      <c r="L90" s="5" t="s">
        <v>10</v>
      </c>
      <c r="M90" s="5" t="s">
        <v>10</v>
      </c>
      <c r="N90" s="5" t="s">
        <v>45</v>
      </c>
      <c r="O90" s="80" t="s">
        <v>56</v>
      </c>
      <c r="P90" s="101">
        <v>45963</v>
      </c>
      <c r="Q90" s="100">
        <f t="shared" si="18"/>
        <v>46328</v>
      </c>
      <c r="R90" s="7" t="s">
        <v>1793</v>
      </c>
      <c r="S90" s="7" t="s">
        <v>3687</v>
      </c>
      <c r="T90" s="7">
        <v>0.2</v>
      </c>
      <c r="U90" s="7" t="s">
        <v>10</v>
      </c>
      <c r="V90" s="7">
        <f t="shared" si="19"/>
        <v>0.2</v>
      </c>
      <c r="W90" s="5" t="s">
        <v>10</v>
      </c>
      <c r="X90" s="5" t="s">
        <v>679</v>
      </c>
      <c r="Y90" s="48" t="str">
        <f t="shared" si="20"/>
        <v>A DEFINIR</v>
      </c>
      <c r="Z90" s="7" t="s">
        <v>56</v>
      </c>
      <c r="AA90" s="5">
        <v>11601949</v>
      </c>
      <c r="AB90" s="5" t="s">
        <v>3828</v>
      </c>
      <c r="AC90" s="5" t="s">
        <v>48</v>
      </c>
      <c r="AD90" s="5" t="s">
        <v>5530</v>
      </c>
      <c r="AE90" s="5" t="str">
        <f t="shared" ca="1" si="17"/>
        <v>NO PRAZO</v>
      </c>
      <c r="AF90" s="51"/>
      <c r="AG90" s="50"/>
      <c r="AH90" s="50"/>
      <c r="AI90" s="50"/>
      <c r="AJ90" s="50"/>
      <c r="AK90" s="50"/>
    </row>
    <row r="91" spans="1:37" ht="30" customHeight="1" x14ac:dyDescent="0.3">
      <c r="A91" s="5" t="s">
        <v>822</v>
      </c>
      <c r="B91" s="5" t="s">
        <v>10</v>
      </c>
      <c r="C91" s="5" t="s">
        <v>5863</v>
      </c>
      <c r="D91" s="7" t="s">
        <v>670</v>
      </c>
      <c r="E91" s="7" t="s">
        <v>50</v>
      </c>
      <c r="F91" s="7" t="s">
        <v>589</v>
      </c>
      <c r="G91" s="7" t="s">
        <v>613</v>
      </c>
      <c r="H91" s="7" t="s">
        <v>823</v>
      </c>
      <c r="I91" s="7" t="s">
        <v>812</v>
      </c>
      <c r="J91" s="7" t="s">
        <v>813</v>
      </c>
      <c r="K91" s="5" t="s">
        <v>10</v>
      </c>
      <c r="L91" s="5" t="s">
        <v>10</v>
      </c>
      <c r="M91" s="5" t="s">
        <v>10</v>
      </c>
      <c r="N91" s="5" t="s">
        <v>45</v>
      </c>
      <c r="O91" s="80" t="s">
        <v>56</v>
      </c>
      <c r="P91" s="101">
        <v>45963</v>
      </c>
      <c r="Q91" s="100">
        <f t="shared" si="18"/>
        <v>46328</v>
      </c>
      <c r="R91" s="7" t="s">
        <v>1756</v>
      </c>
      <c r="S91" s="7" t="s">
        <v>3688</v>
      </c>
      <c r="T91" s="7">
        <v>0.2</v>
      </c>
      <c r="U91" s="7" t="s">
        <v>10</v>
      </c>
      <c r="V91" s="7">
        <f t="shared" si="19"/>
        <v>0.2</v>
      </c>
      <c r="W91" s="5" t="s">
        <v>10</v>
      </c>
      <c r="X91" s="5" t="s">
        <v>679</v>
      </c>
      <c r="Y91" s="48" t="str">
        <f t="shared" si="20"/>
        <v>A DEFINIR</v>
      </c>
      <c r="Z91" s="7" t="s">
        <v>56</v>
      </c>
      <c r="AA91" s="5">
        <v>11601950</v>
      </c>
      <c r="AB91" s="5" t="s">
        <v>3829</v>
      </c>
      <c r="AC91" s="5" t="s">
        <v>48</v>
      </c>
      <c r="AD91" s="5" t="s">
        <v>5530</v>
      </c>
      <c r="AE91" s="5" t="str">
        <f t="shared" ca="1" si="17"/>
        <v>NO PRAZO</v>
      </c>
      <c r="AF91" s="51"/>
      <c r="AG91" s="50"/>
      <c r="AH91" s="50"/>
      <c r="AI91" s="50"/>
      <c r="AJ91" s="50"/>
      <c r="AK91" s="50"/>
    </row>
    <row r="92" spans="1:37" ht="30" customHeight="1" x14ac:dyDescent="0.3">
      <c r="A92" s="5" t="s">
        <v>824</v>
      </c>
      <c r="B92" s="5" t="s">
        <v>10</v>
      </c>
      <c r="C92" s="5" t="s">
        <v>5863</v>
      </c>
      <c r="D92" s="7" t="s">
        <v>670</v>
      </c>
      <c r="E92" s="7" t="s">
        <v>50</v>
      </c>
      <c r="F92" s="7" t="s">
        <v>589</v>
      </c>
      <c r="G92" s="7" t="s">
        <v>613</v>
      </c>
      <c r="H92" s="7" t="s">
        <v>825</v>
      </c>
      <c r="I92" s="7" t="s">
        <v>812</v>
      </c>
      <c r="J92" s="7" t="s">
        <v>813</v>
      </c>
      <c r="K92" s="5" t="s">
        <v>10</v>
      </c>
      <c r="L92" s="5" t="s">
        <v>10</v>
      </c>
      <c r="M92" s="5" t="s">
        <v>10</v>
      </c>
      <c r="N92" s="5" t="s">
        <v>45</v>
      </c>
      <c r="O92" s="80" t="s">
        <v>56</v>
      </c>
      <c r="P92" s="101">
        <v>45963</v>
      </c>
      <c r="Q92" s="100">
        <f t="shared" si="18"/>
        <v>46328</v>
      </c>
      <c r="R92" s="7" t="s">
        <v>1757</v>
      </c>
      <c r="S92" s="7" t="s">
        <v>3689</v>
      </c>
      <c r="T92" s="7">
        <v>0.1</v>
      </c>
      <c r="U92" s="7" t="s">
        <v>10</v>
      </c>
      <c r="V92" s="7">
        <f t="shared" si="19"/>
        <v>0.1</v>
      </c>
      <c r="W92" s="5" t="s">
        <v>10</v>
      </c>
      <c r="X92" s="5" t="s">
        <v>679</v>
      </c>
      <c r="Y92" s="48" t="str">
        <f t="shared" si="20"/>
        <v>A DEFINIR</v>
      </c>
      <c r="Z92" s="7" t="s">
        <v>56</v>
      </c>
      <c r="AA92" s="5">
        <v>11601951</v>
      </c>
      <c r="AB92" s="5" t="s">
        <v>3830</v>
      </c>
      <c r="AC92" s="5" t="s">
        <v>48</v>
      </c>
      <c r="AD92" s="5" t="s">
        <v>5530</v>
      </c>
      <c r="AE92" s="5" t="str">
        <f t="shared" ca="1" si="17"/>
        <v>NO PRAZO</v>
      </c>
      <c r="AF92" s="51"/>
      <c r="AG92" s="50"/>
      <c r="AH92" s="50"/>
      <c r="AI92" s="50"/>
      <c r="AJ92" s="50"/>
      <c r="AK92" s="50"/>
    </row>
    <row r="93" spans="1:37" ht="30" customHeight="1" x14ac:dyDescent="0.3">
      <c r="A93" s="5" t="s">
        <v>3701</v>
      </c>
      <c r="B93" s="5" t="s">
        <v>10</v>
      </c>
      <c r="C93" s="5" t="s">
        <v>5863</v>
      </c>
      <c r="D93" s="7" t="s">
        <v>670</v>
      </c>
      <c r="E93" s="7" t="s">
        <v>50</v>
      </c>
      <c r="F93" s="7" t="s">
        <v>589</v>
      </c>
      <c r="G93" s="7" t="s">
        <v>613</v>
      </c>
      <c r="H93" s="7" t="s">
        <v>3702</v>
      </c>
      <c r="I93" s="7" t="s">
        <v>812</v>
      </c>
      <c r="J93" s="7" t="s">
        <v>813</v>
      </c>
      <c r="K93" s="5" t="s">
        <v>10</v>
      </c>
      <c r="L93" s="5" t="s">
        <v>10</v>
      </c>
      <c r="M93" s="5" t="s">
        <v>10</v>
      </c>
      <c r="N93" s="5" t="s">
        <v>45</v>
      </c>
      <c r="O93" s="80" t="s">
        <v>56</v>
      </c>
      <c r="P93" s="101">
        <v>45963</v>
      </c>
      <c r="Q93" s="100">
        <f t="shared" si="18"/>
        <v>46328</v>
      </c>
      <c r="R93" s="7" t="s">
        <v>3704</v>
      </c>
      <c r="S93" s="7" t="s">
        <v>3703</v>
      </c>
      <c r="T93" s="7">
        <v>0.1</v>
      </c>
      <c r="U93" s="7"/>
      <c r="V93" s="7">
        <f t="shared" si="19"/>
        <v>0.1</v>
      </c>
      <c r="W93" s="5" t="s">
        <v>10</v>
      </c>
      <c r="X93" s="5" t="s">
        <v>679</v>
      </c>
      <c r="Y93" s="48" t="str">
        <f t="shared" si="20"/>
        <v>A DEFINIR</v>
      </c>
      <c r="Z93" s="7" t="s">
        <v>56</v>
      </c>
      <c r="AA93" s="5">
        <v>11606679</v>
      </c>
      <c r="AB93" s="5" t="s">
        <v>4127</v>
      </c>
      <c r="AC93" s="5" t="s">
        <v>48</v>
      </c>
      <c r="AD93" s="5" t="s">
        <v>5530</v>
      </c>
      <c r="AE93" s="5" t="str">
        <f t="shared" ca="1" si="17"/>
        <v>NO PRAZO</v>
      </c>
      <c r="AF93" s="51"/>
      <c r="AG93" s="50"/>
      <c r="AH93" s="50"/>
      <c r="AI93" s="50"/>
      <c r="AJ93" s="50"/>
      <c r="AK93" s="50"/>
    </row>
    <row r="94" spans="1:37" ht="30" customHeight="1" x14ac:dyDescent="0.3">
      <c r="A94" s="5" t="s">
        <v>1751</v>
      </c>
      <c r="B94" s="5" t="s">
        <v>10</v>
      </c>
      <c r="C94" s="5" t="s">
        <v>5863</v>
      </c>
      <c r="D94" s="7" t="s">
        <v>670</v>
      </c>
      <c r="E94" s="7" t="s">
        <v>50</v>
      </c>
      <c r="F94" s="7" t="s">
        <v>589</v>
      </c>
      <c r="G94" s="7" t="s">
        <v>613</v>
      </c>
      <c r="H94" s="7" t="s">
        <v>3633</v>
      </c>
      <c r="I94" s="7" t="s">
        <v>812</v>
      </c>
      <c r="J94" s="7" t="s">
        <v>813</v>
      </c>
      <c r="K94" s="5" t="s">
        <v>10</v>
      </c>
      <c r="L94" s="5" t="s">
        <v>10</v>
      </c>
      <c r="M94" s="5" t="s">
        <v>10</v>
      </c>
      <c r="N94" s="5" t="s">
        <v>45</v>
      </c>
      <c r="O94" s="80" t="s">
        <v>56</v>
      </c>
      <c r="P94" s="101">
        <v>45963</v>
      </c>
      <c r="Q94" s="100">
        <f t="shared" si="18"/>
        <v>46328</v>
      </c>
      <c r="R94" s="7" t="s">
        <v>1760</v>
      </c>
      <c r="S94" s="7" t="s">
        <v>3690</v>
      </c>
      <c r="T94" s="7">
        <v>0.2</v>
      </c>
      <c r="U94" s="7"/>
      <c r="V94" s="7">
        <f t="shared" si="19"/>
        <v>0.2</v>
      </c>
      <c r="W94" s="5" t="s">
        <v>10</v>
      </c>
      <c r="X94" s="5" t="s">
        <v>679</v>
      </c>
      <c r="Y94" s="48" t="str">
        <f t="shared" si="20"/>
        <v>A DEFINIR</v>
      </c>
      <c r="Z94" s="7" t="s">
        <v>56</v>
      </c>
      <c r="AA94" s="5">
        <v>11601962</v>
      </c>
      <c r="AB94" s="5" t="s">
        <v>3831</v>
      </c>
      <c r="AC94" s="5" t="s">
        <v>48</v>
      </c>
      <c r="AD94" s="5" t="s">
        <v>5530</v>
      </c>
      <c r="AE94" s="5" t="str">
        <f t="shared" ca="1" si="17"/>
        <v>NO PRAZO</v>
      </c>
      <c r="AF94" s="51"/>
      <c r="AG94" s="50"/>
      <c r="AH94" s="50"/>
      <c r="AI94" s="50"/>
      <c r="AJ94" s="50"/>
      <c r="AK94" s="50"/>
    </row>
    <row r="95" spans="1:37" ht="30" customHeight="1" x14ac:dyDescent="0.3">
      <c r="A95" s="5" t="s">
        <v>826</v>
      </c>
      <c r="B95" s="5" t="s">
        <v>10</v>
      </c>
      <c r="C95" s="5" t="s">
        <v>5863</v>
      </c>
      <c r="D95" s="7" t="s">
        <v>670</v>
      </c>
      <c r="E95" s="7" t="s">
        <v>50</v>
      </c>
      <c r="F95" s="7" t="s">
        <v>589</v>
      </c>
      <c r="G95" s="7" t="s">
        <v>613</v>
      </c>
      <c r="H95" s="7" t="s">
        <v>827</v>
      </c>
      <c r="I95" s="7" t="s">
        <v>812</v>
      </c>
      <c r="J95" s="7" t="s">
        <v>813</v>
      </c>
      <c r="K95" s="5" t="s">
        <v>10</v>
      </c>
      <c r="L95" s="5" t="s">
        <v>10</v>
      </c>
      <c r="M95" s="5" t="s">
        <v>10</v>
      </c>
      <c r="N95" s="5" t="s">
        <v>45</v>
      </c>
      <c r="O95" s="80" t="s">
        <v>56</v>
      </c>
      <c r="P95" s="101">
        <v>45963</v>
      </c>
      <c r="Q95" s="100">
        <f t="shared" si="18"/>
        <v>46328</v>
      </c>
      <c r="R95" s="7" t="s">
        <v>1758</v>
      </c>
      <c r="S95" s="7" t="s">
        <v>3691</v>
      </c>
      <c r="T95" s="7">
        <v>0.2</v>
      </c>
      <c r="U95" s="7" t="s">
        <v>10</v>
      </c>
      <c r="V95" s="7">
        <f t="shared" si="19"/>
        <v>0.2</v>
      </c>
      <c r="W95" s="5" t="s">
        <v>10</v>
      </c>
      <c r="X95" s="5" t="s">
        <v>679</v>
      </c>
      <c r="Y95" s="48" t="str">
        <f t="shared" si="20"/>
        <v>A DEFINIR</v>
      </c>
      <c r="Z95" s="7" t="s">
        <v>56</v>
      </c>
      <c r="AA95" s="5">
        <v>11601953</v>
      </c>
      <c r="AB95" s="5" t="s">
        <v>3832</v>
      </c>
      <c r="AC95" s="5" t="s">
        <v>48</v>
      </c>
      <c r="AD95" s="5" t="s">
        <v>5530</v>
      </c>
      <c r="AE95" s="5" t="str">
        <f t="shared" ca="1" si="17"/>
        <v>NO PRAZO</v>
      </c>
      <c r="AF95" s="51"/>
      <c r="AG95" s="50"/>
      <c r="AH95" s="50"/>
      <c r="AI95" s="50"/>
      <c r="AJ95" s="50"/>
      <c r="AK95" s="50"/>
    </row>
    <row r="96" spans="1:37" ht="30" customHeight="1" x14ac:dyDescent="0.3">
      <c r="A96" s="5" t="s">
        <v>1752</v>
      </c>
      <c r="B96" s="5" t="s">
        <v>10</v>
      </c>
      <c r="C96" s="5" t="s">
        <v>5863</v>
      </c>
      <c r="D96" s="7" t="s">
        <v>670</v>
      </c>
      <c r="E96" s="7" t="s">
        <v>50</v>
      </c>
      <c r="F96" s="7" t="s">
        <v>589</v>
      </c>
      <c r="G96" s="7" t="s">
        <v>613</v>
      </c>
      <c r="H96" s="7" t="s">
        <v>852</v>
      </c>
      <c r="I96" s="7" t="s">
        <v>812</v>
      </c>
      <c r="J96" s="7" t="s">
        <v>813</v>
      </c>
      <c r="K96" s="5" t="s">
        <v>10</v>
      </c>
      <c r="L96" s="5" t="s">
        <v>10</v>
      </c>
      <c r="M96" s="5" t="s">
        <v>10</v>
      </c>
      <c r="N96" s="5" t="s">
        <v>45</v>
      </c>
      <c r="O96" s="80" t="s">
        <v>56</v>
      </c>
      <c r="P96" s="101">
        <v>45606</v>
      </c>
      <c r="Q96" s="100">
        <f t="shared" si="18"/>
        <v>45971</v>
      </c>
      <c r="R96" s="5" t="s">
        <v>1753</v>
      </c>
      <c r="S96" s="7" t="s">
        <v>1761</v>
      </c>
      <c r="T96" s="7">
        <v>0.1</v>
      </c>
      <c r="U96" s="7"/>
      <c r="V96" s="7">
        <f t="shared" si="19"/>
        <v>0.1</v>
      </c>
      <c r="W96" s="5" t="s">
        <v>10</v>
      </c>
      <c r="X96" s="5" t="s">
        <v>679</v>
      </c>
      <c r="Y96" s="48" t="str">
        <f t="shared" si="20"/>
        <v>A DEFINIR</v>
      </c>
      <c r="Z96" s="7" t="s">
        <v>56</v>
      </c>
      <c r="AA96" s="5">
        <v>11606033</v>
      </c>
      <c r="AB96" s="5" t="s">
        <v>3833</v>
      </c>
      <c r="AC96" s="5" t="s">
        <v>48</v>
      </c>
      <c r="AD96" s="5" t="s">
        <v>5530</v>
      </c>
      <c r="AE96" s="5" t="s">
        <v>3681</v>
      </c>
      <c r="AF96" s="53"/>
      <c r="AG96" s="50"/>
      <c r="AH96" s="50"/>
      <c r="AI96" s="50"/>
      <c r="AJ96" s="50"/>
      <c r="AK96" s="50"/>
    </row>
    <row r="97" spans="1:37" ht="30" customHeight="1" x14ac:dyDescent="0.3">
      <c r="A97" s="5" t="s">
        <v>828</v>
      </c>
      <c r="B97" s="5" t="s">
        <v>10</v>
      </c>
      <c r="C97" s="5" t="s">
        <v>5863</v>
      </c>
      <c r="D97" s="7" t="s">
        <v>670</v>
      </c>
      <c r="E97" s="7" t="s">
        <v>50</v>
      </c>
      <c r="F97" s="7" t="s">
        <v>589</v>
      </c>
      <c r="G97" s="7" t="s">
        <v>613</v>
      </c>
      <c r="H97" s="7" t="s">
        <v>829</v>
      </c>
      <c r="I97" s="7" t="s">
        <v>812</v>
      </c>
      <c r="J97" s="7" t="s">
        <v>813</v>
      </c>
      <c r="K97" s="5" t="s">
        <v>10</v>
      </c>
      <c r="L97" s="5" t="s">
        <v>10</v>
      </c>
      <c r="M97" s="5" t="s">
        <v>10</v>
      </c>
      <c r="N97" s="5" t="s">
        <v>45</v>
      </c>
      <c r="O97" s="80" t="s">
        <v>56</v>
      </c>
      <c r="P97" s="101">
        <v>45963</v>
      </c>
      <c r="Q97" s="100">
        <f t="shared" si="18"/>
        <v>46328</v>
      </c>
      <c r="R97" s="7" t="s">
        <v>1759</v>
      </c>
      <c r="S97" s="7" t="s">
        <v>3692</v>
      </c>
      <c r="T97" s="7">
        <v>0.2</v>
      </c>
      <c r="U97" s="7" t="s">
        <v>10</v>
      </c>
      <c r="V97" s="7">
        <f t="shared" si="19"/>
        <v>0.2</v>
      </c>
      <c r="W97" s="5" t="s">
        <v>10</v>
      </c>
      <c r="X97" s="5" t="s">
        <v>679</v>
      </c>
      <c r="Y97" s="48" t="str">
        <f t="shared" si="20"/>
        <v>A DEFINIR</v>
      </c>
      <c r="Z97" s="7" t="s">
        <v>56</v>
      </c>
      <c r="AA97" s="5">
        <v>11601954</v>
      </c>
      <c r="AB97" s="5" t="s">
        <v>3834</v>
      </c>
      <c r="AC97" s="5" t="s">
        <v>48</v>
      </c>
      <c r="AD97" s="5" t="s">
        <v>5530</v>
      </c>
      <c r="AE97" s="5" t="str">
        <f t="shared" ref="AE97:AE120" ca="1" si="21">IFERROR(IF(OR(AND(YEAR(Q97)=YEAR(TODAY()),MONTH(Q97)&gt;MONTH(TODAY())),(YEAR(Q97)&gt;YEAR(TODAY()))),$AK$4,IF(AND(YEAR(Q97)=YEAR(TODAY()),MONTH(Q97)=MONTH(TODAY())),$AK$5,IF(Q97="",$AK$6,$AK$7))),"-")</f>
        <v>NO PRAZO</v>
      </c>
      <c r="AF97" s="51"/>
      <c r="AG97" s="50"/>
      <c r="AH97" s="50"/>
      <c r="AI97" s="50"/>
      <c r="AJ97" s="50"/>
      <c r="AK97" s="50"/>
    </row>
    <row r="98" spans="1:37" ht="30" customHeight="1" x14ac:dyDescent="0.25">
      <c r="A98" s="5" t="s">
        <v>830</v>
      </c>
      <c r="B98" s="5" t="s">
        <v>10</v>
      </c>
      <c r="C98" s="5" t="s">
        <v>5863</v>
      </c>
      <c r="D98" s="7" t="s">
        <v>670</v>
      </c>
      <c r="E98" s="7" t="s">
        <v>50</v>
      </c>
      <c r="F98" s="7" t="s">
        <v>589</v>
      </c>
      <c r="G98" s="7" t="s">
        <v>613</v>
      </c>
      <c r="H98" s="7" t="s">
        <v>831</v>
      </c>
      <c r="I98" s="7" t="s">
        <v>812</v>
      </c>
      <c r="J98" s="7" t="s">
        <v>813</v>
      </c>
      <c r="K98" s="5" t="s">
        <v>10</v>
      </c>
      <c r="L98" s="5" t="s">
        <v>10</v>
      </c>
      <c r="M98" s="5" t="s">
        <v>10</v>
      </c>
      <c r="N98" s="5" t="s">
        <v>45</v>
      </c>
      <c r="O98" s="80" t="s">
        <v>56</v>
      </c>
      <c r="P98" s="101">
        <v>45963</v>
      </c>
      <c r="Q98" s="100">
        <f t="shared" si="18"/>
        <v>46328</v>
      </c>
      <c r="R98" s="7" t="s">
        <v>1762</v>
      </c>
      <c r="S98" s="7" t="s">
        <v>3755</v>
      </c>
      <c r="T98" s="7">
        <v>0.3</v>
      </c>
      <c r="U98" s="7" t="s">
        <v>10</v>
      </c>
      <c r="V98" s="7">
        <f t="shared" si="19"/>
        <v>0.3</v>
      </c>
      <c r="W98" s="5" t="s">
        <v>10</v>
      </c>
      <c r="X98" s="5" t="s">
        <v>679</v>
      </c>
      <c r="Y98" s="48" t="str">
        <f t="shared" si="20"/>
        <v>A DEFINIR</v>
      </c>
      <c r="Z98" s="7" t="s">
        <v>56</v>
      </c>
      <c r="AA98" s="5">
        <v>11601955</v>
      </c>
      <c r="AB98" s="5" t="s">
        <v>3835</v>
      </c>
      <c r="AC98" s="5" t="s">
        <v>48</v>
      </c>
      <c r="AD98" s="5" t="s">
        <v>5530</v>
      </c>
      <c r="AE98" s="5" t="str">
        <f t="shared" ca="1" si="21"/>
        <v>NO PRAZO</v>
      </c>
      <c r="AF98" s="51"/>
    </row>
    <row r="99" spans="1:37" ht="30" customHeight="1" x14ac:dyDescent="0.25">
      <c r="A99" s="5" t="s">
        <v>832</v>
      </c>
      <c r="B99" s="5" t="s">
        <v>10</v>
      </c>
      <c r="C99" s="5" t="s">
        <v>5863</v>
      </c>
      <c r="D99" s="7" t="s">
        <v>670</v>
      </c>
      <c r="E99" s="7" t="s">
        <v>50</v>
      </c>
      <c r="F99" s="7" t="s">
        <v>589</v>
      </c>
      <c r="G99" s="7" t="s">
        <v>613</v>
      </c>
      <c r="H99" s="7" t="s">
        <v>833</v>
      </c>
      <c r="I99" s="7" t="s">
        <v>812</v>
      </c>
      <c r="J99" s="7" t="s">
        <v>813</v>
      </c>
      <c r="K99" s="5" t="s">
        <v>10</v>
      </c>
      <c r="L99" s="5" t="s">
        <v>10</v>
      </c>
      <c r="M99" s="5" t="s">
        <v>10</v>
      </c>
      <c r="N99" s="5" t="s">
        <v>45</v>
      </c>
      <c r="O99" s="80" t="s">
        <v>56</v>
      </c>
      <c r="P99" s="101">
        <v>45963</v>
      </c>
      <c r="Q99" s="100">
        <f t="shared" si="18"/>
        <v>46328</v>
      </c>
      <c r="R99" s="7" t="s">
        <v>1763</v>
      </c>
      <c r="S99" s="7" t="s">
        <v>3693</v>
      </c>
      <c r="T99" s="7">
        <v>0.2</v>
      </c>
      <c r="U99" s="7"/>
      <c r="V99" s="7">
        <f t="shared" si="19"/>
        <v>0.2</v>
      </c>
      <c r="W99" s="5" t="s">
        <v>10</v>
      </c>
      <c r="X99" s="5" t="s">
        <v>679</v>
      </c>
      <c r="Y99" s="48" t="str">
        <f t="shared" si="20"/>
        <v>A DEFINIR</v>
      </c>
      <c r="Z99" s="7" t="s">
        <v>56</v>
      </c>
      <c r="AA99" s="5">
        <v>11601956</v>
      </c>
      <c r="AB99" s="5" t="s">
        <v>3836</v>
      </c>
      <c r="AC99" s="5" t="s">
        <v>48</v>
      </c>
      <c r="AD99" s="5" t="s">
        <v>5530</v>
      </c>
      <c r="AE99" s="5" t="str">
        <f t="shared" ca="1" si="21"/>
        <v>NO PRAZO</v>
      </c>
      <c r="AF99" s="51"/>
    </row>
    <row r="100" spans="1:37" ht="30" customHeight="1" x14ac:dyDescent="0.3">
      <c r="A100" s="5" t="s">
        <v>834</v>
      </c>
      <c r="B100" s="5" t="s">
        <v>10</v>
      </c>
      <c r="C100" s="5" t="s">
        <v>5863</v>
      </c>
      <c r="D100" s="7" t="s">
        <v>670</v>
      </c>
      <c r="E100" s="7" t="s">
        <v>50</v>
      </c>
      <c r="F100" s="7" t="s">
        <v>589</v>
      </c>
      <c r="G100" s="7" t="s">
        <v>613</v>
      </c>
      <c r="H100" s="7" t="s">
        <v>835</v>
      </c>
      <c r="I100" s="7" t="s">
        <v>812</v>
      </c>
      <c r="J100" s="7" t="s">
        <v>813</v>
      </c>
      <c r="K100" s="5" t="s">
        <v>10</v>
      </c>
      <c r="L100" s="5" t="s">
        <v>10</v>
      </c>
      <c r="M100" s="5" t="s">
        <v>10</v>
      </c>
      <c r="N100" s="5" t="s">
        <v>45</v>
      </c>
      <c r="O100" s="80" t="s">
        <v>56</v>
      </c>
      <c r="P100" s="101">
        <v>45963</v>
      </c>
      <c r="Q100" s="100">
        <f t="shared" si="18"/>
        <v>46328</v>
      </c>
      <c r="R100" s="7" t="s">
        <v>1764</v>
      </c>
      <c r="S100" s="7" t="s">
        <v>3694</v>
      </c>
      <c r="T100" s="7">
        <v>0.1</v>
      </c>
      <c r="U100" s="7" t="s">
        <v>10</v>
      </c>
      <c r="V100" s="7">
        <f t="shared" si="19"/>
        <v>0.1</v>
      </c>
      <c r="W100" s="5" t="s">
        <v>10</v>
      </c>
      <c r="X100" s="5" t="s">
        <v>679</v>
      </c>
      <c r="Y100" s="48" t="str">
        <f t="shared" si="20"/>
        <v>A DEFINIR</v>
      </c>
      <c r="Z100" s="7" t="s">
        <v>46</v>
      </c>
      <c r="AA100" s="5">
        <v>11601957</v>
      </c>
      <c r="AB100" s="5" t="s">
        <v>3837</v>
      </c>
      <c r="AC100" s="5" t="s">
        <v>48</v>
      </c>
      <c r="AD100" s="5" t="s">
        <v>5530</v>
      </c>
      <c r="AE100" s="5" t="str">
        <f t="shared" ca="1" si="21"/>
        <v>NO PRAZO</v>
      </c>
      <c r="AF100" s="51"/>
      <c r="AG100" s="50"/>
      <c r="AH100" s="50"/>
      <c r="AI100" s="50"/>
      <c r="AJ100" s="50"/>
      <c r="AK100" s="50"/>
    </row>
    <row r="101" spans="1:37" ht="30" customHeight="1" x14ac:dyDescent="0.3">
      <c r="A101" s="5" t="s">
        <v>3682</v>
      </c>
      <c r="B101" s="5" t="s">
        <v>10</v>
      </c>
      <c r="C101" s="5" t="s">
        <v>5863</v>
      </c>
      <c r="D101" s="7" t="s">
        <v>670</v>
      </c>
      <c r="E101" s="7" t="s">
        <v>50</v>
      </c>
      <c r="F101" s="7" t="s">
        <v>589</v>
      </c>
      <c r="G101" s="7" t="s">
        <v>613</v>
      </c>
      <c r="H101" s="7" t="s">
        <v>836</v>
      </c>
      <c r="I101" s="7" t="s">
        <v>812</v>
      </c>
      <c r="J101" s="7" t="s">
        <v>813</v>
      </c>
      <c r="K101" s="5" t="s">
        <v>10</v>
      </c>
      <c r="L101" s="5" t="s">
        <v>10</v>
      </c>
      <c r="M101" s="5" t="s">
        <v>10</v>
      </c>
      <c r="N101" s="5" t="s">
        <v>45</v>
      </c>
      <c r="O101" s="80" t="s">
        <v>56</v>
      </c>
      <c r="P101" s="101">
        <v>45963</v>
      </c>
      <c r="Q101" s="100">
        <f t="shared" si="18"/>
        <v>46328</v>
      </c>
      <c r="R101" s="7" t="s">
        <v>3698</v>
      </c>
      <c r="S101" s="7" t="s">
        <v>3695</v>
      </c>
      <c r="T101" s="7">
        <v>0.1</v>
      </c>
      <c r="U101" s="7" t="s">
        <v>10</v>
      </c>
      <c r="V101" s="7">
        <f t="shared" si="19"/>
        <v>0.1</v>
      </c>
      <c r="W101" s="5" t="s">
        <v>10</v>
      </c>
      <c r="X101" s="5" t="s">
        <v>679</v>
      </c>
      <c r="Y101" s="48" t="str">
        <f t="shared" si="20"/>
        <v>A DEFINIR</v>
      </c>
      <c r="Z101" s="7" t="s">
        <v>46</v>
      </c>
      <c r="AA101" s="5">
        <v>11606680</v>
      </c>
      <c r="AB101" s="5" t="s">
        <v>4128</v>
      </c>
      <c r="AC101" s="5" t="s">
        <v>48</v>
      </c>
      <c r="AD101" s="5" t="s">
        <v>5530</v>
      </c>
      <c r="AE101" s="5" t="str">
        <f t="shared" ca="1" si="21"/>
        <v>NO PRAZO</v>
      </c>
      <c r="AF101" s="51"/>
      <c r="AG101" s="50"/>
      <c r="AH101" s="50"/>
      <c r="AI101" s="50"/>
      <c r="AJ101" s="50"/>
      <c r="AK101" s="50"/>
    </row>
    <row r="102" spans="1:37" ht="30" customHeight="1" x14ac:dyDescent="0.3">
      <c r="A102" s="5" t="s">
        <v>838</v>
      </c>
      <c r="B102" s="5" t="s">
        <v>10</v>
      </c>
      <c r="C102" s="5" t="s">
        <v>5863</v>
      </c>
      <c r="D102" s="7" t="s">
        <v>670</v>
      </c>
      <c r="E102" s="7" t="s">
        <v>50</v>
      </c>
      <c r="F102" s="7" t="s">
        <v>589</v>
      </c>
      <c r="G102" s="7" t="s">
        <v>613</v>
      </c>
      <c r="H102" s="7" t="s">
        <v>839</v>
      </c>
      <c r="I102" s="7" t="s">
        <v>812</v>
      </c>
      <c r="J102" s="7" t="s">
        <v>813</v>
      </c>
      <c r="K102" s="5" t="s">
        <v>10</v>
      </c>
      <c r="L102" s="5" t="s">
        <v>10</v>
      </c>
      <c r="M102" s="5" t="s">
        <v>10</v>
      </c>
      <c r="N102" s="5" t="s">
        <v>45</v>
      </c>
      <c r="O102" s="80" t="s">
        <v>56</v>
      </c>
      <c r="P102" s="101">
        <v>45963</v>
      </c>
      <c r="Q102" s="100">
        <f t="shared" si="18"/>
        <v>46328</v>
      </c>
      <c r="R102" s="7" t="s">
        <v>1765</v>
      </c>
      <c r="S102" s="7" t="s">
        <v>3696</v>
      </c>
      <c r="T102" s="7">
        <v>0.1</v>
      </c>
      <c r="U102" s="7" t="s">
        <v>10</v>
      </c>
      <c r="V102" s="7">
        <f t="shared" si="19"/>
        <v>0.1</v>
      </c>
      <c r="W102" s="5" t="s">
        <v>10</v>
      </c>
      <c r="X102" s="5" t="s">
        <v>679</v>
      </c>
      <c r="Y102" s="48" t="str">
        <f t="shared" si="20"/>
        <v>A DEFINIR</v>
      </c>
      <c r="Z102" s="7" t="s">
        <v>46</v>
      </c>
      <c r="AA102" s="5">
        <v>11601960</v>
      </c>
      <c r="AB102" s="5" t="s">
        <v>3838</v>
      </c>
      <c r="AC102" s="5" t="s">
        <v>48</v>
      </c>
      <c r="AD102" s="5" t="s">
        <v>5530</v>
      </c>
      <c r="AE102" s="5" t="str">
        <f t="shared" ca="1" si="21"/>
        <v>NO PRAZO</v>
      </c>
      <c r="AF102" s="51"/>
      <c r="AG102" s="50"/>
      <c r="AH102" s="50"/>
      <c r="AI102" s="50"/>
      <c r="AJ102" s="50"/>
      <c r="AK102" s="50"/>
    </row>
    <row r="103" spans="1:37" ht="30" customHeight="1" x14ac:dyDescent="0.3">
      <c r="A103" s="5" t="s">
        <v>840</v>
      </c>
      <c r="B103" s="5" t="s">
        <v>10</v>
      </c>
      <c r="C103" s="5" t="s">
        <v>5863</v>
      </c>
      <c r="D103" s="7" t="s">
        <v>670</v>
      </c>
      <c r="E103" s="7" t="s">
        <v>50</v>
      </c>
      <c r="F103" s="7" t="s">
        <v>589</v>
      </c>
      <c r="G103" s="7" t="s">
        <v>613</v>
      </c>
      <c r="H103" s="7" t="s">
        <v>841</v>
      </c>
      <c r="I103" s="7" t="s">
        <v>812</v>
      </c>
      <c r="J103" s="7" t="s">
        <v>813</v>
      </c>
      <c r="K103" s="5" t="s">
        <v>10</v>
      </c>
      <c r="L103" s="5" t="s">
        <v>10</v>
      </c>
      <c r="M103" s="5" t="s">
        <v>10</v>
      </c>
      <c r="N103" s="5" t="s">
        <v>45</v>
      </c>
      <c r="O103" s="80" t="s">
        <v>56</v>
      </c>
      <c r="P103" s="101">
        <v>45963</v>
      </c>
      <c r="Q103" s="100">
        <f t="shared" si="18"/>
        <v>46328</v>
      </c>
      <c r="R103" s="7" t="s">
        <v>1766</v>
      </c>
      <c r="S103" s="7" t="s">
        <v>3697</v>
      </c>
      <c r="T103" s="7">
        <v>0.2</v>
      </c>
      <c r="U103" s="7" t="s">
        <v>10</v>
      </c>
      <c r="V103" s="7">
        <f t="shared" si="19"/>
        <v>0.2</v>
      </c>
      <c r="W103" s="5" t="s">
        <v>10</v>
      </c>
      <c r="X103" s="5" t="s">
        <v>679</v>
      </c>
      <c r="Y103" s="48" t="str">
        <f t="shared" si="20"/>
        <v>A DEFINIR</v>
      </c>
      <c r="Z103" s="7" t="s">
        <v>56</v>
      </c>
      <c r="AA103" s="5">
        <v>11601961</v>
      </c>
      <c r="AB103" s="5" t="s">
        <v>3839</v>
      </c>
      <c r="AC103" s="5" t="s">
        <v>48</v>
      </c>
      <c r="AD103" s="5" t="s">
        <v>5530</v>
      </c>
      <c r="AE103" s="5" t="str">
        <f t="shared" ca="1" si="21"/>
        <v>NO PRAZO</v>
      </c>
      <c r="AF103" s="51"/>
      <c r="AG103" s="50"/>
      <c r="AH103" s="50"/>
      <c r="AI103" s="50"/>
      <c r="AJ103" s="50"/>
      <c r="AK103" s="50"/>
    </row>
    <row r="104" spans="1:37" ht="30" customHeight="1" x14ac:dyDescent="0.3">
      <c r="A104" s="5" t="s">
        <v>842</v>
      </c>
      <c r="B104" s="5" t="s">
        <v>10</v>
      </c>
      <c r="C104" s="5" t="s">
        <v>5863</v>
      </c>
      <c r="D104" s="7" t="s">
        <v>670</v>
      </c>
      <c r="E104" s="7" t="s">
        <v>50</v>
      </c>
      <c r="F104" s="7" t="s">
        <v>589</v>
      </c>
      <c r="G104" s="7" t="s">
        <v>616</v>
      </c>
      <c r="H104" s="7" t="s">
        <v>811</v>
      </c>
      <c r="I104" s="7" t="s">
        <v>812</v>
      </c>
      <c r="J104" s="7" t="s">
        <v>813</v>
      </c>
      <c r="K104" s="5" t="s">
        <v>10</v>
      </c>
      <c r="L104" s="5" t="s">
        <v>10</v>
      </c>
      <c r="M104" s="5" t="s">
        <v>10</v>
      </c>
      <c r="N104" s="5" t="s">
        <v>45</v>
      </c>
      <c r="O104" s="80" t="s">
        <v>56</v>
      </c>
      <c r="P104" s="101">
        <v>45963</v>
      </c>
      <c r="Q104" s="100">
        <f t="shared" si="18"/>
        <v>46328</v>
      </c>
      <c r="R104" s="5" t="s">
        <v>1767</v>
      </c>
      <c r="S104" s="5" t="s">
        <v>3705</v>
      </c>
      <c r="T104" s="7">
        <v>0.2</v>
      </c>
      <c r="U104" s="7" t="s">
        <v>10</v>
      </c>
      <c r="V104" s="7">
        <f t="shared" si="19"/>
        <v>0.2</v>
      </c>
      <c r="W104" s="5" t="s">
        <v>10</v>
      </c>
      <c r="X104" s="5" t="s">
        <v>679</v>
      </c>
      <c r="Y104" s="48" t="str">
        <f t="shared" si="20"/>
        <v>A DEFINIR</v>
      </c>
      <c r="Z104" s="7" t="s">
        <v>56</v>
      </c>
      <c r="AA104" s="5">
        <v>11601963</v>
      </c>
      <c r="AB104" s="5" t="s">
        <v>3840</v>
      </c>
      <c r="AC104" s="5" t="s">
        <v>48</v>
      </c>
      <c r="AD104" s="5" t="s">
        <v>5530</v>
      </c>
      <c r="AE104" s="5" t="str">
        <f t="shared" ca="1" si="21"/>
        <v>NO PRAZO</v>
      </c>
      <c r="AF104" s="51"/>
      <c r="AG104" s="50"/>
      <c r="AH104" s="50"/>
      <c r="AI104" s="50"/>
      <c r="AJ104" s="50"/>
      <c r="AK104" s="50"/>
    </row>
    <row r="105" spans="1:37" ht="30" customHeight="1" x14ac:dyDescent="0.25">
      <c r="A105" s="5" t="s">
        <v>3720</v>
      </c>
      <c r="B105" s="5" t="s">
        <v>10</v>
      </c>
      <c r="C105" s="5" t="s">
        <v>5863</v>
      </c>
      <c r="D105" s="7" t="s">
        <v>670</v>
      </c>
      <c r="E105" s="7" t="s">
        <v>50</v>
      </c>
      <c r="F105" s="7" t="s">
        <v>589</v>
      </c>
      <c r="G105" s="7" t="s">
        <v>616</v>
      </c>
      <c r="H105" s="7" t="s">
        <v>815</v>
      </c>
      <c r="I105" s="7" t="s">
        <v>812</v>
      </c>
      <c r="J105" s="7" t="s">
        <v>813</v>
      </c>
      <c r="K105" s="5" t="s">
        <v>10</v>
      </c>
      <c r="L105" s="5" t="s">
        <v>10</v>
      </c>
      <c r="M105" s="5" t="s">
        <v>10</v>
      </c>
      <c r="N105" s="5" t="s">
        <v>45</v>
      </c>
      <c r="O105" s="80" t="s">
        <v>56</v>
      </c>
      <c r="P105" s="101">
        <v>45963</v>
      </c>
      <c r="Q105" s="100">
        <f t="shared" si="18"/>
        <v>46328</v>
      </c>
      <c r="R105" s="5" t="s">
        <v>3722</v>
      </c>
      <c r="S105" s="5" t="s">
        <v>3721</v>
      </c>
      <c r="T105" s="7">
        <v>0.1</v>
      </c>
      <c r="U105" s="7" t="s">
        <v>10</v>
      </c>
      <c r="V105" s="7">
        <f t="shared" si="19"/>
        <v>0.1</v>
      </c>
      <c r="W105" s="5" t="s">
        <v>10</v>
      </c>
      <c r="X105" s="5" t="s">
        <v>679</v>
      </c>
      <c r="Y105" s="48" t="str">
        <f t="shared" si="20"/>
        <v>A DEFINIR</v>
      </c>
      <c r="Z105" s="7" t="s">
        <v>56</v>
      </c>
      <c r="AA105" s="5">
        <v>11606681</v>
      </c>
      <c r="AB105" s="5" t="s">
        <v>4129</v>
      </c>
      <c r="AC105" s="5" t="s">
        <v>48</v>
      </c>
      <c r="AD105" s="5" t="s">
        <v>5530</v>
      </c>
      <c r="AE105" s="5" t="str">
        <f t="shared" ca="1" si="21"/>
        <v>NO PRAZO</v>
      </c>
      <c r="AF105" s="51"/>
    </row>
    <row r="106" spans="1:37" ht="30" customHeight="1" x14ac:dyDescent="0.25">
      <c r="A106" s="5" t="s">
        <v>843</v>
      </c>
      <c r="B106" s="5" t="s">
        <v>10</v>
      </c>
      <c r="C106" s="5" t="s">
        <v>5863</v>
      </c>
      <c r="D106" s="7" t="s">
        <v>670</v>
      </c>
      <c r="E106" s="7" t="s">
        <v>50</v>
      </c>
      <c r="F106" s="7" t="s">
        <v>589</v>
      </c>
      <c r="G106" s="7" t="s">
        <v>616</v>
      </c>
      <c r="H106" s="7" t="s">
        <v>844</v>
      </c>
      <c r="I106" s="7" t="s">
        <v>812</v>
      </c>
      <c r="J106" s="7" t="s">
        <v>813</v>
      </c>
      <c r="K106" s="5" t="s">
        <v>10</v>
      </c>
      <c r="L106" s="5" t="s">
        <v>10</v>
      </c>
      <c r="M106" s="5" t="s">
        <v>10</v>
      </c>
      <c r="N106" s="5" t="s">
        <v>45</v>
      </c>
      <c r="O106" s="80" t="s">
        <v>56</v>
      </c>
      <c r="P106" s="101">
        <v>45963</v>
      </c>
      <c r="Q106" s="100">
        <f t="shared" si="18"/>
        <v>46328</v>
      </c>
      <c r="R106" s="5" t="s">
        <v>1768</v>
      </c>
      <c r="S106" s="5" t="s">
        <v>3706</v>
      </c>
      <c r="T106" s="7">
        <v>0.2</v>
      </c>
      <c r="U106" s="7" t="s">
        <v>10</v>
      </c>
      <c r="V106" s="7">
        <f t="shared" si="19"/>
        <v>0.2</v>
      </c>
      <c r="W106" s="5" t="s">
        <v>10</v>
      </c>
      <c r="X106" s="5" t="s">
        <v>679</v>
      </c>
      <c r="Y106" s="48" t="str">
        <f t="shared" si="20"/>
        <v>A DEFINIR</v>
      </c>
      <c r="Z106" s="7" t="s">
        <v>56</v>
      </c>
      <c r="AA106" s="5">
        <v>11601965</v>
      </c>
      <c r="AB106" s="5" t="s">
        <v>3841</v>
      </c>
      <c r="AC106" s="5" t="s">
        <v>48</v>
      </c>
      <c r="AD106" s="5" t="s">
        <v>5530</v>
      </c>
      <c r="AE106" s="5" t="str">
        <f t="shared" ca="1" si="21"/>
        <v>NO PRAZO</v>
      </c>
      <c r="AF106" s="51"/>
    </row>
    <row r="107" spans="1:37" ht="30" customHeight="1" x14ac:dyDescent="0.25">
      <c r="A107" s="5" t="s">
        <v>845</v>
      </c>
      <c r="B107" s="5" t="s">
        <v>10</v>
      </c>
      <c r="C107" s="5" t="s">
        <v>5863</v>
      </c>
      <c r="D107" s="7" t="s">
        <v>670</v>
      </c>
      <c r="E107" s="7" t="s">
        <v>50</v>
      </c>
      <c r="F107" s="7" t="s">
        <v>589</v>
      </c>
      <c r="G107" s="7" t="s">
        <v>616</v>
      </c>
      <c r="H107" s="7" t="s">
        <v>817</v>
      </c>
      <c r="I107" s="7" t="s">
        <v>812</v>
      </c>
      <c r="J107" s="7" t="s">
        <v>813</v>
      </c>
      <c r="K107" s="5" t="s">
        <v>10</v>
      </c>
      <c r="L107" s="5" t="s">
        <v>10</v>
      </c>
      <c r="M107" s="5" t="s">
        <v>10</v>
      </c>
      <c r="N107" s="5" t="s">
        <v>45</v>
      </c>
      <c r="O107" s="80" t="s">
        <v>56</v>
      </c>
      <c r="P107" s="101">
        <v>45963</v>
      </c>
      <c r="Q107" s="100">
        <f t="shared" si="18"/>
        <v>46328</v>
      </c>
      <c r="R107" s="5" t="s">
        <v>1769</v>
      </c>
      <c r="S107" s="5" t="s">
        <v>3707</v>
      </c>
      <c r="T107" s="7">
        <v>0.3</v>
      </c>
      <c r="U107" s="7" t="s">
        <v>10</v>
      </c>
      <c r="V107" s="7">
        <f t="shared" si="19"/>
        <v>0.3</v>
      </c>
      <c r="W107" s="5" t="s">
        <v>10</v>
      </c>
      <c r="X107" s="5" t="s">
        <v>679</v>
      </c>
      <c r="Y107" s="48" t="str">
        <f t="shared" si="20"/>
        <v>A DEFINIR</v>
      </c>
      <c r="Z107" s="7" t="s">
        <v>56</v>
      </c>
      <c r="AA107" s="5">
        <v>11601966</v>
      </c>
      <c r="AB107" s="5" t="s">
        <v>3842</v>
      </c>
      <c r="AC107" s="5" t="s">
        <v>48</v>
      </c>
      <c r="AD107" s="5" t="s">
        <v>5530</v>
      </c>
      <c r="AE107" s="5" t="str">
        <f t="shared" ca="1" si="21"/>
        <v>NO PRAZO</v>
      </c>
      <c r="AF107" s="51"/>
    </row>
    <row r="108" spans="1:37" ht="30" customHeight="1" x14ac:dyDescent="0.25">
      <c r="A108" s="5" t="s">
        <v>846</v>
      </c>
      <c r="B108" s="5" t="s">
        <v>10</v>
      </c>
      <c r="C108" s="5" t="s">
        <v>5863</v>
      </c>
      <c r="D108" s="7" t="s">
        <v>670</v>
      </c>
      <c r="E108" s="7" t="s">
        <v>50</v>
      </c>
      <c r="F108" s="7" t="s">
        <v>589</v>
      </c>
      <c r="G108" s="7" t="s">
        <v>616</v>
      </c>
      <c r="H108" s="7" t="s">
        <v>819</v>
      </c>
      <c r="I108" s="7" t="s">
        <v>812</v>
      </c>
      <c r="J108" s="7" t="s">
        <v>813</v>
      </c>
      <c r="K108" s="5" t="s">
        <v>10</v>
      </c>
      <c r="L108" s="5" t="s">
        <v>10</v>
      </c>
      <c r="M108" s="5" t="s">
        <v>10</v>
      </c>
      <c r="N108" s="5" t="s">
        <v>45</v>
      </c>
      <c r="O108" s="80" t="s">
        <v>56</v>
      </c>
      <c r="P108" s="101">
        <v>45963</v>
      </c>
      <c r="Q108" s="100">
        <f t="shared" si="18"/>
        <v>46328</v>
      </c>
      <c r="R108" s="7" t="s">
        <v>1770</v>
      </c>
      <c r="S108" s="7" t="s">
        <v>3708</v>
      </c>
      <c r="T108" s="5">
        <v>0.1</v>
      </c>
      <c r="U108" s="5" t="s">
        <v>10</v>
      </c>
      <c r="V108" s="7">
        <f t="shared" si="19"/>
        <v>0.1</v>
      </c>
      <c r="W108" s="5" t="s">
        <v>10</v>
      </c>
      <c r="X108" s="5" t="s">
        <v>679</v>
      </c>
      <c r="Y108" s="48" t="str">
        <f t="shared" si="20"/>
        <v>A DEFINIR</v>
      </c>
      <c r="Z108" s="7" t="s">
        <v>56</v>
      </c>
      <c r="AA108" s="5">
        <v>11601967</v>
      </c>
      <c r="AB108" s="5" t="s">
        <v>3843</v>
      </c>
      <c r="AC108" s="5" t="s">
        <v>48</v>
      </c>
      <c r="AD108" s="5" t="s">
        <v>5530</v>
      </c>
      <c r="AE108" s="5" t="str">
        <f t="shared" ca="1" si="21"/>
        <v>NO PRAZO</v>
      </c>
      <c r="AF108" s="51"/>
    </row>
    <row r="109" spans="1:37" ht="30" customHeight="1" x14ac:dyDescent="0.25">
      <c r="A109" s="5" t="s">
        <v>847</v>
      </c>
      <c r="B109" s="5" t="s">
        <v>10</v>
      </c>
      <c r="C109" s="5" t="s">
        <v>5863</v>
      </c>
      <c r="D109" s="7" t="s">
        <v>670</v>
      </c>
      <c r="E109" s="7" t="s">
        <v>50</v>
      </c>
      <c r="F109" s="7" t="s">
        <v>589</v>
      </c>
      <c r="G109" s="7" t="s">
        <v>616</v>
      </c>
      <c r="H109" s="7" t="s">
        <v>821</v>
      </c>
      <c r="I109" s="7" t="s">
        <v>812</v>
      </c>
      <c r="J109" s="7" t="s">
        <v>813</v>
      </c>
      <c r="K109" s="5" t="s">
        <v>10</v>
      </c>
      <c r="L109" s="5" t="s">
        <v>10</v>
      </c>
      <c r="M109" s="5" t="s">
        <v>10</v>
      </c>
      <c r="N109" s="5" t="s">
        <v>45</v>
      </c>
      <c r="O109" s="80" t="s">
        <v>56</v>
      </c>
      <c r="P109" s="101">
        <v>45963</v>
      </c>
      <c r="Q109" s="100">
        <f t="shared" si="18"/>
        <v>46328</v>
      </c>
      <c r="R109" s="5" t="s">
        <v>1771</v>
      </c>
      <c r="S109" s="5" t="s">
        <v>3709</v>
      </c>
      <c r="T109" s="7">
        <v>0.2</v>
      </c>
      <c r="U109" s="7" t="s">
        <v>10</v>
      </c>
      <c r="V109" s="7">
        <f t="shared" si="19"/>
        <v>0.2</v>
      </c>
      <c r="W109" s="5" t="s">
        <v>10</v>
      </c>
      <c r="X109" s="5" t="s">
        <v>679</v>
      </c>
      <c r="Y109" s="48" t="str">
        <f t="shared" si="20"/>
        <v>A DEFINIR</v>
      </c>
      <c r="Z109" s="7" t="s">
        <v>56</v>
      </c>
      <c r="AA109" s="5">
        <v>11601968</v>
      </c>
      <c r="AB109" s="5" t="s">
        <v>3844</v>
      </c>
      <c r="AC109" s="5" t="s">
        <v>48</v>
      </c>
      <c r="AD109" s="5" t="s">
        <v>5530</v>
      </c>
      <c r="AE109" s="5" t="str">
        <f t="shared" ca="1" si="21"/>
        <v>NO PRAZO</v>
      </c>
      <c r="AF109" s="51"/>
    </row>
    <row r="110" spans="1:37" ht="30" customHeight="1" x14ac:dyDescent="0.25">
      <c r="A110" s="5" t="s">
        <v>848</v>
      </c>
      <c r="B110" s="5" t="s">
        <v>10</v>
      </c>
      <c r="C110" s="5" t="s">
        <v>5863</v>
      </c>
      <c r="D110" s="7" t="s">
        <v>670</v>
      </c>
      <c r="E110" s="7" t="s">
        <v>50</v>
      </c>
      <c r="F110" s="7" t="s">
        <v>589</v>
      </c>
      <c r="G110" s="7" t="s">
        <v>616</v>
      </c>
      <c r="H110" s="7" t="s">
        <v>823</v>
      </c>
      <c r="I110" s="7" t="s">
        <v>812</v>
      </c>
      <c r="J110" s="7" t="s">
        <v>813</v>
      </c>
      <c r="K110" s="5" t="s">
        <v>10</v>
      </c>
      <c r="L110" s="5" t="s">
        <v>10</v>
      </c>
      <c r="M110" s="5" t="s">
        <v>10</v>
      </c>
      <c r="N110" s="5" t="s">
        <v>45</v>
      </c>
      <c r="O110" s="80" t="s">
        <v>56</v>
      </c>
      <c r="P110" s="101">
        <v>45963</v>
      </c>
      <c r="Q110" s="100">
        <f t="shared" si="18"/>
        <v>46328</v>
      </c>
      <c r="R110" s="5" t="s">
        <v>1772</v>
      </c>
      <c r="S110" s="5" t="s">
        <v>3710</v>
      </c>
      <c r="T110" s="7">
        <v>0.2</v>
      </c>
      <c r="U110" s="7" t="s">
        <v>10</v>
      </c>
      <c r="V110" s="7">
        <f t="shared" si="19"/>
        <v>0.2</v>
      </c>
      <c r="W110" s="5" t="s">
        <v>10</v>
      </c>
      <c r="X110" s="5" t="s">
        <v>679</v>
      </c>
      <c r="Y110" s="48" t="str">
        <f t="shared" si="20"/>
        <v>A DEFINIR</v>
      </c>
      <c r="Z110" s="7" t="s">
        <v>56</v>
      </c>
      <c r="AA110" s="5">
        <v>11601969</v>
      </c>
      <c r="AB110" s="5" t="s">
        <v>3845</v>
      </c>
      <c r="AC110" s="5" t="s">
        <v>48</v>
      </c>
      <c r="AD110" s="5" t="s">
        <v>5530</v>
      </c>
      <c r="AE110" s="5" t="str">
        <f t="shared" ca="1" si="21"/>
        <v>NO PRAZO</v>
      </c>
      <c r="AF110" s="51"/>
    </row>
    <row r="111" spans="1:37" ht="30" customHeight="1" x14ac:dyDescent="0.25">
      <c r="A111" s="5" t="s">
        <v>849</v>
      </c>
      <c r="B111" s="5" t="s">
        <v>10</v>
      </c>
      <c r="C111" s="5" t="s">
        <v>5863</v>
      </c>
      <c r="D111" s="7" t="s">
        <v>670</v>
      </c>
      <c r="E111" s="7" t="s">
        <v>50</v>
      </c>
      <c r="F111" s="7" t="s">
        <v>589</v>
      </c>
      <c r="G111" s="7" t="s">
        <v>616</v>
      </c>
      <c r="H111" s="7" t="s">
        <v>825</v>
      </c>
      <c r="I111" s="7" t="s">
        <v>812</v>
      </c>
      <c r="J111" s="7" t="s">
        <v>813</v>
      </c>
      <c r="K111" s="5" t="s">
        <v>10</v>
      </c>
      <c r="L111" s="5" t="s">
        <v>10</v>
      </c>
      <c r="M111" s="5" t="s">
        <v>10</v>
      </c>
      <c r="N111" s="5" t="s">
        <v>45</v>
      </c>
      <c r="O111" s="80" t="s">
        <v>56</v>
      </c>
      <c r="P111" s="101">
        <v>45963</v>
      </c>
      <c r="Q111" s="100">
        <f t="shared" si="18"/>
        <v>46328</v>
      </c>
      <c r="R111" s="5" t="s">
        <v>1773</v>
      </c>
      <c r="S111" s="5" t="s">
        <v>3711</v>
      </c>
      <c r="T111" s="7">
        <v>0.3</v>
      </c>
      <c r="U111" s="7" t="s">
        <v>10</v>
      </c>
      <c r="V111" s="7">
        <f t="shared" si="19"/>
        <v>0.3</v>
      </c>
      <c r="W111" s="5" t="s">
        <v>10</v>
      </c>
      <c r="X111" s="5" t="s">
        <v>679</v>
      </c>
      <c r="Y111" s="48" t="str">
        <f t="shared" si="20"/>
        <v>A DEFINIR</v>
      </c>
      <c r="Z111" s="7" t="s">
        <v>56</v>
      </c>
      <c r="AA111" s="5">
        <v>11601970</v>
      </c>
      <c r="AB111" s="5" t="s">
        <v>3846</v>
      </c>
      <c r="AC111" s="5" t="s">
        <v>48</v>
      </c>
      <c r="AD111" s="5" t="s">
        <v>5530</v>
      </c>
      <c r="AE111" s="5" t="str">
        <f t="shared" ca="1" si="21"/>
        <v>NO PRAZO</v>
      </c>
      <c r="AF111" s="51"/>
    </row>
    <row r="112" spans="1:37" ht="30" customHeight="1" x14ac:dyDescent="0.25">
      <c r="A112" s="5" t="s">
        <v>3723</v>
      </c>
      <c r="B112" s="5" t="s">
        <v>10</v>
      </c>
      <c r="C112" s="5" t="s">
        <v>5863</v>
      </c>
      <c r="D112" s="7" t="s">
        <v>670</v>
      </c>
      <c r="E112" s="7" t="s">
        <v>50</v>
      </c>
      <c r="F112" s="7" t="s">
        <v>589</v>
      </c>
      <c r="G112" s="7" t="s">
        <v>616</v>
      </c>
      <c r="H112" s="7" t="s">
        <v>3702</v>
      </c>
      <c r="I112" s="7" t="s">
        <v>812</v>
      </c>
      <c r="J112" s="7" t="s">
        <v>813</v>
      </c>
      <c r="K112" s="5" t="s">
        <v>10</v>
      </c>
      <c r="L112" s="5" t="s">
        <v>10</v>
      </c>
      <c r="M112" s="5" t="s">
        <v>10</v>
      </c>
      <c r="N112" s="5" t="s">
        <v>45</v>
      </c>
      <c r="O112" s="80" t="s">
        <v>56</v>
      </c>
      <c r="P112" s="101">
        <v>45963</v>
      </c>
      <c r="Q112" s="100">
        <f t="shared" si="18"/>
        <v>46328</v>
      </c>
      <c r="R112" s="5" t="s">
        <v>3727</v>
      </c>
      <c r="S112" s="5" t="s">
        <v>3725</v>
      </c>
      <c r="T112" s="7">
        <v>0.1</v>
      </c>
      <c r="U112" s="7"/>
      <c r="V112" s="7">
        <f t="shared" si="19"/>
        <v>0.1</v>
      </c>
      <c r="W112" s="5" t="s">
        <v>10</v>
      </c>
      <c r="X112" s="5" t="s">
        <v>679</v>
      </c>
      <c r="Y112" s="48" t="str">
        <f t="shared" si="20"/>
        <v>A DEFINIR</v>
      </c>
      <c r="Z112" s="7" t="s">
        <v>56</v>
      </c>
      <c r="AA112" s="5">
        <v>11606682</v>
      </c>
      <c r="AB112" s="5" t="s">
        <v>4130</v>
      </c>
      <c r="AC112" s="5" t="s">
        <v>48</v>
      </c>
      <c r="AD112" s="5" t="s">
        <v>5530</v>
      </c>
      <c r="AE112" s="5" t="str">
        <f t="shared" ca="1" si="21"/>
        <v>NO PRAZO</v>
      </c>
      <c r="AF112" s="51"/>
    </row>
    <row r="113" spans="1:32" ht="30" customHeight="1" x14ac:dyDescent="0.25">
      <c r="A113" s="5" t="s">
        <v>3724</v>
      </c>
      <c r="B113" s="5" t="s">
        <v>10</v>
      </c>
      <c r="C113" s="5" t="s">
        <v>5863</v>
      </c>
      <c r="D113" s="7" t="s">
        <v>670</v>
      </c>
      <c r="E113" s="7" t="s">
        <v>50</v>
      </c>
      <c r="F113" s="7" t="s">
        <v>589</v>
      </c>
      <c r="G113" s="7" t="s">
        <v>616</v>
      </c>
      <c r="H113" s="7" t="s">
        <v>3633</v>
      </c>
      <c r="I113" s="7" t="s">
        <v>812</v>
      </c>
      <c r="J113" s="7" t="s">
        <v>813</v>
      </c>
      <c r="K113" s="5" t="s">
        <v>10</v>
      </c>
      <c r="L113" s="5" t="s">
        <v>10</v>
      </c>
      <c r="M113" s="5" t="s">
        <v>10</v>
      </c>
      <c r="N113" s="5" t="s">
        <v>45</v>
      </c>
      <c r="O113" s="80" t="s">
        <v>56</v>
      </c>
      <c r="P113" s="101">
        <v>45963</v>
      </c>
      <c r="Q113" s="100">
        <f t="shared" si="18"/>
        <v>46328</v>
      </c>
      <c r="R113" s="5" t="s">
        <v>10</v>
      </c>
      <c r="S113" s="5" t="s">
        <v>3726</v>
      </c>
      <c r="T113" s="7">
        <v>0.1</v>
      </c>
      <c r="U113" s="7"/>
      <c r="V113" s="7">
        <f t="shared" si="19"/>
        <v>0.1</v>
      </c>
      <c r="W113" s="5" t="s">
        <v>10</v>
      </c>
      <c r="X113" s="5" t="s">
        <v>679</v>
      </c>
      <c r="Y113" s="48" t="str">
        <f t="shared" si="20"/>
        <v>A DEFINIR</v>
      </c>
      <c r="Z113" s="7" t="s">
        <v>56</v>
      </c>
      <c r="AA113" s="5">
        <v>11606683</v>
      </c>
      <c r="AB113" s="5" t="s">
        <v>4131</v>
      </c>
      <c r="AC113" s="5" t="s">
        <v>48</v>
      </c>
      <c r="AD113" s="5" t="s">
        <v>5530</v>
      </c>
      <c r="AE113" s="5" t="str">
        <f t="shared" ca="1" si="21"/>
        <v>NO PRAZO</v>
      </c>
      <c r="AF113" s="51"/>
    </row>
    <row r="114" spans="1:32" ht="30" customHeight="1" x14ac:dyDescent="0.25">
      <c r="A114" s="5" t="s">
        <v>850</v>
      </c>
      <c r="B114" s="5" t="s">
        <v>10</v>
      </c>
      <c r="C114" s="5" t="s">
        <v>5863</v>
      </c>
      <c r="D114" s="7" t="s">
        <v>670</v>
      </c>
      <c r="E114" s="7" t="s">
        <v>50</v>
      </c>
      <c r="F114" s="7" t="s">
        <v>589</v>
      </c>
      <c r="G114" s="7" t="s">
        <v>616</v>
      </c>
      <c r="H114" s="7" t="s">
        <v>827</v>
      </c>
      <c r="I114" s="7" t="s">
        <v>812</v>
      </c>
      <c r="J114" s="7" t="s">
        <v>813</v>
      </c>
      <c r="K114" s="5" t="s">
        <v>10</v>
      </c>
      <c r="L114" s="5" t="s">
        <v>10</v>
      </c>
      <c r="M114" s="5" t="s">
        <v>10</v>
      </c>
      <c r="N114" s="5" t="s">
        <v>45</v>
      </c>
      <c r="O114" s="80" t="s">
        <v>56</v>
      </c>
      <c r="P114" s="101">
        <v>45963</v>
      </c>
      <c r="Q114" s="100">
        <f t="shared" si="18"/>
        <v>46328</v>
      </c>
      <c r="R114" s="5" t="s">
        <v>1774</v>
      </c>
      <c r="S114" s="5" t="s">
        <v>3712</v>
      </c>
      <c r="T114" s="7">
        <v>0.2</v>
      </c>
      <c r="U114" s="7"/>
      <c r="V114" s="7">
        <f t="shared" si="19"/>
        <v>0.2</v>
      </c>
      <c r="W114" s="5" t="s">
        <v>10</v>
      </c>
      <c r="X114" s="5" t="s">
        <v>679</v>
      </c>
      <c r="Y114" s="48" t="str">
        <f t="shared" si="20"/>
        <v>A DEFINIR</v>
      </c>
      <c r="Z114" s="7" t="s">
        <v>56</v>
      </c>
      <c r="AA114" s="5">
        <v>11601971</v>
      </c>
      <c r="AB114" s="5" t="s">
        <v>3847</v>
      </c>
      <c r="AC114" s="5" t="s">
        <v>48</v>
      </c>
      <c r="AD114" s="5" t="s">
        <v>5530</v>
      </c>
      <c r="AE114" s="5" t="str">
        <f t="shared" ca="1" si="21"/>
        <v>NO PRAZO</v>
      </c>
      <c r="AF114" s="51"/>
    </row>
    <row r="115" spans="1:32" ht="30" customHeight="1" x14ac:dyDescent="0.25">
      <c r="A115" s="5" t="s">
        <v>851</v>
      </c>
      <c r="B115" s="5" t="s">
        <v>10</v>
      </c>
      <c r="C115" s="5" t="s">
        <v>5863</v>
      </c>
      <c r="D115" s="7" t="s">
        <v>670</v>
      </c>
      <c r="E115" s="7" t="s">
        <v>50</v>
      </c>
      <c r="F115" s="7" t="s">
        <v>589</v>
      </c>
      <c r="G115" s="7" t="s">
        <v>616</v>
      </c>
      <c r="H115" s="7" t="s">
        <v>852</v>
      </c>
      <c r="I115" s="7" t="s">
        <v>812</v>
      </c>
      <c r="J115" s="7" t="s">
        <v>813</v>
      </c>
      <c r="K115" s="5" t="s">
        <v>10</v>
      </c>
      <c r="L115" s="5" t="s">
        <v>10</v>
      </c>
      <c r="M115" s="5" t="s">
        <v>10</v>
      </c>
      <c r="N115" s="5" t="s">
        <v>45</v>
      </c>
      <c r="O115" s="80" t="s">
        <v>56</v>
      </c>
      <c r="P115" s="101">
        <v>45963</v>
      </c>
      <c r="Q115" s="100">
        <f t="shared" si="18"/>
        <v>46328</v>
      </c>
      <c r="R115" s="5" t="s">
        <v>1775</v>
      </c>
      <c r="S115" s="5" t="s">
        <v>3713</v>
      </c>
      <c r="T115" s="7">
        <v>0.3</v>
      </c>
      <c r="U115" s="7" t="s">
        <v>10</v>
      </c>
      <c r="V115" s="7">
        <f t="shared" si="19"/>
        <v>0.3</v>
      </c>
      <c r="W115" s="5" t="s">
        <v>10</v>
      </c>
      <c r="X115" s="5" t="s">
        <v>679</v>
      </c>
      <c r="Y115" s="48" t="str">
        <f t="shared" si="20"/>
        <v>A DEFINIR</v>
      </c>
      <c r="Z115" s="7" t="s">
        <v>56</v>
      </c>
      <c r="AA115" s="5">
        <v>11601972</v>
      </c>
      <c r="AB115" s="5" t="s">
        <v>3848</v>
      </c>
      <c r="AC115" s="5" t="s">
        <v>48</v>
      </c>
      <c r="AD115" s="5" t="s">
        <v>5530</v>
      </c>
      <c r="AE115" s="5" t="str">
        <f t="shared" ca="1" si="21"/>
        <v>NO PRAZO</v>
      </c>
      <c r="AF115" s="51"/>
    </row>
    <row r="116" spans="1:32" ht="30" customHeight="1" x14ac:dyDescent="0.25">
      <c r="A116" s="5" t="s">
        <v>853</v>
      </c>
      <c r="B116" s="5" t="s">
        <v>10</v>
      </c>
      <c r="C116" s="5" t="s">
        <v>5863</v>
      </c>
      <c r="D116" s="7" t="s">
        <v>670</v>
      </c>
      <c r="E116" s="7" t="s">
        <v>50</v>
      </c>
      <c r="F116" s="7" t="s">
        <v>589</v>
      </c>
      <c r="G116" s="7" t="s">
        <v>616</v>
      </c>
      <c r="H116" s="7" t="s">
        <v>829</v>
      </c>
      <c r="I116" s="7" t="s">
        <v>812</v>
      </c>
      <c r="J116" s="7" t="s">
        <v>813</v>
      </c>
      <c r="K116" s="5" t="s">
        <v>10</v>
      </c>
      <c r="L116" s="5" t="s">
        <v>10</v>
      </c>
      <c r="M116" s="5" t="s">
        <v>10</v>
      </c>
      <c r="N116" s="5" t="s">
        <v>45</v>
      </c>
      <c r="O116" s="80" t="s">
        <v>56</v>
      </c>
      <c r="P116" s="101">
        <v>45963</v>
      </c>
      <c r="Q116" s="100">
        <f t="shared" si="18"/>
        <v>46328</v>
      </c>
      <c r="R116" s="5" t="s">
        <v>1776</v>
      </c>
      <c r="S116" s="5" t="s">
        <v>3714</v>
      </c>
      <c r="T116" s="7">
        <v>0.1</v>
      </c>
      <c r="U116" s="7" t="s">
        <v>10</v>
      </c>
      <c r="V116" s="7">
        <f t="shared" si="19"/>
        <v>0.1</v>
      </c>
      <c r="W116" s="5" t="s">
        <v>10</v>
      </c>
      <c r="X116" s="5" t="s">
        <v>679</v>
      </c>
      <c r="Y116" s="48" t="str">
        <f t="shared" si="20"/>
        <v>A DEFINIR</v>
      </c>
      <c r="Z116" s="7" t="s">
        <v>56</v>
      </c>
      <c r="AA116" s="5">
        <v>11601973</v>
      </c>
      <c r="AB116" s="5" t="s">
        <v>3849</v>
      </c>
      <c r="AC116" s="5" t="s">
        <v>48</v>
      </c>
      <c r="AD116" s="5" t="s">
        <v>5530</v>
      </c>
      <c r="AE116" s="5" t="str">
        <f t="shared" ca="1" si="21"/>
        <v>NO PRAZO</v>
      </c>
      <c r="AF116" s="51"/>
    </row>
    <row r="117" spans="1:32" ht="30" customHeight="1" x14ac:dyDescent="0.25">
      <c r="A117" s="5" t="s">
        <v>3728</v>
      </c>
      <c r="B117" s="5" t="s">
        <v>10</v>
      </c>
      <c r="C117" s="5" t="s">
        <v>5863</v>
      </c>
      <c r="D117" s="7" t="s">
        <v>670</v>
      </c>
      <c r="E117" s="7" t="s">
        <v>50</v>
      </c>
      <c r="F117" s="7" t="s">
        <v>589</v>
      </c>
      <c r="G117" s="7" t="s">
        <v>616</v>
      </c>
      <c r="H117" s="7" t="s">
        <v>831</v>
      </c>
      <c r="I117" s="7" t="s">
        <v>812</v>
      </c>
      <c r="J117" s="7" t="s">
        <v>813</v>
      </c>
      <c r="K117" s="5" t="s">
        <v>10</v>
      </c>
      <c r="L117" s="5" t="s">
        <v>10</v>
      </c>
      <c r="M117" s="5" t="s">
        <v>10</v>
      </c>
      <c r="N117" s="5" t="s">
        <v>45</v>
      </c>
      <c r="O117" s="80" t="s">
        <v>56</v>
      </c>
      <c r="P117" s="101">
        <v>45963</v>
      </c>
      <c r="Q117" s="100">
        <f t="shared" si="18"/>
        <v>46328</v>
      </c>
      <c r="R117" s="5" t="s">
        <v>10</v>
      </c>
      <c r="S117" s="5" t="s">
        <v>3729</v>
      </c>
      <c r="T117" s="7">
        <v>0.2</v>
      </c>
      <c r="U117" s="7" t="s">
        <v>10</v>
      </c>
      <c r="V117" s="7">
        <f t="shared" si="19"/>
        <v>0.2</v>
      </c>
      <c r="W117" s="5" t="s">
        <v>10</v>
      </c>
      <c r="X117" s="5" t="s">
        <v>679</v>
      </c>
      <c r="Y117" s="48" t="str">
        <f t="shared" si="20"/>
        <v>A DEFINIR</v>
      </c>
      <c r="Z117" s="7" t="s">
        <v>56</v>
      </c>
      <c r="AA117" s="5">
        <v>11606684</v>
      </c>
      <c r="AB117" s="5" t="s">
        <v>4132</v>
      </c>
      <c r="AC117" s="5" t="s">
        <v>48</v>
      </c>
      <c r="AD117" s="5" t="s">
        <v>5530</v>
      </c>
      <c r="AE117" s="5" t="str">
        <f t="shared" ca="1" si="21"/>
        <v>NO PRAZO</v>
      </c>
      <c r="AF117" s="51"/>
    </row>
    <row r="118" spans="1:32" ht="30" customHeight="1" x14ac:dyDescent="0.25">
      <c r="A118" s="5" t="s">
        <v>854</v>
      </c>
      <c r="B118" s="5" t="s">
        <v>10</v>
      </c>
      <c r="C118" s="5" t="s">
        <v>5863</v>
      </c>
      <c r="D118" s="7" t="s">
        <v>670</v>
      </c>
      <c r="E118" s="7" t="s">
        <v>50</v>
      </c>
      <c r="F118" s="7" t="s">
        <v>589</v>
      </c>
      <c r="G118" s="7" t="s">
        <v>616</v>
      </c>
      <c r="H118" s="7" t="s">
        <v>833</v>
      </c>
      <c r="I118" s="7" t="s">
        <v>812</v>
      </c>
      <c r="J118" s="7" t="s">
        <v>813</v>
      </c>
      <c r="K118" s="5" t="s">
        <v>10</v>
      </c>
      <c r="L118" s="5" t="s">
        <v>10</v>
      </c>
      <c r="M118" s="5" t="s">
        <v>10</v>
      </c>
      <c r="N118" s="5" t="s">
        <v>45</v>
      </c>
      <c r="O118" s="80" t="s">
        <v>56</v>
      </c>
      <c r="P118" s="101">
        <v>45963</v>
      </c>
      <c r="Q118" s="100">
        <f t="shared" si="18"/>
        <v>46328</v>
      </c>
      <c r="R118" s="5" t="s">
        <v>1777</v>
      </c>
      <c r="S118" s="5" t="s">
        <v>3715</v>
      </c>
      <c r="T118" s="7">
        <v>0.2</v>
      </c>
      <c r="U118" s="7" t="s">
        <v>10</v>
      </c>
      <c r="V118" s="7">
        <f t="shared" si="19"/>
        <v>0.2</v>
      </c>
      <c r="W118" s="5" t="s">
        <v>10</v>
      </c>
      <c r="X118" s="5" t="s">
        <v>679</v>
      </c>
      <c r="Y118" s="48" t="str">
        <f t="shared" si="20"/>
        <v>A DEFINIR</v>
      </c>
      <c r="Z118" s="7" t="s">
        <v>56</v>
      </c>
      <c r="AA118" s="5">
        <v>11601975</v>
      </c>
      <c r="AB118" s="5" t="s">
        <v>3850</v>
      </c>
      <c r="AC118" s="5" t="s">
        <v>48</v>
      </c>
      <c r="AD118" s="5" t="s">
        <v>5530</v>
      </c>
      <c r="AE118" s="5" t="str">
        <f t="shared" ca="1" si="21"/>
        <v>NO PRAZO</v>
      </c>
      <c r="AF118" s="51"/>
    </row>
    <row r="119" spans="1:32" ht="30" customHeight="1" x14ac:dyDescent="0.25">
      <c r="A119" s="5" t="s">
        <v>855</v>
      </c>
      <c r="B119" s="5" t="s">
        <v>10</v>
      </c>
      <c r="C119" s="5" t="s">
        <v>5863</v>
      </c>
      <c r="D119" s="7" t="s">
        <v>670</v>
      </c>
      <c r="E119" s="7" t="s">
        <v>50</v>
      </c>
      <c r="F119" s="7" t="s">
        <v>589</v>
      </c>
      <c r="G119" s="7" t="s">
        <v>616</v>
      </c>
      <c r="H119" s="7" t="s">
        <v>835</v>
      </c>
      <c r="I119" s="7" t="s">
        <v>812</v>
      </c>
      <c r="J119" s="7" t="s">
        <v>813</v>
      </c>
      <c r="K119" s="5" t="s">
        <v>10</v>
      </c>
      <c r="L119" s="5" t="s">
        <v>10</v>
      </c>
      <c r="M119" s="5" t="s">
        <v>10</v>
      </c>
      <c r="N119" s="5" t="s">
        <v>45</v>
      </c>
      <c r="O119" s="80" t="s">
        <v>56</v>
      </c>
      <c r="P119" s="101">
        <v>45963</v>
      </c>
      <c r="Q119" s="100">
        <f t="shared" si="18"/>
        <v>46328</v>
      </c>
      <c r="R119" s="5" t="s">
        <v>1778</v>
      </c>
      <c r="S119" s="5" t="s">
        <v>3716</v>
      </c>
      <c r="T119" s="7">
        <v>0.1</v>
      </c>
      <c r="U119" s="7" t="s">
        <v>10</v>
      </c>
      <c r="V119" s="7">
        <f t="shared" si="19"/>
        <v>0.1</v>
      </c>
      <c r="W119" s="5" t="s">
        <v>10</v>
      </c>
      <c r="X119" s="5" t="s">
        <v>679</v>
      </c>
      <c r="Y119" s="48" t="str">
        <f t="shared" si="20"/>
        <v>A DEFINIR</v>
      </c>
      <c r="Z119" s="7" t="s">
        <v>46</v>
      </c>
      <c r="AA119" s="5">
        <v>11601976</v>
      </c>
      <c r="AB119" s="5" t="s">
        <v>3851</v>
      </c>
      <c r="AC119" s="5" t="s">
        <v>48</v>
      </c>
      <c r="AD119" s="5" t="s">
        <v>5530</v>
      </c>
      <c r="AE119" s="5" t="str">
        <f t="shared" ca="1" si="21"/>
        <v>NO PRAZO</v>
      </c>
      <c r="AF119" s="51"/>
    </row>
    <row r="120" spans="1:32" ht="30" customHeight="1" x14ac:dyDescent="0.25">
      <c r="A120" s="5" t="s">
        <v>856</v>
      </c>
      <c r="B120" s="5" t="s">
        <v>10</v>
      </c>
      <c r="C120" s="5" t="s">
        <v>5863</v>
      </c>
      <c r="D120" s="7" t="s">
        <v>670</v>
      </c>
      <c r="E120" s="7" t="s">
        <v>50</v>
      </c>
      <c r="F120" s="7" t="s">
        <v>589</v>
      </c>
      <c r="G120" s="7" t="s">
        <v>616</v>
      </c>
      <c r="H120" s="7" t="s">
        <v>836</v>
      </c>
      <c r="I120" s="7" t="s">
        <v>812</v>
      </c>
      <c r="J120" s="7" t="s">
        <v>813</v>
      </c>
      <c r="K120" s="5" t="s">
        <v>10</v>
      </c>
      <c r="L120" s="5" t="s">
        <v>10</v>
      </c>
      <c r="M120" s="5" t="s">
        <v>10</v>
      </c>
      <c r="N120" s="5" t="s">
        <v>45</v>
      </c>
      <c r="O120" s="80" t="s">
        <v>56</v>
      </c>
      <c r="P120" s="101">
        <v>45963</v>
      </c>
      <c r="Q120" s="100">
        <f t="shared" si="18"/>
        <v>46328</v>
      </c>
      <c r="R120" s="5" t="s">
        <v>1782</v>
      </c>
      <c r="S120" s="5" t="s">
        <v>3717</v>
      </c>
      <c r="T120" s="7">
        <v>0.1</v>
      </c>
      <c r="U120" s="7" t="s">
        <v>10</v>
      </c>
      <c r="V120" s="7">
        <f t="shared" si="19"/>
        <v>0.1</v>
      </c>
      <c r="W120" s="5" t="s">
        <v>10</v>
      </c>
      <c r="X120" s="5" t="s">
        <v>679</v>
      </c>
      <c r="Y120" s="48" t="str">
        <f t="shared" si="20"/>
        <v>A DEFINIR</v>
      </c>
      <c r="Z120" s="7" t="s">
        <v>56</v>
      </c>
      <c r="AA120" s="5">
        <v>11601977</v>
      </c>
      <c r="AB120" s="5" t="s">
        <v>3852</v>
      </c>
      <c r="AC120" s="5" t="s">
        <v>48</v>
      </c>
      <c r="AD120" s="5" t="s">
        <v>5530</v>
      </c>
      <c r="AE120" s="5" t="str">
        <f t="shared" ca="1" si="21"/>
        <v>NO PRAZO</v>
      </c>
      <c r="AF120" s="51"/>
    </row>
    <row r="121" spans="1:32" ht="30" customHeight="1" x14ac:dyDescent="0.25">
      <c r="A121" s="5" t="s">
        <v>1780</v>
      </c>
      <c r="B121" s="5" t="s">
        <v>10</v>
      </c>
      <c r="C121" s="5" t="s">
        <v>5863</v>
      </c>
      <c r="D121" s="7" t="s">
        <v>670</v>
      </c>
      <c r="E121" s="7" t="s">
        <v>50</v>
      </c>
      <c r="F121" s="7" t="s">
        <v>589</v>
      </c>
      <c r="G121" s="7" t="s">
        <v>616</v>
      </c>
      <c r="H121" s="7" t="s">
        <v>837</v>
      </c>
      <c r="I121" s="7" t="s">
        <v>812</v>
      </c>
      <c r="J121" s="7" t="s">
        <v>813</v>
      </c>
      <c r="K121" s="5" t="s">
        <v>10</v>
      </c>
      <c r="L121" s="5" t="s">
        <v>10</v>
      </c>
      <c r="M121" s="5" t="s">
        <v>10</v>
      </c>
      <c r="N121" s="5" t="s">
        <v>45</v>
      </c>
      <c r="O121" s="80" t="s">
        <v>56</v>
      </c>
      <c r="P121" s="101">
        <v>45606</v>
      </c>
      <c r="Q121" s="100">
        <f t="shared" si="18"/>
        <v>45971</v>
      </c>
      <c r="R121" s="5" t="s">
        <v>1781</v>
      </c>
      <c r="S121" s="5" t="s">
        <v>1779</v>
      </c>
      <c r="T121" s="7">
        <v>0.1</v>
      </c>
      <c r="U121" s="7"/>
      <c r="V121" s="7">
        <f t="shared" si="19"/>
        <v>0.1</v>
      </c>
      <c r="W121" s="5" t="s">
        <v>10</v>
      </c>
      <c r="X121" s="5" t="s">
        <v>679</v>
      </c>
      <c r="Y121" s="48" t="str">
        <f t="shared" si="20"/>
        <v>A DEFINIR</v>
      </c>
      <c r="Z121" s="7" t="s">
        <v>56</v>
      </c>
      <c r="AA121" s="5">
        <v>11606034</v>
      </c>
      <c r="AB121" s="5" t="s">
        <v>3853</v>
      </c>
      <c r="AC121" s="5" t="s">
        <v>48</v>
      </c>
      <c r="AD121" s="5" t="s">
        <v>5530</v>
      </c>
      <c r="AE121" s="5" t="s">
        <v>3681</v>
      </c>
      <c r="AF121" s="53"/>
    </row>
    <row r="122" spans="1:32" ht="30" customHeight="1" x14ac:dyDescent="0.25">
      <c r="A122" s="5" t="s">
        <v>857</v>
      </c>
      <c r="B122" s="5" t="s">
        <v>10</v>
      </c>
      <c r="C122" s="5" t="s">
        <v>5863</v>
      </c>
      <c r="D122" s="7" t="s">
        <v>670</v>
      </c>
      <c r="E122" s="7" t="s">
        <v>50</v>
      </c>
      <c r="F122" s="7" t="s">
        <v>589</v>
      </c>
      <c r="G122" s="7" t="s">
        <v>616</v>
      </c>
      <c r="H122" s="7" t="s">
        <v>839</v>
      </c>
      <c r="I122" s="7" t="s">
        <v>812</v>
      </c>
      <c r="J122" s="7" t="s">
        <v>813</v>
      </c>
      <c r="K122" s="5" t="s">
        <v>10</v>
      </c>
      <c r="L122" s="5" t="s">
        <v>10</v>
      </c>
      <c r="M122" s="5" t="s">
        <v>10</v>
      </c>
      <c r="N122" s="5" t="s">
        <v>45</v>
      </c>
      <c r="O122" s="80" t="s">
        <v>56</v>
      </c>
      <c r="P122" s="101">
        <v>45963</v>
      </c>
      <c r="Q122" s="100">
        <f t="shared" si="18"/>
        <v>46328</v>
      </c>
      <c r="R122" s="5" t="s">
        <v>858</v>
      </c>
      <c r="S122" s="5" t="s">
        <v>3718</v>
      </c>
      <c r="T122" s="7">
        <v>0.2</v>
      </c>
      <c r="U122" s="7" t="s">
        <v>10</v>
      </c>
      <c r="V122" s="7">
        <f t="shared" si="19"/>
        <v>0.2</v>
      </c>
      <c r="W122" s="5" t="s">
        <v>10</v>
      </c>
      <c r="X122" s="5" t="s">
        <v>679</v>
      </c>
      <c r="Y122" s="48" t="str">
        <f t="shared" si="20"/>
        <v>A DEFINIR</v>
      </c>
      <c r="Z122" s="7" t="s">
        <v>56</v>
      </c>
      <c r="AA122" s="5">
        <v>11601978</v>
      </c>
      <c r="AB122" s="5" t="s">
        <v>3854</v>
      </c>
      <c r="AC122" s="5" t="s">
        <v>48</v>
      </c>
      <c r="AD122" s="5" t="s">
        <v>5530</v>
      </c>
      <c r="AE122" s="5" t="str">
        <f t="shared" ref="AE122:AE183" ca="1" si="22">IFERROR(IF(OR(AND(YEAR(Q122)=YEAR(TODAY()),MONTH(Q122)&gt;MONTH(TODAY())),(YEAR(Q122)&gt;YEAR(TODAY()))),$AK$4,IF(AND(YEAR(Q122)=YEAR(TODAY()),MONTH(Q122)=MONTH(TODAY())),$AK$5,IF(Q122="",$AK$6,$AK$7))),"-")</f>
        <v>NO PRAZO</v>
      </c>
      <c r="AF122" s="51"/>
    </row>
    <row r="123" spans="1:32" ht="30" customHeight="1" x14ac:dyDescent="0.25">
      <c r="A123" s="5" t="s">
        <v>859</v>
      </c>
      <c r="B123" s="5" t="s">
        <v>10</v>
      </c>
      <c r="C123" s="5" t="s">
        <v>5863</v>
      </c>
      <c r="D123" s="7" t="s">
        <v>670</v>
      </c>
      <c r="E123" s="7" t="s">
        <v>50</v>
      </c>
      <c r="F123" s="7" t="s">
        <v>589</v>
      </c>
      <c r="G123" s="7" t="s">
        <v>616</v>
      </c>
      <c r="H123" s="7" t="s">
        <v>841</v>
      </c>
      <c r="I123" s="7" t="s">
        <v>812</v>
      </c>
      <c r="J123" s="7" t="s">
        <v>813</v>
      </c>
      <c r="K123" s="5" t="s">
        <v>10</v>
      </c>
      <c r="L123" s="5" t="s">
        <v>10</v>
      </c>
      <c r="M123" s="5" t="s">
        <v>10</v>
      </c>
      <c r="N123" s="5" t="s">
        <v>45</v>
      </c>
      <c r="O123" s="80" t="s">
        <v>56</v>
      </c>
      <c r="P123" s="101">
        <v>45963</v>
      </c>
      <c r="Q123" s="100">
        <f t="shared" si="18"/>
        <v>46328</v>
      </c>
      <c r="R123" s="5" t="s">
        <v>1794</v>
      </c>
      <c r="S123" s="5" t="s">
        <v>3719</v>
      </c>
      <c r="T123" s="7">
        <v>0.1</v>
      </c>
      <c r="U123" s="7" t="s">
        <v>10</v>
      </c>
      <c r="V123" s="7">
        <f t="shared" si="19"/>
        <v>0.1</v>
      </c>
      <c r="W123" s="5" t="s">
        <v>10</v>
      </c>
      <c r="X123" s="5" t="s">
        <v>679</v>
      </c>
      <c r="Y123" s="48" t="str">
        <f t="shared" si="20"/>
        <v>A DEFINIR</v>
      </c>
      <c r="Z123" s="7" t="s">
        <v>56</v>
      </c>
      <c r="AA123" s="5">
        <v>11601979</v>
      </c>
      <c r="AB123" s="5" t="s">
        <v>3855</v>
      </c>
      <c r="AC123" s="5" t="s">
        <v>48</v>
      </c>
      <c r="AD123" s="5" t="s">
        <v>5530</v>
      </c>
      <c r="AE123" s="5" t="str">
        <f t="shared" ca="1" si="22"/>
        <v>NO PRAZO</v>
      </c>
      <c r="AF123" s="51"/>
    </row>
    <row r="124" spans="1:32" ht="30" customHeight="1" x14ac:dyDescent="0.25">
      <c r="A124" s="5" t="s">
        <v>861</v>
      </c>
      <c r="B124" s="5" t="s">
        <v>10</v>
      </c>
      <c r="C124" s="5" t="s">
        <v>5864</v>
      </c>
      <c r="D124" s="7" t="s">
        <v>862</v>
      </c>
      <c r="E124" s="7" t="s">
        <v>256</v>
      </c>
      <c r="F124" s="7" t="s">
        <v>257</v>
      </c>
      <c r="G124" s="7" t="s">
        <v>862</v>
      </c>
      <c r="H124" s="7" t="s">
        <v>862</v>
      </c>
      <c r="I124" s="7" t="s">
        <v>863</v>
      </c>
      <c r="J124" s="7" t="s">
        <v>864</v>
      </c>
      <c r="K124" s="5" t="s">
        <v>10</v>
      </c>
      <c r="L124" s="5" t="s">
        <v>10</v>
      </c>
      <c r="M124" s="5" t="s">
        <v>10</v>
      </c>
      <c r="N124" s="5" t="s">
        <v>45</v>
      </c>
      <c r="O124" s="80" t="s">
        <v>56</v>
      </c>
      <c r="P124" s="101">
        <v>46028</v>
      </c>
      <c r="Q124" s="100">
        <f t="shared" si="18"/>
        <v>46393</v>
      </c>
      <c r="R124" s="5" t="s">
        <v>1851</v>
      </c>
      <c r="S124" s="5" t="s">
        <v>4422</v>
      </c>
      <c r="T124" s="7">
        <v>2.1</v>
      </c>
      <c r="U124" s="7" t="s">
        <v>10</v>
      </c>
      <c r="V124" s="7">
        <f t="shared" si="19"/>
        <v>2.1</v>
      </c>
      <c r="W124" s="5" t="s">
        <v>10</v>
      </c>
      <c r="X124" s="5" t="s">
        <v>55</v>
      </c>
      <c r="Y124" s="48" t="str">
        <f t="shared" si="20"/>
        <v>A DEFINIR</v>
      </c>
      <c r="Z124" s="7" t="s">
        <v>56</v>
      </c>
      <c r="AA124" s="5">
        <v>11599647</v>
      </c>
      <c r="AB124" s="5" t="s">
        <v>3856</v>
      </c>
      <c r="AC124" s="5" t="s">
        <v>48</v>
      </c>
      <c r="AD124" s="5" t="s">
        <v>5530</v>
      </c>
      <c r="AE124" s="5" t="str">
        <f t="shared" ca="1" si="22"/>
        <v>NO PRAZO</v>
      </c>
      <c r="AF124" s="49"/>
    </row>
    <row r="125" spans="1:32" ht="30" customHeight="1" x14ac:dyDescent="0.25">
      <c r="A125" s="5" t="s">
        <v>865</v>
      </c>
      <c r="B125" s="5" t="s">
        <v>10</v>
      </c>
      <c r="C125" s="5" t="s">
        <v>5864</v>
      </c>
      <c r="D125" s="7" t="s">
        <v>862</v>
      </c>
      <c r="E125" s="7" t="s">
        <v>256</v>
      </c>
      <c r="F125" s="7" t="s">
        <v>317</v>
      </c>
      <c r="G125" s="7" t="s">
        <v>862</v>
      </c>
      <c r="H125" s="7" t="s">
        <v>862</v>
      </c>
      <c r="I125" s="7" t="s">
        <v>866</v>
      </c>
      <c r="J125" s="7" t="s">
        <v>867</v>
      </c>
      <c r="K125" s="5" t="s">
        <v>10</v>
      </c>
      <c r="L125" s="5" t="s">
        <v>45</v>
      </c>
      <c r="M125" s="5" t="s">
        <v>10</v>
      </c>
      <c r="N125" s="5" t="s">
        <v>10</v>
      </c>
      <c r="O125" s="80" t="s">
        <v>56</v>
      </c>
      <c r="P125" s="101">
        <v>46028</v>
      </c>
      <c r="Q125" s="100">
        <f t="shared" si="18"/>
        <v>46393</v>
      </c>
      <c r="R125" s="5" t="s">
        <v>1813</v>
      </c>
      <c r="S125" s="5" t="s">
        <v>4423</v>
      </c>
      <c r="T125" s="5">
        <v>0.73</v>
      </c>
      <c r="U125" s="7" t="s">
        <v>10</v>
      </c>
      <c r="V125" s="7">
        <f t="shared" si="19"/>
        <v>0.73</v>
      </c>
      <c r="W125" s="5" t="s">
        <v>10</v>
      </c>
      <c r="X125" s="5" t="s">
        <v>55</v>
      </c>
      <c r="Y125" s="48" t="str">
        <f t="shared" si="20"/>
        <v>A DEFINIR</v>
      </c>
      <c r="Z125" s="7" t="s">
        <v>56</v>
      </c>
      <c r="AA125" s="5">
        <v>11599799</v>
      </c>
      <c r="AB125" s="5" t="s">
        <v>3857</v>
      </c>
      <c r="AC125" s="5" t="s">
        <v>48</v>
      </c>
      <c r="AD125" s="5" t="s">
        <v>5530</v>
      </c>
      <c r="AE125" s="5" t="str">
        <f t="shared" ca="1" si="22"/>
        <v>NO PRAZO</v>
      </c>
      <c r="AF125" s="49"/>
    </row>
    <row r="126" spans="1:32" ht="30" customHeight="1" x14ac:dyDescent="0.25">
      <c r="A126" s="5" t="s">
        <v>868</v>
      </c>
      <c r="B126" s="5" t="s">
        <v>10</v>
      </c>
      <c r="C126" s="5" t="s">
        <v>5864</v>
      </c>
      <c r="D126" s="7" t="s">
        <v>862</v>
      </c>
      <c r="E126" s="7" t="s">
        <v>256</v>
      </c>
      <c r="F126" s="7" t="s">
        <v>312</v>
      </c>
      <c r="G126" s="7" t="s">
        <v>862</v>
      </c>
      <c r="H126" s="7" t="s">
        <v>862</v>
      </c>
      <c r="I126" s="7" t="s">
        <v>121</v>
      </c>
      <c r="J126" s="7" t="s">
        <v>869</v>
      </c>
      <c r="K126" s="5" t="s">
        <v>10</v>
      </c>
      <c r="L126" s="5" t="s">
        <v>45</v>
      </c>
      <c r="M126" s="5" t="s">
        <v>10</v>
      </c>
      <c r="N126" s="5" t="s">
        <v>10</v>
      </c>
      <c r="O126" s="80" t="s">
        <v>56</v>
      </c>
      <c r="P126" s="101">
        <v>46205</v>
      </c>
      <c r="Q126" s="100">
        <f t="shared" si="18"/>
        <v>46570</v>
      </c>
      <c r="R126" s="5" t="s">
        <v>2691</v>
      </c>
      <c r="S126" s="5" t="s">
        <v>5734</v>
      </c>
      <c r="T126" s="5">
        <v>0.22</v>
      </c>
      <c r="U126" s="7" t="s">
        <v>10</v>
      </c>
      <c r="V126" s="7">
        <f t="shared" si="19"/>
        <v>0.22</v>
      </c>
      <c r="W126" s="5" t="s">
        <v>10</v>
      </c>
      <c r="X126" s="5" t="s">
        <v>55</v>
      </c>
      <c r="Y126" s="48" t="str">
        <f t="shared" si="20"/>
        <v>A DEFINIR</v>
      </c>
      <c r="Z126" s="7" t="s">
        <v>56</v>
      </c>
      <c r="AA126" s="5">
        <v>11599800</v>
      </c>
      <c r="AB126" s="5" t="s">
        <v>2929</v>
      </c>
      <c r="AC126" s="5" t="s">
        <v>48</v>
      </c>
      <c r="AD126" s="5" t="s">
        <v>5632</v>
      </c>
      <c r="AE126" s="5" t="str">
        <f t="shared" ca="1" si="22"/>
        <v>NO PRAZO</v>
      </c>
      <c r="AF126" s="51"/>
    </row>
    <row r="127" spans="1:32" ht="30" customHeight="1" x14ac:dyDescent="0.25">
      <c r="A127" s="9" t="s">
        <v>5845</v>
      </c>
      <c r="B127" s="9">
        <v>2080717</v>
      </c>
      <c r="C127" s="5" t="s">
        <v>5863</v>
      </c>
      <c r="D127" s="61" t="s">
        <v>5846</v>
      </c>
      <c r="E127" s="7" t="s">
        <v>640</v>
      </c>
      <c r="F127" s="7" t="s">
        <v>643</v>
      </c>
      <c r="G127" s="61" t="s">
        <v>5846</v>
      </c>
      <c r="H127" s="61" t="s">
        <v>10</v>
      </c>
      <c r="I127" s="61" t="s">
        <v>683</v>
      </c>
      <c r="J127" s="62" t="s">
        <v>684</v>
      </c>
      <c r="K127" s="5" t="s">
        <v>10</v>
      </c>
      <c r="L127" s="5" t="s">
        <v>10</v>
      </c>
      <c r="M127" s="5" t="s">
        <v>10</v>
      </c>
      <c r="N127" s="5" t="s">
        <v>45</v>
      </c>
      <c r="O127" s="80" t="s">
        <v>56</v>
      </c>
      <c r="P127" s="99">
        <v>45965</v>
      </c>
      <c r="Q127" s="100">
        <f t="shared" si="18"/>
        <v>46330</v>
      </c>
      <c r="R127" s="5" t="s">
        <v>1800</v>
      </c>
      <c r="S127" s="5" t="s">
        <v>3758</v>
      </c>
      <c r="T127" s="7">
        <v>0.39</v>
      </c>
      <c r="U127" s="81"/>
      <c r="V127" s="7">
        <f t="shared" si="19"/>
        <v>0.39</v>
      </c>
      <c r="W127" s="5">
        <v>0.5</v>
      </c>
      <c r="X127" s="5" t="s">
        <v>55</v>
      </c>
      <c r="Y127" s="48" t="str">
        <f t="shared" si="20"/>
        <v>APROVADO</v>
      </c>
      <c r="Z127" s="7" t="s">
        <v>56</v>
      </c>
      <c r="AA127" s="5">
        <v>11601982</v>
      </c>
      <c r="AB127" s="5" t="s">
        <v>3788</v>
      </c>
      <c r="AC127" s="5" t="s">
        <v>48</v>
      </c>
      <c r="AD127" s="5" t="s">
        <v>5530</v>
      </c>
      <c r="AE127" s="5" t="str">
        <f t="shared" ca="1" si="22"/>
        <v>NO PRAZO</v>
      </c>
      <c r="AF127" s="49"/>
    </row>
    <row r="128" spans="1:32" ht="30" customHeight="1" x14ac:dyDescent="0.25">
      <c r="A128" s="9" t="s">
        <v>5703</v>
      </c>
      <c r="B128" s="9" t="s">
        <v>3231</v>
      </c>
      <c r="C128" s="5" t="s">
        <v>5863</v>
      </c>
      <c r="D128" s="61" t="s">
        <v>731</v>
      </c>
      <c r="E128" s="7" t="s">
        <v>640</v>
      </c>
      <c r="F128" s="7" t="s">
        <v>643</v>
      </c>
      <c r="G128" s="61" t="s">
        <v>731</v>
      </c>
      <c r="H128" s="61" t="s">
        <v>10</v>
      </c>
      <c r="I128" s="61" t="s">
        <v>737</v>
      </c>
      <c r="J128" s="62" t="s">
        <v>738</v>
      </c>
      <c r="K128" s="5" t="s">
        <v>10</v>
      </c>
      <c r="L128" s="5" t="s">
        <v>10</v>
      </c>
      <c r="M128" s="5" t="s">
        <v>10</v>
      </c>
      <c r="N128" s="5" t="s">
        <v>45</v>
      </c>
      <c r="O128" s="80" t="s">
        <v>56</v>
      </c>
      <c r="P128" s="99">
        <v>45965</v>
      </c>
      <c r="Q128" s="100">
        <f t="shared" si="18"/>
        <v>46330</v>
      </c>
      <c r="R128" s="63" t="s">
        <v>1735</v>
      </c>
      <c r="S128" s="63" t="s">
        <v>3760</v>
      </c>
      <c r="T128" s="7">
        <v>0.48</v>
      </c>
      <c r="U128" s="7" t="s">
        <v>10</v>
      </c>
      <c r="V128" s="7">
        <f t="shared" si="19"/>
        <v>0.48</v>
      </c>
      <c r="W128" s="5">
        <v>0.5</v>
      </c>
      <c r="X128" s="5" t="s">
        <v>55</v>
      </c>
      <c r="Y128" s="48" t="str">
        <f t="shared" si="20"/>
        <v>APROVADO</v>
      </c>
      <c r="Z128" s="7" t="s">
        <v>56</v>
      </c>
      <c r="AA128" s="5">
        <v>11601942</v>
      </c>
      <c r="AB128" s="5" t="s">
        <v>3807</v>
      </c>
      <c r="AC128" s="5" t="s">
        <v>48</v>
      </c>
      <c r="AD128" s="5" t="s">
        <v>5530</v>
      </c>
      <c r="AE128" s="5" t="str">
        <f t="shared" ca="1" si="22"/>
        <v>NO PRAZO</v>
      </c>
      <c r="AF128" s="49"/>
    </row>
    <row r="129" spans="1:37" ht="30" customHeight="1" x14ac:dyDescent="0.25">
      <c r="A129" s="9" t="s">
        <v>5704</v>
      </c>
      <c r="B129" s="9" t="s">
        <v>3230</v>
      </c>
      <c r="C129" s="5" t="s">
        <v>5863</v>
      </c>
      <c r="D129" s="61" t="s">
        <v>731</v>
      </c>
      <c r="E129" s="7" t="s">
        <v>640</v>
      </c>
      <c r="F129" s="7" t="s">
        <v>643</v>
      </c>
      <c r="G129" s="61" t="s">
        <v>731</v>
      </c>
      <c r="H129" s="61" t="s">
        <v>10</v>
      </c>
      <c r="I129" s="61" t="s">
        <v>1791</v>
      </c>
      <c r="J129" s="62" t="s">
        <v>732</v>
      </c>
      <c r="K129" s="5" t="s">
        <v>10</v>
      </c>
      <c r="L129" s="5" t="s">
        <v>10</v>
      </c>
      <c r="M129" s="5" t="s">
        <v>10</v>
      </c>
      <c r="N129" s="5" t="s">
        <v>45</v>
      </c>
      <c r="O129" s="80" t="s">
        <v>56</v>
      </c>
      <c r="P129" s="99">
        <v>45966</v>
      </c>
      <c r="Q129" s="100">
        <f t="shared" si="18"/>
        <v>46331</v>
      </c>
      <c r="R129" s="63" t="s">
        <v>1740</v>
      </c>
      <c r="S129" s="63" t="s">
        <v>3766</v>
      </c>
      <c r="T129" s="7">
        <v>0.47</v>
      </c>
      <c r="U129" s="7" t="s">
        <v>10</v>
      </c>
      <c r="V129" s="7">
        <f t="shared" si="19"/>
        <v>0.47</v>
      </c>
      <c r="W129" s="5">
        <v>0.5</v>
      </c>
      <c r="X129" s="5" t="s">
        <v>55</v>
      </c>
      <c r="Y129" s="48" t="str">
        <f t="shared" si="20"/>
        <v>APROVADO</v>
      </c>
      <c r="Z129" s="7" t="s">
        <v>56</v>
      </c>
      <c r="AA129" s="5">
        <v>11601980</v>
      </c>
      <c r="AB129" s="5" t="s">
        <v>3806</v>
      </c>
      <c r="AC129" s="5" t="s">
        <v>48</v>
      </c>
      <c r="AD129" s="5" t="s">
        <v>5530</v>
      </c>
      <c r="AE129" s="5" t="str">
        <f t="shared" ca="1" si="22"/>
        <v>NO PRAZO</v>
      </c>
      <c r="AF129" s="51"/>
    </row>
    <row r="130" spans="1:37" ht="30" customHeight="1" x14ac:dyDescent="0.25">
      <c r="A130" s="16" t="s">
        <v>1713</v>
      </c>
      <c r="B130" s="5" t="s">
        <v>10</v>
      </c>
      <c r="C130" s="5" t="s">
        <v>5864</v>
      </c>
      <c r="D130" s="34" t="s">
        <v>1714</v>
      </c>
      <c r="E130" s="7" t="s">
        <v>256</v>
      </c>
      <c r="F130" s="7" t="s">
        <v>257</v>
      </c>
      <c r="G130" s="34" t="s">
        <v>1714</v>
      </c>
      <c r="H130" s="34" t="s">
        <v>10</v>
      </c>
      <c r="I130" s="7" t="s">
        <v>1715</v>
      </c>
      <c r="J130" s="7" t="s">
        <v>3741</v>
      </c>
      <c r="K130" s="5" t="s">
        <v>10</v>
      </c>
      <c r="L130" s="5" t="s">
        <v>10</v>
      </c>
      <c r="M130" s="5" t="s">
        <v>10</v>
      </c>
      <c r="N130" s="5" t="s">
        <v>45</v>
      </c>
      <c r="O130" s="95" t="s">
        <v>56</v>
      </c>
      <c r="P130" s="101">
        <v>45960</v>
      </c>
      <c r="Q130" s="100">
        <f t="shared" si="18"/>
        <v>46325</v>
      </c>
      <c r="R130" s="7" t="s">
        <v>1716</v>
      </c>
      <c r="S130" s="7" t="s">
        <v>3637</v>
      </c>
      <c r="T130" s="7" t="s">
        <v>3742</v>
      </c>
      <c r="U130" s="7" t="s">
        <v>10</v>
      </c>
      <c r="V130" s="7" t="str">
        <f t="shared" si="19"/>
        <v>0,82
0,38</v>
      </c>
      <c r="W130" s="7" t="s">
        <v>10</v>
      </c>
      <c r="X130" s="7" t="s">
        <v>3743</v>
      </c>
      <c r="Y130" s="48" t="str">
        <f t="shared" si="20"/>
        <v>A DEFINIR</v>
      </c>
      <c r="Z130" s="7" t="s">
        <v>56</v>
      </c>
      <c r="AA130" s="5">
        <v>11586805</v>
      </c>
      <c r="AB130" s="5" t="s">
        <v>3962</v>
      </c>
      <c r="AC130" s="5" t="s">
        <v>48</v>
      </c>
      <c r="AD130" s="5" t="s">
        <v>5530</v>
      </c>
      <c r="AE130" s="5" t="str">
        <f t="shared" ca="1" si="22"/>
        <v>NO PRAZO</v>
      </c>
      <c r="AF130" s="49"/>
    </row>
    <row r="131" spans="1:37" ht="30" customHeight="1" x14ac:dyDescent="0.3">
      <c r="A131" s="5" t="s">
        <v>870</v>
      </c>
      <c r="B131" s="5" t="s">
        <v>10</v>
      </c>
      <c r="C131" s="5" t="s">
        <v>5864</v>
      </c>
      <c r="D131" s="7" t="s">
        <v>871</v>
      </c>
      <c r="E131" s="7" t="s">
        <v>256</v>
      </c>
      <c r="F131" s="7" t="s">
        <v>444</v>
      </c>
      <c r="G131" s="7" t="s">
        <v>872</v>
      </c>
      <c r="H131" s="7" t="s">
        <v>871</v>
      </c>
      <c r="I131" s="7" t="s">
        <v>873</v>
      </c>
      <c r="J131" s="7" t="s">
        <v>874</v>
      </c>
      <c r="K131" s="5" t="s">
        <v>10</v>
      </c>
      <c r="L131" s="5" t="s">
        <v>10</v>
      </c>
      <c r="M131" s="5" t="s">
        <v>10</v>
      </c>
      <c r="N131" s="5" t="s">
        <v>45</v>
      </c>
      <c r="O131" s="80" t="s">
        <v>56</v>
      </c>
      <c r="P131" s="101">
        <v>45989</v>
      </c>
      <c r="Q131" s="100">
        <f t="shared" si="18"/>
        <v>46354</v>
      </c>
      <c r="R131" s="7" t="s">
        <v>1878</v>
      </c>
      <c r="S131" s="7" t="s">
        <v>4236</v>
      </c>
      <c r="T131" s="7">
        <v>0.25280000000000002</v>
      </c>
      <c r="U131" s="7" t="s">
        <v>10</v>
      </c>
      <c r="V131" s="7">
        <f t="shared" si="19"/>
        <v>0.25280000000000002</v>
      </c>
      <c r="W131" s="5" t="s">
        <v>10</v>
      </c>
      <c r="X131" s="5" t="s">
        <v>875</v>
      </c>
      <c r="Y131" s="48" t="str">
        <f t="shared" si="20"/>
        <v>A DEFINIR</v>
      </c>
      <c r="Z131" s="7" t="s">
        <v>56</v>
      </c>
      <c r="AA131" s="5">
        <v>11599649</v>
      </c>
      <c r="AB131" s="5" t="s">
        <v>3858</v>
      </c>
      <c r="AC131" s="5" t="s">
        <v>48</v>
      </c>
      <c r="AD131" s="5" t="s">
        <v>5530</v>
      </c>
      <c r="AE131" s="5" t="str">
        <f t="shared" ca="1" si="22"/>
        <v>NO PRAZO</v>
      </c>
      <c r="AF131" s="53"/>
      <c r="AG131" s="50"/>
      <c r="AH131" s="50"/>
      <c r="AI131" s="50"/>
      <c r="AJ131" s="50"/>
      <c r="AK131" s="50"/>
    </row>
    <row r="132" spans="1:37" ht="30" customHeight="1" x14ac:dyDescent="0.3">
      <c r="A132" s="5" t="s">
        <v>4620</v>
      </c>
      <c r="B132" s="5" t="s">
        <v>10</v>
      </c>
      <c r="C132" s="5" t="s">
        <v>5864</v>
      </c>
      <c r="D132" s="7" t="s">
        <v>871</v>
      </c>
      <c r="E132" s="7" t="s">
        <v>256</v>
      </c>
      <c r="F132" s="7" t="s">
        <v>257</v>
      </c>
      <c r="G132" s="7" t="s">
        <v>872</v>
      </c>
      <c r="H132" s="7" t="s">
        <v>871</v>
      </c>
      <c r="I132" s="7" t="s">
        <v>873</v>
      </c>
      <c r="J132" s="7" t="s">
        <v>874</v>
      </c>
      <c r="K132" s="5" t="s">
        <v>10</v>
      </c>
      <c r="L132" s="5" t="s">
        <v>10</v>
      </c>
      <c r="M132" s="5" t="s">
        <v>10</v>
      </c>
      <c r="N132" s="5" t="s">
        <v>45</v>
      </c>
      <c r="O132" s="80" t="s">
        <v>56</v>
      </c>
      <c r="P132" s="101">
        <v>46078</v>
      </c>
      <c r="Q132" s="100">
        <f t="shared" si="18"/>
        <v>46443</v>
      </c>
      <c r="R132" s="5" t="s">
        <v>4621</v>
      </c>
      <c r="S132" s="7" t="s">
        <v>4943</v>
      </c>
      <c r="T132" s="7">
        <v>0.16700000000000001</v>
      </c>
      <c r="U132" s="7" t="s">
        <v>10</v>
      </c>
      <c r="V132" s="7">
        <f t="shared" si="19"/>
        <v>0.16700000000000001</v>
      </c>
      <c r="W132" s="5" t="s">
        <v>10</v>
      </c>
      <c r="X132" s="5" t="s">
        <v>875</v>
      </c>
      <c r="Y132" s="48" t="str">
        <f t="shared" si="20"/>
        <v>A DEFINIR</v>
      </c>
      <c r="Z132" s="7" t="s">
        <v>56</v>
      </c>
      <c r="AA132" s="5">
        <v>11599650</v>
      </c>
      <c r="AB132" s="5" t="s">
        <v>4622</v>
      </c>
      <c r="AC132" s="5" t="s">
        <v>48</v>
      </c>
      <c r="AD132" s="5" t="s">
        <v>5530</v>
      </c>
      <c r="AE132" s="5" t="str">
        <f t="shared" ca="1" si="22"/>
        <v>NO PRAZO</v>
      </c>
      <c r="AF132" s="49"/>
      <c r="AG132" s="50"/>
      <c r="AH132" s="50"/>
      <c r="AI132" s="50"/>
      <c r="AJ132" s="50"/>
      <c r="AK132" s="50"/>
    </row>
    <row r="133" spans="1:37" ht="30" customHeight="1" x14ac:dyDescent="0.25">
      <c r="A133" s="5" t="s">
        <v>2125</v>
      </c>
      <c r="B133" s="5" t="s">
        <v>10</v>
      </c>
      <c r="C133" s="5" t="s">
        <v>5864</v>
      </c>
      <c r="D133" s="7" t="s">
        <v>871</v>
      </c>
      <c r="E133" s="7" t="s">
        <v>256</v>
      </c>
      <c r="F133" s="7" t="s">
        <v>444</v>
      </c>
      <c r="G133" s="7" t="s">
        <v>872</v>
      </c>
      <c r="H133" s="7" t="s">
        <v>871</v>
      </c>
      <c r="I133" s="7" t="s">
        <v>2126</v>
      </c>
      <c r="J133" s="7" t="s">
        <v>2127</v>
      </c>
      <c r="K133" s="5" t="s">
        <v>10</v>
      </c>
      <c r="L133" s="5" t="s">
        <v>10</v>
      </c>
      <c r="M133" s="5" t="s">
        <v>10</v>
      </c>
      <c r="N133" s="5" t="s">
        <v>45</v>
      </c>
      <c r="O133" s="80" t="s">
        <v>56</v>
      </c>
      <c r="P133" s="101">
        <v>46136</v>
      </c>
      <c r="Q133" s="100">
        <f t="shared" si="18"/>
        <v>46501</v>
      </c>
      <c r="R133" s="5" t="s">
        <v>2128</v>
      </c>
      <c r="S133" s="5" t="s">
        <v>5341</v>
      </c>
      <c r="T133" s="7">
        <v>0.21049999999999999</v>
      </c>
      <c r="U133" s="7"/>
      <c r="V133" s="7">
        <f t="shared" si="19"/>
        <v>0.21049999999999999</v>
      </c>
      <c r="W133" s="5" t="s">
        <v>10</v>
      </c>
      <c r="X133" s="5" t="s">
        <v>875</v>
      </c>
      <c r="Y133" s="48" t="str">
        <f t="shared" si="20"/>
        <v>A DEFINIR</v>
      </c>
      <c r="Z133" s="7" t="s">
        <v>56</v>
      </c>
      <c r="AA133" s="5">
        <v>11599651</v>
      </c>
      <c r="AB133" s="5" t="s">
        <v>3862</v>
      </c>
      <c r="AC133" s="5" t="s">
        <v>48</v>
      </c>
      <c r="AD133" s="5" t="s">
        <v>5530</v>
      </c>
      <c r="AE133" s="5" t="str">
        <f t="shared" ca="1" si="22"/>
        <v>NO PRAZO</v>
      </c>
      <c r="AF133" s="51"/>
    </row>
    <row r="134" spans="1:37" ht="30" customHeight="1" x14ac:dyDescent="0.25">
      <c r="A134" s="5" t="s">
        <v>3034</v>
      </c>
      <c r="B134" s="5" t="s">
        <v>10</v>
      </c>
      <c r="C134" s="5" t="s">
        <v>5864</v>
      </c>
      <c r="D134" s="7" t="s">
        <v>871</v>
      </c>
      <c r="E134" s="7" t="s">
        <v>256</v>
      </c>
      <c r="F134" s="7" t="s">
        <v>276</v>
      </c>
      <c r="G134" s="7" t="s">
        <v>872</v>
      </c>
      <c r="H134" s="7" t="s">
        <v>871</v>
      </c>
      <c r="I134" s="7" t="s">
        <v>873</v>
      </c>
      <c r="J134" s="7" t="s">
        <v>874</v>
      </c>
      <c r="K134" s="5" t="s">
        <v>10</v>
      </c>
      <c r="L134" s="5" t="s">
        <v>10</v>
      </c>
      <c r="M134" s="5" t="s">
        <v>10</v>
      </c>
      <c r="N134" s="5" t="s">
        <v>45</v>
      </c>
      <c r="O134" s="80" t="s">
        <v>56</v>
      </c>
      <c r="P134" s="101">
        <v>45845</v>
      </c>
      <c r="Q134" s="100">
        <f t="shared" si="18"/>
        <v>46210</v>
      </c>
      <c r="R134" s="5" t="s">
        <v>273</v>
      </c>
      <c r="S134" s="5" t="s">
        <v>3035</v>
      </c>
      <c r="T134" s="7">
        <v>0.23</v>
      </c>
      <c r="U134" s="7" t="s">
        <v>10</v>
      </c>
      <c r="V134" s="7">
        <f t="shared" si="19"/>
        <v>0.23</v>
      </c>
      <c r="W134" s="5" t="s">
        <v>10</v>
      </c>
      <c r="X134" s="5" t="s">
        <v>875</v>
      </c>
      <c r="Y134" s="48" t="str">
        <f t="shared" si="20"/>
        <v>A DEFINIR</v>
      </c>
      <c r="Z134" s="7" t="s">
        <v>56</v>
      </c>
      <c r="AA134" s="5">
        <v>11599654</v>
      </c>
      <c r="AB134" s="5" t="s">
        <v>3860</v>
      </c>
      <c r="AC134" s="5" t="s">
        <v>48</v>
      </c>
      <c r="AD134" s="5" t="s">
        <v>5530</v>
      </c>
      <c r="AE134" s="5" t="s">
        <v>5906</v>
      </c>
      <c r="AF134" s="49"/>
    </row>
    <row r="135" spans="1:37" ht="30" customHeight="1" x14ac:dyDescent="0.25">
      <c r="A135" s="5" t="s">
        <v>876</v>
      </c>
      <c r="B135" s="5" t="s">
        <v>10</v>
      </c>
      <c r="C135" s="5" t="s">
        <v>5864</v>
      </c>
      <c r="D135" s="7" t="s">
        <v>871</v>
      </c>
      <c r="E135" s="7" t="s">
        <v>256</v>
      </c>
      <c r="F135" s="7" t="s">
        <v>263</v>
      </c>
      <c r="G135" s="7" t="s">
        <v>872</v>
      </c>
      <c r="H135" s="7" t="s">
        <v>871</v>
      </c>
      <c r="I135" s="7" t="s">
        <v>873</v>
      </c>
      <c r="J135" s="7" t="s">
        <v>874</v>
      </c>
      <c r="K135" s="5" t="s">
        <v>10</v>
      </c>
      <c r="L135" s="5" t="s">
        <v>10</v>
      </c>
      <c r="M135" s="5" t="s">
        <v>10</v>
      </c>
      <c r="N135" s="5" t="s">
        <v>45</v>
      </c>
      <c r="O135" s="80" t="s">
        <v>56</v>
      </c>
      <c r="P135" s="101">
        <v>46073</v>
      </c>
      <c r="Q135" s="100">
        <f t="shared" si="18"/>
        <v>46438</v>
      </c>
      <c r="R135" s="5" t="s">
        <v>1888</v>
      </c>
      <c r="S135" s="5" t="s">
        <v>4921</v>
      </c>
      <c r="T135" s="7">
        <v>0.21</v>
      </c>
      <c r="U135" s="7" t="s">
        <v>10</v>
      </c>
      <c r="V135" s="7">
        <f t="shared" si="19"/>
        <v>0.21</v>
      </c>
      <c r="W135" s="5" t="s">
        <v>10</v>
      </c>
      <c r="X135" s="5" t="s">
        <v>875</v>
      </c>
      <c r="Y135" s="48" t="str">
        <f t="shared" si="20"/>
        <v>A DEFINIR</v>
      </c>
      <c r="Z135" s="7" t="s">
        <v>56</v>
      </c>
      <c r="AA135" s="5">
        <v>11599655</v>
      </c>
      <c r="AB135" s="5" t="s">
        <v>3861</v>
      </c>
      <c r="AC135" s="5" t="s">
        <v>48</v>
      </c>
      <c r="AD135" s="5" t="s">
        <v>5530</v>
      </c>
      <c r="AE135" s="5" t="str">
        <f t="shared" ca="1" si="22"/>
        <v>NO PRAZO</v>
      </c>
      <c r="AF135" s="51"/>
    </row>
    <row r="136" spans="1:37" ht="30" customHeight="1" x14ac:dyDescent="0.25">
      <c r="A136" s="5" t="s">
        <v>4623</v>
      </c>
      <c r="B136" s="5" t="s">
        <v>10</v>
      </c>
      <c r="C136" s="5" t="s">
        <v>5864</v>
      </c>
      <c r="D136" s="7" t="s">
        <v>871</v>
      </c>
      <c r="E136" s="7" t="s">
        <v>256</v>
      </c>
      <c r="F136" s="7" t="s">
        <v>444</v>
      </c>
      <c r="G136" s="7" t="s">
        <v>872</v>
      </c>
      <c r="H136" s="7" t="s">
        <v>871</v>
      </c>
      <c r="I136" s="7" t="s">
        <v>873</v>
      </c>
      <c r="J136" s="7" t="s">
        <v>874</v>
      </c>
      <c r="K136" s="5" t="s">
        <v>10</v>
      </c>
      <c r="L136" s="5" t="s">
        <v>45</v>
      </c>
      <c r="M136" s="5" t="s">
        <v>10</v>
      </c>
      <c r="N136" s="5" t="s">
        <v>10</v>
      </c>
      <c r="O136" s="46" t="s">
        <v>46</v>
      </c>
      <c r="P136" s="101">
        <v>46056</v>
      </c>
      <c r="Q136" s="100">
        <f t="shared" si="18"/>
        <v>46421</v>
      </c>
      <c r="R136" s="5" t="s">
        <v>4624</v>
      </c>
      <c r="S136" s="5" t="s">
        <v>4676</v>
      </c>
      <c r="T136" s="7">
        <v>0.21</v>
      </c>
      <c r="U136" s="7" t="s">
        <v>10</v>
      </c>
      <c r="V136" s="7">
        <f t="shared" si="19"/>
        <v>0.21</v>
      </c>
      <c r="W136" s="5" t="s">
        <v>10</v>
      </c>
      <c r="X136" s="5" t="s">
        <v>875</v>
      </c>
      <c r="Y136" s="48" t="str">
        <f t="shared" si="20"/>
        <v>A DEFINIR</v>
      </c>
      <c r="Z136" s="7" t="s">
        <v>56</v>
      </c>
      <c r="AA136" s="5">
        <v>11599761</v>
      </c>
      <c r="AB136" s="5" t="s">
        <v>4625</v>
      </c>
      <c r="AC136" s="5" t="s">
        <v>48</v>
      </c>
      <c r="AD136" s="5" t="s">
        <v>5530</v>
      </c>
      <c r="AE136" s="5" t="str">
        <f t="shared" ca="1" si="22"/>
        <v>NO PRAZO</v>
      </c>
      <c r="AF136" s="49"/>
    </row>
    <row r="137" spans="1:37" ht="30" customHeight="1" x14ac:dyDescent="0.25">
      <c r="A137" s="5" t="s">
        <v>4626</v>
      </c>
      <c r="B137" s="5" t="s">
        <v>10</v>
      </c>
      <c r="C137" s="5" t="s">
        <v>5864</v>
      </c>
      <c r="D137" s="7" t="s">
        <v>871</v>
      </c>
      <c r="E137" s="7" t="s">
        <v>256</v>
      </c>
      <c r="F137" s="7" t="s">
        <v>257</v>
      </c>
      <c r="G137" s="7" t="s">
        <v>871</v>
      </c>
      <c r="H137" s="7" t="s">
        <v>871</v>
      </c>
      <c r="I137" s="7" t="s">
        <v>873</v>
      </c>
      <c r="J137" s="7" t="s">
        <v>874</v>
      </c>
      <c r="K137" s="5" t="s">
        <v>10</v>
      </c>
      <c r="L137" s="5" t="s">
        <v>45</v>
      </c>
      <c r="M137" s="5" t="s">
        <v>10</v>
      </c>
      <c r="N137" s="5" t="s">
        <v>10</v>
      </c>
      <c r="O137" s="46" t="s">
        <v>46</v>
      </c>
      <c r="P137" s="101">
        <v>46078</v>
      </c>
      <c r="Q137" s="100">
        <f t="shared" si="18"/>
        <v>46443</v>
      </c>
      <c r="R137" s="63" t="s">
        <v>4627</v>
      </c>
      <c r="S137" s="7" t="s">
        <v>4944</v>
      </c>
      <c r="T137" s="7">
        <v>0.21</v>
      </c>
      <c r="U137" s="7" t="s">
        <v>10</v>
      </c>
      <c r="V137" s="7">
        <f t="shared" si="19"/>
        <v>0.21</v>
      </c>
      <c r="W137" s="5" t="s">
        <v>10</v>
      </c>
      <c r="X137" s="5" t="s">
        <v>875</v>
      </c>
      <c r="Y137" s="48" t="str">
        <f t="shared" si="20"/>
        <v>A DEFINIR</v>
      </c>
      <c r="Z137" s="7" t="s">
        <v>56</v>
      </c>
      <c r="AA137" s="5">
        <v>11599844</v>
      </c>
      <c r="AB137" s="5" t="s">
        <v>4628</v>
      </c>
      <c r="AC137" s="5" t="s">
        <v>48</v>
      </c>
      <c r="AD137" s="5" t="s">
        <v>5530</v>
      </c>
      <c r="AE137" s="5" t="str">
        <f t="shared" ca="1" si="22"/>
        <v>NO PRAZO</v>
      </c>
      <c r="AF137" s="49"/>
    </row>
    <row r="138" spans="1:37" ht="30" customHeight="1" x14ac:dyDescent="0.25">
      <c r="A138" s="5" t="s">
        <v>1892</v>
      </c>
      <c r="B138" s="5" t="s">
        <v>10</v>
      </c>
      <c r="C138" s="5" t="s">
        <v>5864</v>
      </c>
      <c r="D138" s="7" t="s">
        <v>871</v>
      </c>
      <c r="E138" s="7" t="s">
        <v>256</v>
      </c>
      <c r="F138" s="7" t="s">
        <v>444</v>
      </c>
      <c r="G138" s="7" t="s">
        <v>872</v>
      </c>
      <c r="H138" s="7" t="s">
        <v>871</v>
      </c>
      <c r="I138" s="7" t="s">
        <v>873</v>
      </c>
      <c r="J138" s="7" t="s">
        <v>874</v>
      </c>
      <c r="K138" s="5" t="s">
        <v>10</v>
      </c>
      <c r="L138" s="5" t="s">
        <v>10</v>
      </c>
      <c r="M138" s="5" t="s">
        <v>10</v>
      </c>
      <c r="N138" s="5" t="s">
        <v>45</v>
      </c>
      <c r="O138" s="80" t="s">
        <v>56</v>
      </c>
      <c r="P138" s="101">
        <v>46073</v>
      </c>
      <c r="Q138" s="100">
        <f t="shared" si="18"/>
        <v>46438</v>
      </c>
      <c r="R138" s="5" t="s">
        <v>1893</v>
      </c>
      <c r="S138" s="5" t="s">
        <v>4922</v>
      </c>
      <c r="T138" s="7">
        <v>0.21</v>
      </c>
      <c r="U138" s="7"/>
      <c r="V138" s="7">
        <f t="shared" si="19"/>
        <v>0.21</v>
      </c>
      <c r="W138" s="5" t="s">
        <v>10</v>
      </c>
      <c r="X138" s="5" t="s">
        <v>875</v>
      </c>
      <c r="Y138" s="48" t="str">
        <f t="shared" si="20"/>
        <v>A DEFINIR</v>
      </c>
      <c r="Z138" s="7" t="s">
        <v>56</v>
      </c>
      <c r="AA138" s="5">
        <v>11599846</v>
      </c>
      <c r="AB138" s="5" t="s">
        <v>3859</v>
      </c>
      <c r="AC138" s="5" t="s">
        <v>48</v>
      </c>
      <c r="AD138" s="5" t="s">
        <v>5530</v>
      </c>
      <c r="AE138" s="5" t="str">
        <f t="shared" ca="1" si="22"/>
        <v>NO PRAZO</v>
      </c>
      <c r="AF138" s="51"/>
    </row>
    <row r="139" spans="1:37" ht="30" customHeight="1" x14ac:dyDescent="0.25">
      <c r="A139" s="5" t="s">
        <v>877</v>
      </c>
      <c r="B139" s="5" t="s">
        <v>10</v>
      </c>
      <c r="C139" s="5" t="s">
        <v>5864</v>
      </c>
      <c r="D139" s="7" t="s">
        <v>871</v>
      </c>
      <c r="E139" s="7" t="s">
        <v>256</v>
      </c>
      <c r="F139" s="7" t="s">
        <v>257</v>
      </c>
      <c r="G139" s="7" t="s">
        <v>871</v>
      </c>
      <c r="H139" s="7" t="s">
        <v>871</v>
      </c>
      <c r="I139" s="7" t="s">
        <v>873</v>
      </c>
      <c r="J139" s="7" t="s">
        <v>874</v>
      </c>
      <c r="K139" s="5" t="s">
        <v>10</v>
      </c>
      <c r="L139" s="5" t="s">
        <v>10</v>
      </c>
      <c r="M139" s="5" t="s">
        <v>10</v>
      </c>
      <c r="N139" s="5" t="s">
        <v>45</v>
      </c>
      <c r="O139" s="80" t="s">
        <v>56</v>
      </c>
      <c r="P139" s="101">
        <v>45890</v>
      </c>
      <c r="Q139" s="100">
        <f t="shared" si="18"/>
        <v>46255</v>
      </c>
      <c r="R139" s="82" t="s">
        <v>878</v>
      </c>
      <c r="S139" s="82" t="s">
        <v>3155</v>
      </c>
      <c r="T139" s="7">
        <v>0.22</v>
      </c>
      <c r="U139" s="7"/>
      <c r="V139" s="7">
        <f t="shared" si="19"/>
        <v>0.22</v>
      </c>
      <c r="W139" s="5" t="s">
        <v>10</v>
      </c>
      <c r="X139" s="5" t="s">
        <v>875</v>
      </c>
      <c r="Y139" s="48" t="str">
        <f t="shared" si="20"/>
        <v>A DEFINIR</v>
      </c>
      <c r="Z139" s="7" t="s">
        <v>56</v>
      </c>
      <c r="AA139" s="5">
        <v>11599845</v>
      </c>
      <c r="AB139" s="5" t="s">
        <v>3284</v>
      </c>
      <c r="AC139" s="5" t="s">
        <v>48</v>
      </c>
      <c r="AD139" s="5" t="s">
        <v>5530</v>
      </c>
      <c r="AE139" s="5" t="str">
        <f t="shared" ca="1" si="22"/>
        <v>CALIBRAR</v>
      </c>
      <c r="AF139" s="5"/>
    </row>
    <row r="140" spans="1:37" ht="30" customHeight="1" x14ac:dyDescent="0.25">
      <c r="A140" s="5" t="s">
        <v>4918</v>
      </c>
      <c r="B140" s="5" t="s">
        <v>10</v>
      </c>
      <c r="C140" s="5" t="s">
        <v>5864</v>
      </c>
      <c r="D140" s="7" t="s">
        <v>871</v>
      </c>
      <c r="E140" s="7" t="s">
        <v>256</v>
      </c>
      <c r="F140" s="7" t="s">
        <v>257</v>
      </c>
      <c r="G140" s="7" t="s">
        <v>871</v>
      </c>
      <c r="H140" s="7" t="s">
        <v>871</v>
      </c>
      <c r="I140" s="7" t="s">
        <v>4630</v>
      </c>
      <c r="J140" s="7" t="s">
        <v>4631</v>
      </c>
      <c r="K140" s="5" t="s">
        <v>10</v>
      </c>
      <c r="L140" s="5" t="s">
        <v>10</v>
      </c>
      <c r="M140" s="5" t="s">
        <v>10</v>
      </c>
      <c r="N140" s="5" t="s">
        <v>45</v>
      </c>
      <c r="O140" s="80" t="s">
        <v>56</v>
      </c>
      <c r="P140" s="101">
        <v>46073</v>
      </c>
      <c r="Q140" s="100">
        <f t="shared" si="18"/>
        <v>46438</v>
      </c>
      <c r="R140" s="5" t="s">
        <v>4920</v>
      </c>
      <c r="S140" s="5" t="s">
        <v>4919</v>
      </c>
      <c r="T140" s="7">
        <v>0.17</v>
      </c>
      <c r="U140" s="7"/>
      <c r="V140" s="7">
        <f t="shared" si="19"/>
        <v>0.17</v>
      </c>
      <c r="W140" s="5" t="s">
        <v>10</v>
      </c>
      <c r="X140" s="5" t="s">
        <v>875</v>
      </c>
      <c r="Y140" s="48" t="str">
        <f t="shared" si="20"/>
        <v>A DEFINIR</v>
      </c>
      <c r="Z140" s="7" t="s">
        <v>56</v>
      </c>
      <c r="AA140" s="5" t="s">
        <v>4675</v>
      </c>
      <c r="AB140" s="5" t="s">
        <v>4675</v>
      </c>
      <c r="AC140" s="5" t="s">
        <v>48</v>
      </c>
      <c r="AD140" s="5" t="s">
        <v>5530</v>
      </c>
      <c r="AE140" s="5" t="str">
        <f t="shared" ca="1" si="22"/>
        <v>NO PRAZO</v>
      </c>
      <c r="AF140" s="51"/>
    </row>
    <row r="141" spans="1:37" ht="30" customHeight="1" x14ac:dyDescent="0.25">
      <c r="A141" s="5" t="s">
        <v>4629</v>
      </c>
      <c r="B141" s="5" t="s">
        <v>10</v>
      </c>
      <c r="C141" s="5" t="s">
        <v>5864</v>
      </c>
      <c r="D141" s="7" t="s">
        <v>871</v>
      </c>
      <c r="E141" s="7" t="s">
        <v>256</v>
      </c>
      <c r="F141" s="7" t="s">
        <v>257</v>
      </c>
      <c r="G141" s="7" t="s">
        <v>871</v>
      </c>
      <c r="H141" s="7" t="s">
        <v>871</v>
      </c>
      <c r="I141" s="7" t="s">
        <v>4630</v>
      </c>
      <c r="J141" s="7" t="s">
        <v>4631</v>
      </c>
      <c r="K141" s="5" t="s">
        <v>10</v>
      </c>
      <c r="L141" s="5" t="s">
        <v>10</v>
      </c>
      <c r="M141" s="5" t="s">
        <v>10</v>
      </c>
      <c r="N141" s="5" t="s">
        <v>45</v>
      </c>
      <c r="O141" s="80" t="s">
        <v>56</v>
      </c>
      <c r="P141" s="101">
        <v>46073</v>
      </c>
      <c r="Q141" s="100">
        <f t="shared" si="18"/>
        <v>46438</v>
      </c>
      <c r="R141" s="5" t="s">
        <v>4632</v>
      </c>
      <c r="S141" s="5" t="s">
        <v>4923</v>
      </c>
      <c r="T141" s="7">
        <v>0.16</v>
      </c>
      <c r="U141" s="7"/>
      <c r="V141" s="7">
        <f t="shared" si="19"/>
        <v>0.16</v>
      </c>
      <c r="W141" s="5" t="s">
        <v>10</v>
      </c>
      <c r="X141" s="5" t="s">
        <v>875</v>
      </c>
      <c r="Y141" s="48" t="str">
        <f t="shared" si="20"/>
        <v>A DEFINIR</v>
      </c>
      <c r="Z141" s="7" t="s">
        <v>56</v>
      </c>
      <c r="AA141" s="5">
        <v>11601990</v>
      </c>
      <c r="AB141" s="5" t="s">
        <v>4633</v>
      </c>
      <c r="AC141" s="5" t="s">
        <v>48</v>
      </c>
      <c r="AD141" s="5" t="s">
        <v>5530</v>
      </c>
      <c r="AE141" s="5" t="str">
        <f t="shared" ca="1" si="22"/>
        <v>NO PRAZO</v>
      </c>
      <c r="AF141" s="51"/>
    </row>
    <row r="142" spans="1:37" ht="30" customHeight="1" x14ac:dyDescent="0.25">
      <c r="A142" s="5" t="s">
        <v>879</v>
      </c>
      <c r="B142" s="5" t="s">
        <v>10</v>
      </c>
      <c r="C142" s="5" t="s">
        <v>5864</v>
      </c>
      <c r="D142" s="7" t="s">
        <v>871</v>
      </c>
      <c r="E142" s="7" t="s">
        <v>256</v>
      </c>
      <c r="F142" s="7" t="s">
        <v>257</v>
      </c>
      <c r="G142" s="7" t="s">
        <v>871</v>
      </c>
      <c r="H142" s="7" t="s">
        <v>871</v>
      </c>
      <c r="I142" s="7" t="s">
        <v>873</v>
      </c>
      <c r="J142" s="7" t="s">
        <v>874</v>
      </c>
      <c r="K142" s="5" t="s">
        <v>10</v>
      </c>
      <c r="L142" s="5" t="s">
        <v>10</v>
      </c>
      <c r="M142" s="5" t="s">
        <v>10</v>
      </c>
      <c r="N142" s="5" t="s">
        <v>45</v>
      </c>
      <c r="O142" s="80" t="s">
        <v>56</v>
      </c>
      <c r="P142" s="101">
        <v>46132</v>
      </c>
      <c r="Q142" s="100">
        <f t="shared" si="18"/>
        <v>46497</v>
      </c>
      <c r="R142" s="5" t="s">
        <v>2120</v>
      </c>
      <c r="S142" s="5" t="s">
        <v>5325</v>
      </c>
      <c r="T142" s="7">
        <v>8.5999999999999993E-2</v>
      </c>
      <c r="U142" s="7"/>
      <c r="V142" s="7">
        <f t="shared" si="19"/>
        <v>8.5999999999999993E-2</v>
      </c>
      <c r="W142" s="5" t="s">
        <v>10</v>
      </c>
      <c r="X142" s="5" t="s">
        <v>875</v>
      </c>
      <c r="Y142" s="48" t="str">
        <f t="shared" si="20"/>
        <v>A DEFINIR</v>
      </c>
      <c r="Z142" s="7" t="s">
        <v>56</v>
      </c>
      <c r="AA142" s="5">
        <v>11586801</v>
      </c>
      <c r="AB142" s="5" t="s">
        <v>2824</v>
      </c>
      <c r="AC142" s="5" t="s">
        <v>48</v>
      </c>
      <c r="AD142" s="5" t="s">
        <v>5530</v>
      </c>
      <c r="AE142" s="5" t="str">
        <f t="shared" ca="1" si="22"/>
        <v>NO PRAZO</v>
      </c>
      <c r="AF142" s="49"/>
    </row>
    <row r="143" spans="1:37" ht="30" customHeight="1" x14ac:dyDescent="0.25">
      <c r="A143" s="5" t="s">
        <v>1718</v>
      </c>
      <c r="B143" s="5" t="s">
        <v>10</v>
      </c>
      <c r="C143" s="5" t="s">
        <v>5864</v>
      </c>
      <c r="D143" s="7" t="s">
        <v>871</v>
      </c>
      <c r="E143" s="7" t="s">
        <v>256</v>
      </c>
      <c r="F143" s="7" t="s">
        <v>257</v>
      </c>
      <c r="G143" s="7" t="s">
        <v>871</v>
      </c>
      <c r="H143" s="7" t="s">
        <v>871</v>
      </c>
      <c r="I143" s="7" t="s">
        <v>873</v>
      </c>
      <c r="J143" s="7" t="s">
        <v>874</v>
      </c>
      <c r="K143" s="5" t="s">
        <v>10</v>
      </c>
      <c r="L143" s="5" t="s">
        <v>10</v>
      </c>
      <c r="M143" s="5" t="s">
        <v>10</v>
      </c>
      <c r="N143" s="5" t="s">
        <v>45</v>
      </c>
      <c r="O143" s="80" t="s">
        <v>56</v>
      </c>
      <c r="P143" s="101">
        <v>45960</v>
      </c>
      <c r="Q143" s="100">
        <f t="shared" si="18"/>
        <v>46325</v>
      </c>
      <c r="R143" s="5" t="s">
        <v>1720</v>
      </c>
      <c r="S143" s="5" t="s">
        <v>3635</v>
      </c>
      <c r="T143" s="7">
        <v>0.3</v>
      </c>
      <c r="U143" s="7"/>
      <c r="V143" s="7">
        <f t="shared" si="19"/>
        <v>0.3</v>
      </c>
      <c r="W143" s="5" t="s">
        <v>10</v>
      </c>
      <c r="X143" s="5" t="s">
        <v>875</v>
      </c>
      <c r="Y143" s="48" t="str">
        <f t="shared" si="20"/>
        <v>A DEFINIR</v>
      </c>
      <c r="Z143" s="7" t="s">
        <v>56</v>
      </c>
      <c r="AA143" s="5">
        <v>11586900</v>
      </c>
      <c r="AB143" s="5" t="s">
        <v>3863</v>
      </c>
      <c r="AC143" s="5" t="s">
        <v>48</v>
      </c>
      <c r="AD143" s="5" t="s">
        <v>5530</v>
      </c>
      <c r="AE143" s="5" t="str">
        <f t="shared" ca="1" si="22"/>
        <v>NO PRAZO</v>
      </c>
      <c r="AF143" s="49"/>
    </row>
    <row r="144" spans="1:37" ht="30" customHeight="1" x14ac:dyDescent="0.25">
      <c r="A144" s="5" t="s">
        <v>1719</v>
      </c>
      <c r="B144" s="5" t="s">
        <v>10</v>
      </c>
      <c r="C144" s="5" t="s">
        <v>5864</v>
      </c>
      <c r="D144" s="7" t="s">
        <v>871</v>
      </c>
      <c r="E144" s="7" t="s">
        <v>256</v>
      </c>
      <c r="F144" s="7" t="s">
        <v>447</v>
      </c>
      <c r="G144" s="7" t="s">
        <v>871</v>
      </c>
      <c r="H144" s="7" t="s">
        <v>871</v>
      </c>
      <c r="I144" s="7" t="s">
        <v>873</v>
      </c>
      <c r="J144" s="7" t="s">
        <v>874</v>
      </c>
      <c r="K144" s="5" t="s">
        <v>10</v>
      </c>
      <c r="L144" s="5" t="s">
        <v>10</v>
      </c>
      <c r="M144" s="5" t="s">
        <v>10</v>
      </c>
      <c r="N144" s="5" t="s">
        <v>45</v>
      </c>
      <c r="O144" s="80" t="s">
        <v>56</v>
      </c>
      <c r="P144" s="101">
        <v>45960</v>
      </c>
      <c r="Q144" s="100">
        <f t="shared" ref="Q144:Q205" si="23">IF(P144="","",P144+365)</f>
        <v>46325</v>
      </c>
      <c r="R144" s="5" t="s">
        <v>1721</v>
      </c>
      <c r="S144" s="5" t="s">
        <v>3636</v>
      </c>
      <c r="T144" s="7">
        <v>0.23</v>
      </c>
      <c r="U144" s="7"/>
      <c r="V144" s="7">
        <f t="shared" ref="V144:V205" si="24">IFERROR(IF(U144&gt;0,T144*100/U144,T144),T144)</f>
        <v>0.23</v>
      </c>
      <c r="W144" s="5" t="s">
        <v>10</v>
      </c>
      <c r="X144" s="5" t="s">
        <v>875</v>
      </c>
      <c r="Y144" s="48" t="str">
        <f t="shared" ref="Y144:Y205" si="25">IFERROR(IF(W144="-",$AL$6,CHOOSE(IF(T144="",1,2),$AL$7,IF(V144&gt;W144,$AL$5,$AL$4))),"-")</f>
        <v>A DEFINIR</v>
      </c>
      <c r="Z144" s="7" t="s">
        <v>56</v>
      </c>
      <c r="AA144" s="5">
        <v>11605794</v>
      </c>
      <c r="AB144" s="5" t="s">
        <v>3864</v>
      </c>
      <c r="AC144" s="5" t="s">
        <v>48</v>
      </c>
      <c r="AD144" s="5" t="s">
        <v>5530</v>
      </c>
      <c r="AE144" s="5" t="str">
        <f t="shared" ca="1" si="22"/>
        <v>NO PRAZO</v>
      </c>
      <c r="AF144" s="51"/>
    </row>
    <row r="145" spans="1:32" ht="30" customHeight="1" x14ac:dyDescent="0.25">
      <c r="A145" s="5" t="s">
        <v>5919</v>
      </c>
      <c r="B145" s="5" t="s">
        <v>10</v>
      </c>
      <c r="C145" s="5" t="s">
        <v>5864</v>
      </c>
      <c r="D145" s="7" t="s">
        <v>871</v>
      </c>
      <c r="E145" s="7" t="s">
        <v>256</v>
      </c>
      <c r="F145" s="7" t="s">
        <v>257</v>
      </c>
      <c r="G145" s="7" t="s">
        <v>871</v>
      </c>
      <c r="H145" s="7" t="s">
        <v>871</v>
      </c>
      <c r="I145" s="7" t="s">
        <v>873</v>
      </c>
      <c r="J145" s="7" t="s">
        <v>5923</v>
      </c>
      <c r="K145" s="5" t="s">
        <v>10</v>
      </c>
      <c r="L145" s="5" t="s">
        <v>10</v>
      </c>
      <c r="M145" s="5" t="s">
        <v>10</v>
      </c>
      <c r="N145" s="5" t="s">
        <v>45</v>
      </c>
      <c r="O145" s="80" t="s">
        <v>56</v>
      </c>
      <c r="P145" s="101">
        <v>46217</v>
      </c>
      <c r="Q145" s="100">
        <f t="shared" ref="Q145:Q146" si="26">IF(P145="","",P145+365)</f>
        <v>46582</v>
      </c>
      <c r="R145" s="5" t="s">
        <v>273</v>
      </c>
      <c r="S145" s="5" t="s">
        <v>5921</v>
      </c>
      <c r="T145" s="7">
        <v>5.0999999999999997E-2</v>
      </c>
      <c r="U145" s="7"/>
      <c r="V145" s="7">
        <f t="shared" ref="V145:V146" si="27">IFERROR(IF(U145&gt;0,T145*100/U145,T145),T145)</f>
        <v>5.0999999999999997E-2</v>
      </c>
      <c r="W145" s="5" t="s">
        <v>10</v>
      </c>
      <c r="X145" s="5" t="s">
        <v>875</v>
      </c>
      <c r="Y145" s="48" t="str">
        <f t="shared" ref="Y145:Y146" si="28">IFERROR(IF(W145="-",$AL$6,CHOOSE(IF(T145="",1,2),$AL$7,IF(V145&gt;W145,$AL$5,$AL$4))),"-")</f>
        <v>A DEFINIR</v>
      </c>
      <c r="Z145" s="7" t="s">
        <v>56</v>
      </c>
      <c r="AA145" s="5" t="s">
        <v>4675</v>
      </c>
      <c r="AB145" s="5" t="s">
        <v>4675</v>
      </c>
      <c r="AC145" s="5" t="s">
        <v>48</v>
      </c>
      <c r="AD145" s="5" t="s">
        <v>5632</v>
      </c>
      <c r="AE145" s="5" t="str">
        <f t="shared" ref="AE145:AE146" ca="1" si="29">IFERROR(IF(OR(AND(YEAR(Q145)=YEAR(TODAY()),MONTH(Q145)&gt;MONTH(TODAY())),(YEAR(Q145)&gt;YEAR(TODAY()))),$AK$4,IF(AND(YEAR(Q145)=YEAR(TODAY()),MONTH(Q145)=MONTH(TODAY())),$AK$5,IF(Q145="",$AK$6,$AK$7))),"-")</f>
        <v>NO PRAZO</v>
      </c>
      <c r="AF145" s="51"/>
    </row>
    <row r="146" spans="1:32" ht="30" customHeight="1" x14ac:dyDescent="0.25">
      <c r="A146" s="5" t="s">
        <v>5920</v>
      </c>
      <c r="B146" s="5" t="s">
        <v>10</v>
      </c>
      <c r="C146" s="5" t="s">
        <v>5864</v>
      </c>
      <c r="D146" s="7" t="s">
        <v>871</v>
      </c>
      <c r="E146" s="7" t="s">
        <v>256</v>
      </c>
      <c r="F146" s="7" t="s">
        <v>257</v>
      </c>
      <c r="G146" s="7" t="s">
        <v>871</v>
      </c>
      <c r="H146" s="7" t="s">
        <v>871</v>
      </c>
      <c r="I146" s="7" t="s">
        <v>873</v>
      </c>
      <c r="J146" s="7" t="s">
        <v>5923</v>
      </c>
      <c r="K146" s="5" t="s">
        <v>10</v>
      </c>
      <c r="L146" s="5" t="s">
        <v>10</v>
      </c>
      <c r="M146" s="5" t="s">
        <v>10</v>
      </c>
      <c r="N146" s="5" t="s">
        <v>45</v>
      </c>
      <c r="O146" s="80" t="s">
        <v>56</v>
      </c>
      <c r="P146" s="101">
        <v>46217</v>
      </c>
      <c r="Q146" s="100">
        <f t="shared" si="26"/>
        <v>46582</v>
      </c>
      <c r="R146" s="5" t="s">
        <v>273</v>
      </c>
      <c r="S146" s="5" t="s">
        <v>5922</v>
      </c>
      <c r="T146" s="7">
        <v>8.4599999999999995E-2</v>
      </c>
      <c r="U146" s="7"/>
      <c r="V146" s="7">
        <f t="shared" si="27"/>
        <v>8.4599999999999995E-2</v>
      </c>
      <c r="W146" s="5" t="s">
        <v>10</v>
      </c>
      <c r="X146" s="5" t="s">
        <v>875</v>
      </c>
      <c r="Y146" s="48" t="str">
        <f t="shared" si="28"/>
        <v>A DEFINIR</v>
      </c>
      <c r="Z146" s="7" t="s">
        <v>56</v>
      </c>
      <c r="AA146" s="5" t="s">
        <v>4675</v>
      </c>
      <c r="AB146" s="5" t="s">
        <v>4675</v>
      </c>
      <c r="AC146" s="5" t="s">
        <v>48</v>
      </c>
      <c r="AD146" s="5" t="s">
        <v>5632</v>
      </c>
      <c r="AE146" s="5" t="str">
        <f t="shared" ca="1" si="29"/>
        <v>NO PRAZO</v>
      </c>
      <c r="AF146" s="51"/>
    </row>
    <row r="147" spans="1:32" ht="30" customHeight="1" x14ac:dyDescent="0.25">
      <c r="A147" s="9" t="s">
        <v>880</v>
      </c>
      <c r="B147" s="5" t="s">
        <v>10</v>
      </c>
      <c r="C147" s="5" t="s">
        <v>5864</v>
      </c>
      <c r="D147" s="61" t="s">
        <v>881</v>
      </c>
      <c r="E147" s="7" t="s">
        <v>256</v>
      </c>
      <c r="F147" s="7" t="s">
        <v>312</v>
      </c>
      <c r="G147" s="61" t="s">
        <v>881</v>
      </c>
      <c r="H147" s="61" t="s">
        <v>10</v>
      </c>
      <c r="I147" s="62" t="s">
        <v>882</v>
      </c>
      <c r="J147" s="62" t="s">
        <v>883</v>
      </c>
      <c r="K147" s="5" t="s">
        <v>10</v>
      </c>
      <c r="L147" s="5" t="s">
        <v>10</v>
      </c>
      <c r="M147" s="5" t="s">
        <v>10</v>
      </c>
      <c r="N147" s="5" t="s">
        <v>45</v>
      </c>
      <c r="O147" s="80" t="s">
        <v>56</v>
      </c>
      <c r="P147" s="99">
        <v>46205</v>
      </c>
      <c r="Q147" s="100">
        <f t="shared" si="23"/>
        <v>46570</v>
      </c>
      <c r="R147" s="63" t="s">
        <v>2692</v>
      </c>
      <c r="S147" s="63" t="s">
        <v>5735</v>
      </c>
      <c r="T147" s="7">
        <v>1.62</v>
      </c>
      <c r="U147" s="7" t="s">
        <v>10</v>
      </c>
      <c r="V147" s="7">
        <f t="shared" si="24"/>
        <v>1.62</v>
      </c>
      <c r="W147" s="5" t="s">
        <v>10</v>
      </c>
      <c r="X147" s="5" t="s">
        <v>55</v>
      </c>
      <c r="Y147" s="48" t="str">
        <f t="shared" si="25"/>
        <v>A DEFINIR</v>
      </c>
      <c r="Z147" s="7" t="s">
        <v>56</v>
      </c>
      <c r="AA147" s="5">
        <v>11599864</v>
      </c>
      <c r="AB147" s="5" t="s">
        <v>2930</v>
      </c>
      <c r="AC147" s="5" t="s">
        <v>48</v>
      </c>
      <c r="AD147" s="5" t="s">
        <v>5632</v>
      </c>
      <c r="AE147" s="5" t="str">
        <f t="shared" ca="1" si="22"/>
        <v>NO PRAZO</v>
      </c>
      <c r="AF147" s="51"/>
    </row>
    <row r="148" spans="1:32" ht="30" customHeight="1" x14ac:dyDescent="0.25">
      <c r="A148" s="5" t="s">
        <v>4779</v>
      </c>
      <c r="B148" s="5" t="s">
        <v>725</v>
      </c>
      <c r="C148" s="5" t="s">
        <v>5864</v>
      </c>
      <c r="D148" s="7" t="s">
        <v>726</v>
      </c>
      <c r="E148" s="7" t="s">
        <v>256</v>
      </c>
      <c r="F148" s="7" t="s">
        <v>257</v>
      </c>
      <c r="G148" s="7" t="s">
        <v>726</v>
      </c>
      <c r="H148" s="7" t="s">
        <v>726</v>
      </c>
      <c r="I148" s="7" t="s">
        <v>727</v>
      </c>
      <c r="J148" s="7" t="s">
        <v>727</v>
      </c>
      <c r="K148" s="5" t="s">
        <v>10</v>
      </c>
      <c r="L148" s="5" t="s">
        <v>10</v>
      </c>
      <c r="M148" s="5" t="s">
        <v>10</v>
      </c>
      <c r="N148" s="5" t="s">
        <v>45</v>
      </c>
      <c r="O148" s="80" t="s">
        <v>56</v>
      </c>
      <c r="P148" s="101">
        <v>46052</v>
      </c>
      <c r="Q148" s="100">
        <f t="shared" si="23"/>
        <v>46417</v>
      </c>
      <c r="R148" s="5" t="s">
        <v>1896</v>
      </c>
      <c r="S148" s="5" t="s">
        <v>4663</v>
      </c>
      <c r="T148" s="7">
        <v>2.5000000000000001E-2</v>
      </c>
      <c r="U148" s="7" t="s">
        <v>10</v>
      </c>
      <c r="V148" s="7">
        <f t="shared" si="24"/>
        <v>2.5000000000000001E-2</v>
      </c>
      <c r="W148" s="5" t="s">
        <v>10</v>
      </c>
      <c r="X148" s="5" t="s">
        <v>330</v>
      </c>
      <c r="Y148" s="48" t="str">
        <f t="shared" si="25"/>
        <v>A DEFINIR</v>
      </c>
      <c r="Z148" s="7" t="s">
        <v>56</v>
      </c>
      <c r="AA148" s="5">
        <v>11599641</v>
      </c>
      <c r="AB148" s="5" t="s">
        <v>3804</v>
      </c>
      <c r="AC148" s="5" t="s">
        <v>48</v>
      </c>
      <c r="AD148" s="5" t="s">
        <v>5530</v>
      </c>
      <c r="AE148" s="5" t="str">
        <f t="shared" ca="1" si="22"/>
        <v>NO PRAZO</v>
      </c>
      <c r="AF148" s="53"/>
    </row>
    <row r="149" spans="1:32" ht="30" customHeight="1" x14ac:dyDescent="0.25">
      <c r="A149" s="5" t="s">
        <v>884</v>
      </c>
      <c r="B149" s="5" t="s">
        <v>10</v>
      </c>
      <c r="C149" s="5" t="s">
        <v>5864</v>
      </c>
      <c r="D149" s="7" t="s">
        <v>885</v>
      </c>
      <c r="E149" s="7" t="s">
        <v>256</v>
      </c>
      <c r="F149" s="7" t="s">
        <v>447</v>
      </c>
      <c r="G149" s="7" t="s">
        <v>886</v>
      </c>
      <c r="H149" s="7" t="s">
        <v>886</v>
      </c>
      <c r="I149" s="7" t="s">
        <v>887</v>
      </c>
      <c r="J149" s="7" t="s">
        <v>445</v>
      </c>
      <c r="K149" s="5" t="s">
        <v>10</v>
      </c>
      <c r="L149" s="5" t="s">
        <v>10</v>
      </c>
      <c r="M149" s="5" t="s">
        <v>10</v>
      </c>
      <c r="N149" s="5" t="s">
        <v>45</v>
      </c>
      <c r="O149" s="80" t="s">
        <v>56</v>
      </c>
      <c r="P149" s="101">
        <v>46077</v>
      </c>
      <c r="Q149" s="100">
        <f t="shared" si="23"/>
        <v>46442</v>
      </c>
      <c r="R149" s="5" t="s">
        <v>1894</v>
      </c>
      <c r="S149" s="5" t="s">
        <v>4935</v>
      </c>
      <c r="T149" s="7">
        <v>7.5</v>
      </c>
      <c r="U149" s="7" t="s">
        <v>10</v>
      </c>
      <c r="V149" s="7">
        <f t="shared" si="24"/>
        <v>7.5</v>
      </c>
      <c r="W149" s="5" t="s">
        <v>10</v>
      </c>
      <c r="X149" s="5" t="s">
        <v>443</v>
      </c>
      <c r="Y149" s="48" t="str">
        <f t="shared" si="25"/>
        <v>A DEFINIR</v>
      </c>
      <c r="Z149" s="7" t="s">
        <v>56</v>
      </c>
      <c r="AA149" s="5">
        <v>11599656</v>
      </c>
      <c r="AB149" s="5" t="s">
        <v>3865</v>
      </c>
      <c r="AC149" s="5" t="s">
        <v>48</v>
      </c>
      <c r="AD149" s="5" t="s">
        <v>5530</v>
      </c>
      <c r="AE149" s="5" t="str">
        <f t="shared" ca="1" si="22"/>
        <v>NO PRAZO</v>
      </c>
      <c r="AF149" s="51"/>
    </row>
    <row r="150" spans="1:32" ht="30" customHeight="1" x14ac:dyDescent="0.25">
      <c r="A150" s="5" t="s">
        <v>1699</v>
      </c>
      <c r="B150" s="5" t="s">
        <v>10</v>
      </c>
      <c r="C150" s="5" t="s">
        <v>5864</v>
      </c>
      <c r="D150" s="7" t="s">
        <v>1700</v>
      </c>
      <c r="E150" s="7" t="s">
        <v>256</v>
      </c>
      <c r="F150" s="7" t="s">
        <v>263</v>
      </c>
      <c r="G150" s="7" t="s">
        <v>1700</v>
      </c>
      <c r="H150" s="7" t="s">
        <v>1700</v>
      </c>
      <c r="I150" s="7" t="s">
        <v>1701</v>
      </c>
      <c r="J150" s="7" t="s">
        <v>1702</v>
      </c>
      <c r="K150" s="5" t="s">
        <v>10</v>
      </c>
      <c r="L150" s="5" t="s">
        <v>45</v>
      </c>
      <c r="M150" s="5" t="s">
        <v>10</v>
      </c>
      <c r="N150" s="5" t="s">
        <v>10</v>
      </c>
      <c r="O150" s="80" t="s">
        <v>56</v>
      </c>
      <c r="P150" s="101">
        <v>46078</v>
      </c>
      <c r="Q150" s="100">
        <f t="shared" si="23"/>
        <v>46443</v>
      </c>
      <c r="R150" s="7" t="s">
        <v>2019</v>
      </c>
      <c r="S150" s="7" t="s">
        <v>4945</v>
      </c>
      <c r="T150" s="7">
        <v>7.0000000000000007E-2</v>
      </c>
      <c r="U150" s="7" t="s">
        <v>10</v>
      </c>
      <c r="V150" s="7">
        <f t="shared" si="24"/>
        <v>7.0000000000000007E-2</v>
      </c>
      <c r="W150" s="7" t="s">
        <v>10</v>
      </c>
      <c r="X150" s="7" t="s">
        <v>253</v>
      </c>
      <c r="Y150" s="48" t="str">
        <f t="shared" si="25"/>
        <v>A DEFINIR</v>
      </c>
      <c r="Z150" s="7" t="s">
        <v>56</v>
      </c>
      <c r="AA150" s="5">
        <v>11603023</v>
      </c>
      <c r="AB150" s="5" t="s">
        <v>2583</v>
      </c>
      <c r="AC150" s="5" t="s">
        <v>48</v>
      </c>
      <c r="AD150" s="5" t="s">
        <v>5530</v>
      </c>
      <c r="AE150" s="5" t="str">
        <f t="shared" ca="1" si="22"/>
        <v>NO PRAZO</v>
      </c>
      <c r="AF150" s="49"/>
    </row>
    <row r="151" spans="1:32" ht="30" customHeight="1" x14ac:dyDescent="0.25">
      <c r="A151" s="5" t="s">
        <v>2012</v>
      </c>
      <c r="B151" s="5" t="s">
        <v>10</v>
      </c>
      <c r="C151" s="5" t="s">
        <v>5864</v>
      </c>
      <c r="D151" s="7" t="s">
        <v>385</v>
      </c>
      <c r="E151" s="7" t="s">
        <v>256</v>
      </c>
      <c r="F151" s="7" t="s">
        <v>263</v>
      </c>
      <c r="G151" s="7" t="s">
        <v>385</v>
      </c>
      <c r="H151" s="7" t="s">
        <v>385</v>
      </c>
      <c r="I151" s="7" t="s">
        <v>2030</v>
      </c>
      <c r="J151" s="7" t="s">
        <v>2191</v>
      </c>
      <c r="K151" s="5" t="s">
        <v>10</v>
      </c>
      <c r="L151" s="5" t="s">
        <v>10</v>
      </c>
      <c r="M151" s="5" t="s">
        <v>10</v>
      </c>
      <c r="N151" s="5" t="s">
        <v>45</v>
      </c>
      <c r="O151" s="80" t="s">
        <v>46</v>
      </c>
      <c r="P151" s="101">
        <v>46134</v>
      </c>
      <c r="Q151" s="100">
        <f t="shared" si="23"/>
        <v>46499</v>
      </c>
      <c r="R151" s="5" t="s">
        <v>2119</v>
      </c>
      <c r="S151" s="5" t="s">
        <v>5330</v>
      </c>
      <c r="T151" s="7">
        <v>5.0999999999999996</v>
      </c>
      <c r="U151" s="7" t="s">
        <v>10</v>
      </c>
      <c r="V151" s="7">
        <f t="shared" si="24"/>
        <v>5.0999999999999996</v>
      </c>
      <c r="W151" s="5" t="s">
        <v>10</v>
      </c>
      <c r="X151" s="5" t="s">
        <v>388</v>
      </c>
      <c r="Y151" s="48" t="str">
        <f t="shared" si="25"/>
        <v>A DEFINIR</v>
      </c>
      <c r="Z151" s="7" t="s">
        <v>56</v>
      </c>
      <c r="AA151" s="5">
        <v>11599762</v>
      </c>
      <c r="AB151" s="5" t="s">
        <v>4194</v>
      </c>
      <c r="AC151" s="5" t="s">
        <v>48</v>
      </c>
      <c r="AD151" s="5" t="s">
        <v>5530</v>
      </c>
      <c r="AE151" s="5" t="str">
        <f t="shared" ca="1" si="22"/>
        <v>NO PRAZO</v>
      </c>
      <c r="AF151" s="53"/>
    </row>
    <row r="152" spans="1:32" ht="30" customHeight="1" x14ac:dyDescent="0.25">
      <c r="A152" s="5" t="s">
        <v>888</v>
      </c>
      <c r="B152" s="5" t="s">
        <v>10</v>
      </c>
      <c r="C152" s="5" t="s">
        <v>5864</v>
      </c>
      <c r="D152" s="7" t="s">
        <v>889</v>
      </c>
      <c r="E152" s="7" t="s">
        <v>256</v>
      </c>
      <c r="F152" s="7" t="s">
        <v>257</v>
      </c>
      <c r="G152" s="7" t="s">
        <v>889</v>
      </c>
      <c r="H152" s="7" t="s">
        <v>889</v>
      </c>
      <c r="I152" s="7" t="s">
        <v>860</v>
      </c>
      <c r="J152" s="7" t="s">
        <v>860</v>
      </c>
      <c r="K152" s="5" t="s">
        <v>10</v>
      </c>
      <c r="L152" s="5" t="s">
        <v>10</v>
      </c>
      <c r="M152" s="5" t="s">
        <v>10</v>
      </c>
      <c r="N152" s="5" t="s">
        <v>45</v>
      </c>
      <c r="O152" s="80" t="s">
        <v>56</v>
      </c>
      <c r="P152" s="101">
        <v>45996</v>
      </c>
      <c r="Q152" s="100">
        <f t="shared" si="23"/>
        <v>46361</v>
      </c>
      <c r="R152" s="5" t="s">
        <v>1814</v>
      </c>
      <c r="S152" s="5" t="s">
        <v>4252</v>
      </c>
      <c r="T152" s="7">
        <v>5.5E-2</v>
      </c>
      <c r="U152" s="7" t="s">
        <v>10</v>
      </c>
      <c r="V152" s="7">
        <f t="shared" si="24"/>
        <v>5.5E-2</v>
      </c>
      <c r="W152" s="5" t="s">
        <v>10</v>
      </c>
      <c r="X152" s="5" t="s">
        <v>890</v>
      </c>
      <c r="Y152" s="48" t="str">
        <f t="shared" si="25"/>
        <v>A DEFINIR</v>
      </c>
      <c r="Z152" s="7" t="s">
        <v>56</v>
      </c>
      <c r="AA152" s="5">
        <v>11599657</v>
      </c>
      <c r="AB152" s="5" t="s">
        <v>3866</v>
      </c>
      <c r="AC152" s="5" t="s">
        <v>48</v>
      </c>
      <c r="AD152" s="5" t="s">
        <v>5530</v>
      </c>
      <c r="AE152" s="5" t="str">
        <f t="shared" ca="1" si="22"/>
        <v>NO PRAZO</v>
      </c>
      <c r="AF152" s="51"/>
    </row>
    <row r="153" spans="1:32" ht="30" customHeight="1" x14ac:dyDescent="0.25">
      <c r="A153" s="9" t="s">
        <v>894</v>
      </c>
      <c r="B153" s="5" t="s">
        <v>10</v>
      </c>
      <c r="C153" s="5" t="s">
        <v>5864</v>
      </c>
      <c r="D153" s="61" t="s">
        <v>891</v>
      </c>
      <c r="E153" s="7" t="s">
        <v>256</v>
      </c>
      <c r="F153" s="7" t="s">
        <v>257</v>
      </c>
      <c r="G153" s="61" t="s">
        <v>891</v>
      </c>
      <c r="H153" s="61" t="s">
        <v>891</v>
      </c>
      <c r="I153" s="7" t="s">
        <v>892</v>
      </c>
      <c r="J153" s="7" t="s">
        <v>893</v>
      </c>
      <c r="K153" s="5" t="s">
        <v>10</v>
      </c>
      <c r="L153" s="5" t="s">
        <v>45</v>
      </c>
      <c r="M153" s="5" t="s">
        <v>10</v>
      </c>
      <c r="N153" s="5" t="s">
        <v>10</v>
      </c>
      <c r="O153" s="46" t="s">
        <v>46</v>
      </c>
      <c r="P153" s="99">
        <v>46153</v>
      </c>
      <c r="Q153" s="100">
        <f t="shared" si="23"/>
        <v>46518</v>
      </c>
      <c r="R153" s="82" t="s">
        <v>2246</v>
      </c>
      <c r="S153" s="82" t="s">
        <v>5367</v>
      </c>
      <c r="T153" s="7">
        <v>1.0429999999999999</v>
      </c>
      <c r="U153" s="7" t="s">
        <v>10</v>
      </c>
      <c r="V153" s="7">
        <f t="shared" si="24"/>
        <v>1.0429999999999999</v>
      </c>
      <c r="W153" s="5">
        <v>30</v>
      </c>
      <c r="X153" s="5" t="s">
        <v>253</v>
      </c>
      <c r="Y153" s="48" t="str">
        <f t="shared" si="25"/>
        <v>APROVADO</v>
      </c>
      <c r="Z153" s="7" t="s">
        <v>56</v>
      </c>
      <c r="AA153" s="5">
        <v>11604032</v>
      </c>
      <c r="AB153" s="5" t="s">
        <v>2845</v>
      </c>
      <c r="AC153" s="5" t="s">
        <v>48</v>
      </c>
      <c r="AD153" s="5" t="s">
        <v>5530</v>
      </c>
      <c r="AE153" s="5" t="str">
        <f t="shared" ca="1" si="22"/>
        <v>NO PRAZO</v>
      </c>
      <c r="AF153" s="49"/>
    </row>
    <row r="154" spans="1:32" ht="30" customHeight="1" x14ac:dyDescent="0.25">
      <c r="A154" s="121" t="s">
        <v>3338</v>
      </c>
      <c r="B154" s="5" t="s">
        <v>10</v>
      </c>
      <c r="C154" s="5" t="s">
        <v>5864</v>
      </c>
      <c r="D154" s="7" t="s">
        <v>891</v>
      </c>
      <c r="E154" s="116" t="s">
        <v>256</v>
      </c>
      <c r="F154" s="116" t="s">
        <v>257</v>
      </c>
      <c r="G154" s="116" t="s">
        <v>891</v>
      </c>
      <c r="H154" s="116" t="s">
        <v>891</v>
      </c>
      <c r="I154" s="116" t="s">
        <v>3339</v>
      </c>
      <c r="J154" s="7" t="s">
        <v>893</v>
      </c>
      <c r="K154" s="7" t="s">
        <v>10</v>
      </c>
      <c r="L154" s="7" t="s">
        <v>45</v>
      </c>
      <c r="M154" s="7" t="s">
        <v>10</v>
      </c>
      <c r="N154" s="7" t="s">
        <v>10</v>
      </c>
      <c r="O154" s="119" t="s">
        <v>46</v>
      </c>
      <c r="P154" s="100">
        <v>45904</v>
      </c>
      <c r="Q154" s="100">
        <f t="shared" si="23"/>
        <v>46269</v>
      </c>
      <c r="R154" s="5" t="s">
        <v>273</v>
      </c>
      <c r="S154" s="7" t="s">
        <v>3347</v>
      </c>
      <c r="T154" s="7">
        <v>0.36</v>
      </c>
      <c r="U154" s="7"/>
      <c r="V154" s="7">
        <f t="shared" si="24"/>
        <v>0.36</v>
      </c>
      <c r="W154" s="5" t="s">
        <v>10</v>
      </c>
      <c r="X154" s="5" t="s">
        <v>253</v>
      </c>
      <c r="Y154" s="48" t="str">
        <f t="shared" si="25"/>
        <v>A DEFINIR</v>
      </c>
      <c r="Z154" s="7" t="s">
        <v>56</v>
      </c>
      <c r="AA154" s="5">
        <v>11606748</v>
      </c>
      <c r="AB154" s="5" t="s">
        <v>4223</v>
      </c>
      <c r="AC154" s="5" t="s">
        <v>48</v>
      </c>
      <c r="AD154" s="5" t="s">
        <v>5530</v>
      </c>
      <c r="AE154" s="5" t="str">
        <f t="shared" ca="1" si="22"/>
        <v>NO PRAZO</v>
      </c>
      <c r="AF154" s="49"/>
    </row>
    <row r="155" spans="1:32" ht="30" customHeight="1" x14ac:dyDescent="0.25">
      <c r="A155" s="121" t="s">
        <v>3340</v>
      </c>
      <c r="B155" s="5" t="s">
        <v>10</v>
      </c>
      <c r="C155" s="5" t="s">
        <v>5864</v>
      </c>
      <c r="D155" s="7" t="s">
        <v>891</v>
      </c>
      <c r="E155" s="7" t="s">
        <v>256</v>
      </c>
      <c r="F155" s="7" t="s">
        <v>257</v>
      </c>
      <c r="G155" s="7" t="s">
        <v>891</v>
      </c>
      <c r="H155" s="7" t="s">
        <v>891</v>
      </c>
      <c r="I155" s="7" t="s">
        <v>3339</v>
      </c>
      <c r="J155" s="7" t="s">
        <v>3359</v>
      </c>
      <c r="K155" s="7" t="s">
        <v>10</v>
      </c>
      <c r="L155" s="7" t="s">
        <v>45</v>
      </c>
      <c r="M155" s="7" t="s">
        <v>10</v>
      </c>
      <c r="N155" s="7" t="s">
        <v>10</v>
      </c>
      <c r="O155" s="119" t="s">
        <v>46</v>
      </c>
      <c r="P155" s="100">
        <v>45904</v>
      </c>
      <c r="Q155" s="100">
        <f t="shared" si="23"/>
        <v>46269</v>
      </c>
      <c r="R155" s="5" t="s">
        <v>273</v>
      </c>
      <c r="S155" s="7" t="s">
        <v>3348</v>
      </c>
      <c r="T155" s="7">
        <v>0.4</v>
      </c>
      <c r="U155" s="7"/>
      <c r="V155" s="7">
        <f t="shared" si="24"/>
        <v>0.4</v>
      </c>
      <c r="W155" s="5">
        <v>30</v>
      </c>
      <c r="X155" s="5" t="s">
        <v>3355</v>
      </c>
      <c r="Y155" s="48" t="str">
        <f t="shared" si="25"/>
        <v>APROVADO</v>
      </c>
      <c r="Z155" s="7" t="s">
        <v>56</v>
      </c>
      <c r="AA155" s="5">
        <v>11606749</v>
      </c>
      <c r="AB155" s="5" t="s">
        <v>4224</v>
      </c>
      <c r="AC155" s="5" t="s">
        <v>48</v>
      </c>
      <c r="AD155" s="5" t="s">
        <v>5530</v>
      </c>
      <c r="AE155" s="5" t="str">
        <f t="shared" ca="1" si="22"/>
        <v>NO PRAZO</v>
      </c>
      <c r="AF155" s="49"/>
    </row>
    <row r="156" spans="1:32" ht="30" customHeight="1" x14ac:dyDescent="0.25">
      <c r="A156" s="121" t="s">
        <v>3341</v>
      </c>
      <c r="B156" s="5" t="s">
        <v>10</v>
      </c>
      <c r="C156" s="5" t="s">
        <v>5864</v>
      </c>
      <c r="D156" s="7" t="s">
        <v>891</v>
      </c>
      <c r="E156" s="7" t="s">
        <v>256</v>
      </c>
      <c r="F156" s="7" t="s">
        <v>447</v>
      </c>
      <c r="G156" s="7" t="s">
        <v>891</v>
      </c>
      <c r="H156" s="7" t="s">
        <v>891</v>
      </c>
      <c r="I156" s="7" t="s">
        <v>3339</v>
      </c>
      <c r="J156" s="7" t="s">
        <v>3359</v>
      </c>
      <c r="K156" s="7" t="s">
        <v>10</v>
      </c>
      <c r="L156" s="7" t="s">
        <v>45</v>
      </c>
      <c r="M156" s="7" t="s">
        <v>10</v>
      </c>
      <c r="N156" s="7" t="s">
        <v>10</v>
      </c>
      <c r="O156" s="119" t="s">
        <v>46</v>
      </c>
      <c r="P156" s="100">
        <v>45904</v>
      </c>
      <c r="Q156" s="100">
        <f t="shared" si="23"/>
        <v>46269</v>
      </c>
      <c r="R156" s="5" t="s">
        <v>273</v>
      </c>
      <c r="S156" s="7" t="s">
        <v>3349</v>
      </c>
      <c r="T156" s="7">
        <v>0.34</v>
      </c>
      <c r="U156" s="7"/>
      <c r="V156" s="7">
        <f t="shared" si="24"/>
        <v>0.34</v>
      </c>
      <c r="W156" s="5">
        <v>31</v>
      </c>
      <c r="X156" s="5" t="s">
        <v>3355</v>
      </c>
      <c r="Y156" s="48" t="str">
        <f t="shared" si="25"/>
        <v>APROVADO</v>
      </c>
      <c r="Z156" s="7" t="s">
        <v>56</v>
      </c>
      <c r="AA156" s="5">
        <v>11606750</v>
      </c>
      <c r="AB156" s="5" t="s">
        <v>4225</v>
      </c>
      <c r="AC156" s="5" t="s">
        <v>48</v>
      </c>
      <c r="AD156" s="5" t="s">
        <v>5530</v>
      </c>
      <c r="AE156" s="5" t="str">
        <f t="shared" ca="1" si="22"/>
        <v>NO PRAZO</v>
      </c>
      <c r="AF156" s="51"/>
    </row>
    <row r="157" spans="1:32" ht="30" customHeight="1" x14ac:dyDescent="0.25">
      <c r="A157" s="121" t="s">
        <v>3342</v>
      </c>
      <c r="B157" s="5" t="s">
        <v>10</v>
      </c>
      <c r="C157" s="5" t="s">
        <v>5864</v>
      </c>
      <c r="D157" s="7" t="s">
        <v>891</v>
      </c>
      <c r="E157" s="7" t="s">
        <v>256</v>
      </c>
      <c r="F157" s="7" t="s">
        <v>257</v>
      </c>
      <c r="G157" s="7" t="s">
        <v>891</v>
      </c>
      <c r="H157" s="7" t="s">
        <v>891</v>
      </c>
      <c r="I157" s="7" t="s">
        <v>3339</v>
      </c>
      <c r="J157" s="7" t="s">
        <v>3359</v>
      </c>
      <c r="K157" s="7" t="s">
        <v>10</v>
      </c>
      <c r="L157" s="7" t="s">
        <v>45</v>
      </c>
      <c r="M157" s="7" t="s">
        <v>10</v>
      </c>
      <c r="N157" s="7" t="s">
        <v>10</v>
      </c>
      <c r="O157" s="119" t="s">
        <v>46</v>
      </c>
      <c r="P157" s="100">
        <v>45904</v>
      </c>
      <c r="Q157" s="100">
        <f t="shared" si="23"/>
        <v>46269</v>
      </c>
      <c r="R157" s="5" t="s">
        <v>273</v>
      </c>
      <c r="S157" s="7" t="s">
        <v>3350</v>
      </c>
      <c r="T157" s="7">
        <v>0.34</v>
      </c>
      <c r="U157" s="7"/>
      <c r="V157" s="7">
        <f t="shared" si="24"/>
        <v>0.34</v>
      </c>
      <c r="W157" s="5">
        <v>32</v>
      </c>
      <c r="X157" s="5" t="s">
        <v>3355</v>
      </c>
      <c r="Y157" s="48" t="str">
        <f t="shared" si="25"/>
        <v>APROVADO</v>
      </c>
      <c r="Z157" s="7" t="s">
        <v>56</v>
      </c>
      <c r="AA157" s="5">
        <v>11606751</v>
      </c>
      <c r="AB157" s="5" t="s">
        <v>4226</v>
      </c>
      <c r="AC157" s="5" t="s">
        <v>48</v>
      </c>
      <c r="AD157" s="5" t="s">
        <v>5530</v>
      </c>
      <c r="AE157" s="5" t="str">
        <f t="shared" ca="1" si="22"/>
        <v>NO PRAZO</v>
      </c>
      <c r="AF157" s="49"/>
    </row>
    <row r="158" spans="1:32" ht="30" customHeight="1" x14ac:dyDescent="0.25">
      <c r="A158" s="121" t="s">
        <v>3343</v>
      </c>
      <c r="B158" s="5" t="s">
        <v>10</v>
      </c>
      <c r="C158" s="5" t="s">
        <v>5864</v>
      </c>
      <c r="D158" s="7" t="s">
        <v>891</v>
      </c>
      <c r="E158" s="7" t="s">
        <v>256</v>
      </c>
      <c r="F158" s="7" t="s">
        <v>257</v>
      </c>
      <c r="G158" s="7" t="s">
        <v>891</v>
      </c>
      <c r="H158" s="7" t="s">
        <v>891</v>
      </c>
      <c r="I158" s="7" t="s">
        <v>3339</v>
      </c>
      <c r="J158" s="7" t="s">
        <v>3359</v>
      </c>
      <c r="K158" s="7" t="s">
        <v>10</v>
      </c>
      <c r="L158" s="7" t="s">
        <v>45</v>
      </c>
      <c r="M158" s="7" t="s">
        <v>10</v>
      </c>
      <c r="N158" s="7" t="s">
        <v>10</v>
      </c>
      <c r="O158" s="119" t="s">
        <v>46</v>
      </c>
      <c r="P158" s="100">
        <v>45904</v>
      </c>
      <c r="Q158" s="100">
        <f t="shared" si="23"/>
        <v>46269</v>
      </c>
      <c r="R158" s="5" t="s">
        <v>273</v>
      </c>
      <c r="S158" s="7" t="s">
        <v>3351</v>
      </c>
      <c r="T158" s="7">
        <v>0.34</v>
      </c>
      <c r="U158" s="7"/>
      <c r="V158" s="7">
        <f t="shared" si="24"/>
        <v>0.34</v>
      </c>
      <c r="W158" s="5">
        <v>33</v>
      </c>
      <c r="X158" s="5" t="s">
        <v>3355</v>
      </c>
      <c r="Y158" s="48" t="str">
        <f t="shared" si="25"/>
        <v>APROVADO</v>
      </c>
      <c r="Z158" s="7" t="s">
        <v>56</v>
      </c>
      <c r="AA158" s="5">
        <v>11606752</v>
      </c>
      <c r="AB158" s="5" t="s">
        <v>4227</v>
      </c>
      <c r="AC158" s="5" t="s">
        <v>48</v>
      </c>
      <c r="AD158" s="5" t="s">
        <v>5530</v>
      </c>
      <c r="AE158" s="5" t="str">
        <f t="shared" ca="1" si="22"/>
        <v>NO PRAZO</v>
      </c>
      <c r="AF158" s="49"/>
    </row>
    <row r="159" spans="1:32" ht="30" customHeight="1" x14ac:dyDescent="0.25">
      <c r="A159" s="121" t="s">
        <v>3344</v>
      </c>
      <c r="B159" s="5" t="s">
        <v>10</v>
      </c>
      <c r="C159" s="5" t="s">
        <v>5864</v>
      </c>
      <c r="D159" s="7" t="s">
        <v>891</v>
      </c>
      <c r="E159" s="7" t="s">
        <v>256</v>
      </c>
      <c r="F159" s="7" t="s">
        <v>257</v>
      </c>
      <c r="G159" s="7" t="s">
        <v>891</v>
      </c>
      <c r="H159" s="7" t="s">
        <v>891</v>
      </c>
      <c r="I159" s="7" t="s">
        <v>3339</v>
      </c>
      <c r="J159" s="7" t="s">
        <v>3359</v>
      </c>
      <c r="K159" s="7" t="s">
        <v>10</v>
      </c>
      <c r="L159" s="7" t="s">
        <v>45</v>
      </c>
      <c r="M159" s="7" t="s">
        <v>10</v>
      </c>
      <c r="N159" s="7" t="s">
        <v>10</v>
      </c>
      <c r="O159" s="119" t="s">
        <v>46</v>
      </c>
      <c r="P159" s="100">
        <v>45904</v>
      </c>
      <c r="Q159" s="100">
        <f t="shared" si="23"/>
        <v>46269</v>
      </c>
      <c r="R159" s="5" t="s">
        <v>273</v>
      </c>
      <c r="S159" s="7" t="s">
        <v>3352</v>
      </c>
      <c r="T159" s="7">
        <v>0.34</v>
      </c>
      <c r="U159" s="7"/>
      <c r="V159" s="7">
        <f t="shared" si="24"/>
        <v>0.34</v>
      </c>
      <c r="W159" s="5">
        <v>34</v>
      </c>
      <c r="X159" s="5" t="s">
        <v>3355</v>
      </c>
      <c r="Y159" s="48" t="str">
        <f t="shared" si="25"/>
        <v>APROVADO</v>
      </c>
      <c r="Z159" s="7" t="s">
        <v>56</v>
      </c>
      <c r="AA159" s="5">
        <v>11606753</v>
      </c>
      <c r="AB159" s="5" t="s">
        <v>4228</v>
      </c>
      <c r="AC159" s="5" t="s">
        <v>48</v>
      </c>
      <c r="AD159" s="5" t="s">
        <v>5530</v>
      </c>
      <c r="AE159" s="5" t="str">
        <f t="shared" ca="1" si="22"/>
        <v>NO PRAZO</v>
      </c>
      <c r="AF159" s="49"/>
    </row>
    <row r="160" spans="1:32" ht="30" customHeight="1" x14ac:dyDescent="0.25">
      <c r="A160" s="121" t="s">
        <v>3345</v>
      </c>
      <c r="B160" s="5" t="s">
        <v>10</v>
      </c>
      <c r="C160" s="5" t="s">
        <v>5864</v>
      </c>
      <c r="D160" s="7" t="s">
        <v>891</v>
      </c>
      <c r="E160" s="7" t="s">
        <v>256</v>
      </c>
      <c r="F160" s="7" t="s">
        <v>257</v>
      </c>
      <c r="G160" s="7" t="s">
        <v>891</v>
      </c>
      <c r="H160" s="7" t="s">
        <v>891</v>
      </c>
      <c r="I160" s="7" t="s">
        <v>3339</v>
      </c>
      <c r="J160" s="7" t="s">
        <v>3359</v>
      </c>
      <c r="K160" s="7" t="s">
        <v>10</v>
      </c>
      <c r="L160" s="7" t="s">
        <v>45</v>
      </c>
      <c r="M160" s="7" t="s">
        <v>10</v>
      </c>
      <c r="N160" s="7" t="s">
        <v>10</v>
      </c>
      <c r="O160" s="119" t="s">
        <v>46</v>
      </c>
      <c r="P160" s="100">
        <v>45904</v>
      </c>
      <c r="Q160" s="100">
        <f t="shared" si="23"/>
        <v>46269</v>
      </c>
      <c r="R160" s="5" t="s">
        <v>273</v>
      </c>
      <c r="S160" s="7" t="s">
        <v>3353</v>
      </c>
      <c r="T160" s="7">
        <v>0.34</v>
      </c>
      <c r="U160" s="7"/>
      <c r="V160" s="7">
        <f t="shared" si="24"/>
        <v>0.34</v>
      </c>
      <c r="W160" s="5">
        <v>35</v>
      </c>
      <c r="X160" s="5" t="s">
        <v>3355</v>
      </c>
      <c r="Y160" s="48" t="str">
        <f t="shared" si="25"/>
        <v>APROVADO</v>
      </c>
      <c r="Z160" s="7" t="s">
        <v>56</v>
      </c>
      <c r="AA160" s="5">
        <v>11606754</v>
      </c>
      <c r="AB160" s="5" t="s">
        <v>4229</v>
      </c>
      <c r="AC160" s="5" t="s">
        <v>48</v>
      </c>
      <c r="AD160" s="5" t="s">
        <v>5530</v>
      </c>
      <c r="AE160" s="5" t="str">
        <f t="shared" ca="1" si="22"/>
        <v>NO PRAZO</v>
      </c>
      <c r="AF160" s="49"/>
    </row>
    <row r="161" spans="1:32" ht="30" customHeight="1" x14ac:dyDescent="0.25">
      <c r="A161" s="121" t="s">
        <v>3346</v>
      </c>
      <c r="B161" s="5" t="s">
        <v>10</v>
      </c>
      <c r="C161" s="5" t="s">
        <v>5864</v>
      </c>
      <c r="D161" s="7" t="s">
        <v>891</v>
      </c>
      <c r="E161" s="7" t="s">
        <v>256</v>
      </c>
      <c r="F161" s="7" t="s">
        <v>257</v>
      </c>
      <c r="G161" s="7" t="s">
        <v>891</v>
      </c>
      <c r="H161" s="7" t="s">
        <v>891</v>
      </c>
      <c r="I161" s="7" t="s">
        <v>3339</v>
      </c>
      <c r="J161" s="7" t="s">
        <v>3359</v>
      </c>
      <c r="K161" s="7" t="s">
        <v>10</v>
      </c>
      <c r="L161" s="7" t="s">
        <v>45</v>
      </c>
      <c r="M161" s="7" t="s">
        <v>10</v>
      </c>
      <c r="N161" s="7" t="s">
        <v>10</v>
      </c>
      <c r="O161" s="119" t="s">
        <v>46</v>
      </c>
      <c r="P161" s="100">
        <v>45904</v>
      </c>
      <c r="Q161" s="100">
        <f t="shared" si="23"/>
        <v>46269</v>
      </c>
      <c r="R161" s="5" t="s">
        <v>273</v>
      </c>
      <c r="S161" s="7" t="s">
        <v>3354</v>
      </c>
      <c r="T161" s="7">
        <v>0.34</v>
      </c>
      <c r="U161" s="7"/>
      <c r="V161" s="7">
        <f t="shared" si="24"/>
        <v>0.34</v>
      </c>
      <c r="W161" s="5">
        <v>36</v>
      </c>
      <c r="X161" s="5" t="s">
        <v>3355</v>
      </c>
      <c r="Y161" s="48" t="str">
        <f t="shared" si="25"/>
        <v>APROVADO</v>
      </c>
      <c r="Z161" s="7" t="s">
        <v>56</v>
      </c>
      <c r="AA161" s="5">
        <v>11606755</v>
      </c>
      <c r="AB161" s="5" t="s">
        <v>4230</v>
      </c>
      <c r="AC161" s="5" t="s">
        <v>48</v>
      </c>
      <c r="AD161" s="5" t="s">
        <v>5530</v>
      </c>
      <c r="AE161" s="5" t="str">
        <f t="shared" ca="1" si="22"/>
        <v>NO PRAZO</v>
      </c>
      <c r="AF161" s="49"/>
    </row>
    <row r="162" spans="1:32" ht="30" customHeight="1" x14ac:dyDescent="0.25">
      <c r="A162" s="5" t="s">
        <v>899</v>
      </c>
      <c r="B162" s="5" t="s">
        <v>10</v>
      </c>
      <c r="C162" s="5" t="s">
        <v>5864</v>
      </c>
      <c r="D162" s="7" t="s">
        <v>895</v>
      </c>
      <c r="E162" s="7" t="s">
        <v>256</v>
      </c>
      <c r="F162" s="7" t="s">
        <v>444</v>
      </c>
      <c r="G162" s="5" t="s">
        <v>895</v>
      </c>
      <c r="H162" s="5" t="s">
        <v>895</v>
      </c>
      <c r="I162" s="7" t="s">
        <v>896</v>
      </c>
      <c r="J162" s="7" t="s">
        <v>897</v>
      </c>
      <c r="K162" s="7" t="s">
        <v>10</v>
      </c>
      <c r="L162" s="7" t="s">
        <v>45</v>
      </c>
      <c r="M162" s="7" t="s">
        <v>10</v>
      </c>
      <c r="N162" s="7" t="s">
        <v>10</v>
      </c>
      <c r="O162" s="46" t="s">
        <v>46</v>
      </c>
      <c r="P162" s="101">
        <v>46029</v>
      </c>
      <c r="Q162" s="100">
        <f t="shared" si="23"/>
        <v>46394</v>
      </c>
      <c r="R162" s="5" t="s">
        <v>1852</v>
      </c>
      <c r="S162" s="5" t="s">
        <v>4430</v>
      </c>
      <c r="T162" s="5">
        <v>0.28999999999999998</v>
      </c>
      <c r="U162" s="7" t="s">
        <v>10</v>
      </c>
      <c r="V162" s="7">
        <f t="shared" si="24"/>
        <v>0.28999999999999998</v>
      </c>
      <c r="W162" s="5" t="s">
        <v>10</v>
      </c>
      <c r="X162" s="5" t="s">
        <v>898</v>
      </c>
      <c r="Y162" s="48" t="str">
        <f t="shared" si="25"/>
        <v>A DEFINIR</v>
      </c>
      <c r="Z162" s="7" t="s">
        <v>56</v>
      </c>
      <c r="AA162" s="5">
        <v>11586803</v>
      </c>
      <c r="AB162" s="5" t="s">
        <v>3867</v>
      </c>
      <c r="AC162" s="5" t="s">
        <v>48</v>
      </c>
      <c r="AD162" s="5" t="s">
        <v>5530</v>
      </c>
      <c r="AE162" s="5" t="str">
        <f t="shared" ca="1" si="22"/>
        <v>NO PRAZO</v>
      </c>
      <c r="AF162" s="53"/>
    </row>
    <row r="163" spans="1:32" ht="30" customHeight="1" x14ac:dyDescent="0.25">
      <c r="A163" s="9" t="s">
        <v>900</v>
      </c>
      <c r="B163" s="7" t="s">
        <v>10</v>
      </c>
      <c r="C163" s="5" t="s">
        <v>5864</v>
      </c>
      <c r="D163" s="7" t="s">
        <v>895</v>
      </c>
      <c r="E163" s="7" t="s">
        <v>256</v>
      </c>
      <c r="F163" s="7" t="s">
        <v>257</v>
      </c>
      <c r="G163" s="61" t="s">
        <v>901</v>
      </c>
      <c r="H163" s="61" t="s">
        <v>4994</v>
      </c>
      <c r="I163" s="61" t="s">
        <v>902</v>
      </c>
      <c r="J163" s="62" t="s">
        <v>903</v>
      </c>
      <c r="K163" s="5" t="s">
        <v>10</v>
      </c>
      <c r="L163" s="5" t="s">
        <v>45</v>
      </c>
      <c r="M163" s="5" t="s">
        <v>10</v>
      </c>
      <c r="N163" s="5" t="s">
        <v>10</v>
      </c>
      <c r="O163" s="46" t="s">
        <v>46</v>
      </c>
      <c r="P163" s="99">
        <v>46077</v>
      </c>
      <c r="Q163" s="100">
        <f t="shared" si="23"/>
        <v>46442</v>
      </c>
      <c r="R163" s="63" t="s">
        <v>1992</v>
      </c>
      <c r="S163" s="63" t="s">
        <v>4936</v>
      </c>
      <c r="T163" s="7">
        <v>0.2</v>
      </c>
      <c r="U163" s="7" t="s">
        <v>10</v>
      </c>
      <c r="V163" s="7">
        <f t="shared" si="24"/>
        <v>0.2</v>
      </c>
      <c r="W163" s="5" t="s">
        <v>10</v>
      </c>
      <c r="X163" s="5" t="s">
        <v>898</v>
      </c>
      <c r="Y163" s="48" t="str">
        <f t="shared" si="25"/>
        <v>A DEFINIR</v>
      </c>
      <c r="Z163" s="7" t="s">
        <v>56</v>
      </c>
      <c r="AA163" s="5">
        <v>11599900</v>
      </c>
      <c r="AB163" s="5" t="s">
        <v>2505</v>
      </c>
      <c r="AC163" s="5" t="s">
        <v>48</v>
      </c>
      <c r="AD163" s="5" t="s">
        <v>5530</v>
      </c>
      <c r="AE163" s="5" t="str">
        <f t="shared" ca="1" si="22"/>
        <v>NO PRAZO</v>
      </c>
      <c r="AF163" s="53"/>
    </row>
    <row r="164" spans="1:32" ht="30" customHeight="1" x14ac:dyDescent="0.25">
      <c r="A164" s="7" t="s">
        <v>6019</v>
      </c>
      <c r="B164" s="7" t="s">
        <v>10</v>
      </c>
      <c r="C164" s="5" t="s">
        <v>5864</v>
      </c>
      <c r="D164" s="7" t="s">
        <v>895</v>
      </c>
      <c r="E164" s="7" t="s">
        <v>256</v>
      </c>
      <c r="F164" s="7" t="s">
        <v>257</v>
      </c>
      <c r="G164" s="7" t="s">
        <v>895</v>
      </c>
      <c r="H164" s="7" t="s">
        <v>895</v>
      </c>
      <c r="I164" s="7" t="s">
        <v>896</v>
      </c>
      <c r="J164" s="7" t="s">
        <v>897</v>
      </c>
      <c r="K164" s="7" t="s">
        <v>10</v>
      </c>
      <c r="L164" s="7" t="s">
        <v>45</v>
      </c>
      <c r="M164" s="7" t="s">
        <v>10</v>
      </c>
      <c r="N164" s="7" t="s">
        <v>10</v>
      </c>
      <c r="O164" s="46" t="s">
        <v>46</v>
      </c>
      <c r="P164" s="100">
        <v>46230</v>
      </c>
      <c r="Q164" s="100">
        <f t="shared" si="23"/>
        <v>46595</v>
      </c>
      <c r="R164" s="5" t="s">
        <v>5901</v>
      </c>
      <c r="S164" s="5" t="s">
        <v>5928</v>
      </c>
      <c r="T164" s="7">
        <v>0.22</v>
      </c>
      <c r="U164" s="7"/>
      <c r="V164" s="7">
        <f t="shared" si="24"/>
        <v>0.22</v>
      </c>
      <c r="W164" s="5" t="s">
        <v>10</v>
      </c>
      <c r="X164" s="5" t="s">
        <v>898</v>
      </c>
      <c r="Y164" s="48" t="str">
        <f t="shared" si="25"/>
        <v>A DEFINIR</v>
      </c>
      <c r="Z164" s="7" t="s">
        <v>56</v>
      </c>
      <c r="AA164" s="5">
        <v>11586895</v>
      </c>
      <c r="AB164" s="5" t="s">
        <v>3868</v>
      </c>
      <c r="AC164" s="5" t="s">
        <v>48</v>
      </c>
      <c r="AD164" s="5" t="s">
        <v>5632</v>
      </c>
      <c r="AE164" s="5" t="str">
        <f t="shared" ca="1" si="22"/>
        <v>NO PRAZO</v>
      </c>
      <c r="AF164" s="49"/>
    </row>
    <row r="165" spans="1:32" ht="30" customHeight="1" x14ac:dyDescent="0.25">
      <c r="A165" s="7" t="s">
        <v>3744</v>
      </c>
      <c r="B165" s="7" t="s">
        <v>10</v>
      </c>
      <c r="C165" s="5" t="s">
        <v>5864</v>
      </c>
      <c r="D165" s="7" t="s">
        <v>895</v>
      </c>
      <c r="E165" s="7" t="s">
        <v>256</v>
      </c>
      <c r="F165" s="7" t="s">
        <v>257</v>
      </c>
      <c r="G165" s="7" t="s">
        <v>895</v>
      </c>
      <c r="H165" s="7" t="s">
        <v>895</v>
      </c>
      <c r="I165" s="7" t="s">
        <v>904</v>
      </c>
      <c r="J165" s="7" t="s">
        <v>897</v>
      </c>
      <c r="K165" s="7" t="s">
        <v>10</v>
      </c>
      <c r="L165" s="7" t="s">
        <v>45</v>
      </c>
      <c r="M165" s="7" t="s">
        <v>10</v>
      </c>
      <c r="N165" s="7" t="s">
        <v>10</v>
      </c>
      <c r="O165" s="46" t="s">
        <v>46</v>
      </c>
      <c r="P165" s="100">
        <v>45888</v>
      </c>
      <c r="Q165" s="100">
        <f t="shared" si="23"/>
        <v>46253</v>
      </c>
      <c r="R165" s="5" t="s">
        <v>906</v>
      </c>
      <c r="S165" s="5" t="s">
        <v>3150</v>
      </c>
      <c r="T165" s="7">
        <v>0.28999999999999998</v>
      </c>
      <c r="U165" s="7"/>
      <c r="V165" s="7">
        <f t="shared" si="24"/>
        <v>0.28999999999999998</v>
      </c>
      <c r="W165" s="5" t="s">
        <v>10</v>
      </c>
      <c r="X165" s="5" t="s">
        <v>898</v>
      </c>
      <c r="Y165" s="48" t="str">
        <f t="shared" si="25"/>
        <v>A DEFINIR</v>
      </c>
      <c r="Z165" s="7" t="s">
        <v>56</v>
      </c>
      <c r="AA165" s="5">
        <v>11606687</v>
      </c>
      <c r="AB165" s="5" t="s">
        <v>4133</v>
      </c>
      <c r="AC165" s="5" t="s">
        <v>48</v>
      </c>
      <c r="AD165" s="5" t="s">
        <v>5530</v>
      </c>
      <c r="AE165" s="5" t="str">
        <f t="shared" ca="1" si="22"/>
        <v>CALIBRAR</v>
      </c>
      <c r="AF165" s="49"/>
    </row>
    <row r="166" spans="1:32" ht="30" customHeight="1" x14ac:dyDescent="0.25">
      <c r="A166" s="9" t="s">
        <v>907</v>
      </c>
      <c r="B166" s="5" t="s">
        <v>10</v>
      </c>
      <c r="C166" s="5" t="s">
        <v>5864</v>
      </c>
      <c r="D166" s="61" t="s">
        <v>895</v>
      </c>
      <c r="E166" s="7" t="s">
        <v>256</v>
      </c>
      <c r="F166" s="7" t="s">
        <v>646</v>
      </c>
      <c r="G166" s="61" t="s">
        <v>895</v>
      </c>
      <c r="H166" s="61" t="s">
        <v>10</v>
      </c>
      <c r="I166" s="62" t="s">
        <v>896</v>
      </c>
      <c r="J166" s="62" t="s">
        <v>897</v>
      </c>
      <c r="K166" s="5" t="s">
        <v>10</v>
      </c>
      <c r="L166" s="5" t="s">
        <v>45</v>
      </c>
      <c r="M166" s="5" t="s">
        <v>10</v>
      </c>
      <c r="N166" s="5" t="s">
        <v>10</v>
      </c>
      <c r="O166" s="46" t="s">
        <v>46</v>
      </c>
      <c r="P166" s="99">
        <v>45940</v>
      </c>
      <c r="Q166" s="100">
        <f t="shared" si="23"/>
        <v>46305</v>
      </c>
      <c r="R166" s="63" t="s">
        <v>1712</v>
      </c>
      <c r="S166" s="63" t="s">
        <v>3625</v>
      </c>
      <c r="T166" s="7">
        <v>0.32</v>
      </c>
      <c r="U166" s="81"/>
      <c r="V166" s="7">
        <f t="shared" si="24"/>
        <v>0.32</v>
      </c>
      <c r="W166" s="5" t="s">
        <v>10</v>
      </c>
      <c r="X166" s="5" t="s">
        <v>898</v>
      </c>
      <c r="Y166" s="48" t="str">
        <f t="shared" si="25"/>
        <v>A DEFINIR</v>
      </c>
      <c r="Z166" s="7" t="s">
        <v>56</v>
      </c>
      <c r="AA166" s="5">
        <v>11599766</v>
      </c>
      <c r="AB166" s="5" t="s">
        <v>3869</v>
      </c>
      <c r="AC166" s="5" t="s">
        <v>48</v>
      </c>
      <c r="AD166" s="5" t="s">
        <v>5530</v>
      </c>
      <c r="AE166" s="5" t="str">
        <f t="shared" ca="1" si="22"/>
        <v>NO PRAZO</v>
      </c>
      <c r="AF166" s="49"/>
    </row>
    <row r="167" spans="1:32" ht="30" customHeight="1" x14ac:dyDescent="0.25">
      <c r="A167" s="9" t="s">
        <v>1785</v>
      </c>
      <c r="B167" s="5" t="s">
        <v>10</v>
      </c>
      <c r="C167" s="5" t="s">
        <v>5864</v>
      </c>
      <c r="D167" s="61" t="s">
        <v>895</v>
      </c>
      <c r="E167" s="7" t="s">
        <v>256</v>
      </c>
      <c r="F167" s="7" t="s">
        <v>257</v>
      </c>
      <c r="G167" s="61" t="s">
        <v>895</v>
      </c>
      <c r="H167" s="61" t="s">
        <v>10</v>
      </c>
      <c r="I167" s="62" t="s">
        <v>896</v>
      </c>
      <c r="J167" s="62" t="s">
        <v>897</v>
      </c>
      <c r="K167" s="5" t="s">
        <v>10</v>
      </c>
      <c r="L167" s="5" t="s">
        <v>45</v>
      </c>
      <c r="M167" s="5" t="s">
        <v>10</v>
      </c>
      <c r="N167" s="5" t="s">
        <v>10</v>
      </c>
      <c r="O167" s="46" t="s">
        <v>46</v>
      </c>
      <c r="P167" s="99">
        <v>45987</v>
      </c>
      <c r="Q167" s="100">
        <f t="shared" si="23"/>
        <v>46352</v>
      </c>
      <c r="R167" s="63" t="s">
        <v>1786</v>
      </c>
      <c r="S167" s="63" t="s">
        <v>4235</v>
      </c>
      <c r="T167" s="7">
        <v>0.3</v>
      </c>
      <c r="U167" s="81"/>
      <c r="V167" s="7">
        <f t="shared" si="24"/>
        <v>0.3</v>
      </c>
      <c r="W167" s="5" t="s">
        <v>10</v>
      </c>
      <c r="X167" s="5" t="s">
        <v>898</v>
      </c>
      <c r="Y167" s="48" t="str">
        <f t="shared" si="25"/>
        <v>A DEFINIR</v>
      </c>
      <c r="Z167" s="7" t="s">
        <v>56</v>
      </c>
      <c r="AA167" s="5">
        <v>11599870</v>
      </c>
      <c r="AB167" s="5" t="s">
        <v>3870</v>
      </c>
      <c r="AC167" s="5" t="s">
        <v>48</v>
      </c>
      <c r="AD167" s="5" t="s">
        <v>5530</v>
      </c>
      <c r="AE167" s="5" t="str">
        <f t="shared" ca="1" si="22"/>
        <v>NO PRAZO</v>
      </c>
      <c r="AF167" s="53"/>
    </row>
    <row r="168" spans="1:32" ht="30" customHeight="1" x14ac:dyDescent="0.25">
      <c r="A168" s="9" t="s">
        <v>908</v>
      </c>
      <c r="B168" s="5" t="s">
        <v>10</v>
      </c>
      <c r="C168" s="5" t="s">
        <v>5864</v>
      </c>
      <c r="D168" s="61" t="s">
        <v>895</v>
      </c>
      <c r="E168" s="7" t="s">
        <v>256</v>
      </c>
      <c r="F168" s="7" t="s">
        <v>257</v>
      </c>
      <c r="G168" s="61" t="s">
        <v>895</v>
      </c>
      <c r="H168" s="61" t="s">
        <v>10</v>
      </c>
      <c r="I168" s="62" t="s">
        <v>896</v>
      </c>
      <c r="J168" s="62" t="s">
        <v>897</v>
      </c>
      <c r="K168" s="5" t="s">
        <v>10</v>
      </c>
      <c r="L168" s="5" t="s">
        <v>45</v>
      </c>
      <c r="M168" s="5" t="s">
        <v>10</v>
      </c>
      <c r="N168" s="5" t="s">
        <v>10</v>
      </c>
      <c r="O168" s="46" t="s">
        <v>46</v>
      </c>
      <c r="P168" s="99">
        <v>45944</v>
      </c>
      <c r="Q168" s="100">
        <f t="shared" si="23"/>
        <v>46309</v>
      </c>
      <c r="R168" s="63" t="s">
        <v>1733</v>
      </c>
      <c r="S168" s="63" t="s">
        <v>3547</v>
      </c>
      <c r="T168" s="7">
        <v>0.3</v>
      </c>
      <c r="U168" s="81"/>
      <c r="V168" s="7">
        <f t="shared" si="24"/>
        <v>0.3</v>
      </c>
      <c r="W168" s="5" t="s">
        <v>10</v>
      </c>
      <c r="X168" s="5" t="s">
        <v>898</v>
      </c>
      <c r="Y168" s="48" t="str">
        <f t="shared" si="25"/>
        <v>A DEFINIR</v>
      </c>
      <c r="Z168" s="7" t="s">
        <v>56</v>
      </c>
      <c r="AA168" s="5">
        <v>11599871</v>
      </c>
      <c r="AB168" s="5" t="s">
        <v>3871</v>
      </c>
      <c r="AC168" s="5" t="s">
        <v>48</v>
      </c>
      <c r="AD168" s="5" t="s">
        <v>5530</v>
      </c>
      <c r="AE168" s="5" t="str">
        <f t="shared" ca="1" si="22"/>
        <v>NO PRAZO</v>
      </c>
      <c r="AF168" s="51"/>
    </row>
    <row r="169" spans="1:32" ht="30" customHeight="1" x14ac:dyDescent="0.25">
      <c r="A169" s="9" t="s">
        <v>3036</v>
      </c>
      <c r="B169" s="5" t="s">
        <v>10</v>
      </c>
      <c r="C169" s="5" t="s">
        <v>5864</v>
      </c>
      <c r="D169" s="61" t="s">
        <v>895</v>
      </c>
      <c r="E169" s="7" t="s">
        <v>256</v>
      </c>
      <c r="F169" s="7" t="s">
        <v>257</v>
      </c>
      <c r="G169" s="61" t="s">
        <v>895</v>
      </c>
      <c r="H169" s="61" t="s">
        <v>10</v>
      </c>
      <c r="I169" s="62" t="s">
        <v>5847</v>
      </c>
      <c r="J169" s="62" t="s">
        <v>897</v>
      </c>
      <c r="K169" s="5" t="s">
        <v>10</v>
      </c>
      <c r="L169" s="5" t="s">
        <v>45</v>
      </c>
      <c r="M169" s="5" t="s">
        <v>10</v>
      </c>
      <c r="N169" s="5" t="s">
        <v>10</v>
      </c>
      <c r="O169" s="46" t="s">
        <v>46</v>
      </c>
      <c r="P169" s="99">
        <v>45845</v>
      </c>
      <c r="Q169" s="100">
        <f t="shared" si="23"/>
        <v>46210</v>
      </c>
      <c r="R169" s="63" t="s">
        <v>273</v>
      </c>
      <c r="S169" s="63" t="s">
        <v>3037</v>
      </c>
      <c r="T169" s="7">
        <v>0.28999999999999998</v>
      </c>
      <c r="U169" s="81"/>
      <c r="V169" s="7">
        <f t="shared" si="24"/>
        <v>0.28999999999999998</v>
      </c>
      <c r="W169" s="5" t="s">
        <v>10</v>
      </c>
      <c r="X169" s="5" t="s">
        <v>898</v>
      </c>
      <c r="Y169" s="48" t="str">
        <f t="shared" si="25"/>
        <v>A DEFINIR</v>
      </c>
      <c r="Z169" s="7" t="s">
        <v>56</v>
      </c>
      <c r="AA169" s="5">
        <v>11606688</v>
      </c>
      <c r="AB169" s="5" t="s">
        <v>4134</v>
      </c>
      <c r="AC169" s="5" t="s">
        <v>48</v>
      </c>
      <c r="AD169" s="5" t="s">
        <v>5530</v>
      </c>
      <c r="AE169" s="5" t="s">
        <v>5906</v>
      </c>
      <c r="AF169" s="49"/>
    </row>
    <row r="170" spans="1:32" ht="30" customHeight="1" x14ac:dyDescent="0.25">
      <c r="A170" s="5" t="s">
        <v>4778</v>
      </c>
      <c r="B170" s="5" t="s">
        <v>716</v>
      </c>
      <c r="C170" s="5" t="s">
        <v>5864</v>
      </c>
      <c r="D170" s="7" t="s">
        <v>717</v>
      </c>
      <c r="E170" s="7" t="s">
        <v>256</v>
      </c>
      <c r="F170" s="7" t="s">
        <v>257</v>
      </c>
      <c r="G170" s="7" t="s">
        <v>717</v>
      </c>
      <c r="H170" s="7" t="s">
        <v>717</v>
      </c>
      <c r="I170" s="7" t="s">
        <v>718</v>
      </c>
      <c r="J170" s="7" t="s">
        <v>718</v>
      </c>
      <c r="K170" s="5" t="s">
        <v>10</v>
      </c>
      <c r="L170" s="5" t="s">
        <v>10</v>
      </c>
      <c r="M170" s="5" t="s">
        <v>10</v>
      </c>
      <c r="N170" s="5" t="s">
        <v>45</v>
      </c>
      <c r="O170" s="80" t="s">
        <v>56</v>
      </c>
      <c r="P170" s="101">
        <v>46052</v>
      </c>
      <c r="Q170" s="100">
        <f t="shared" si="23"/>
        <v>46417</v>
      </c>
      <c r="R170" s="5" t="s">
        <v>1882</v>
      </c>
      <c r="S170" s="5" t="s">
        <v>4662</v>
      </c>
      <c r="T170" s="7">
        <v>0.03</v>
      </c>
      <c r="U170" s="7" t="s">
        <v>10</v>
      </c>
      <c r="V170" s="7">
        <f t="shared" si="24"/>
        <v>0.03</v>
      </c>
      <c r="W170" s="5" t="s">
        <v>10</v>
      </c>
      <c r="X170" s="5" t="s">
        <v>330</v>
      </c>
      <c r="Y170" s="48" t="str">
        <f t="shared" si="25"/>
        <v>A DEFINIR</v>
      </c>
      <c r="Z170" s="7" t="s">
        <v>56</v>
      </c>
      <c r="AA170" s="5">
        <v>11599638</v>
      </c>
      <c r="AB170" s="5" t="s">
        <v>3801</v>
      </c>
      <c r="AC170" s="5" t="s">
        <v>48</v>
      </c>
      <c r="AD170" s="5" t="s">
        <v>5530</v>
      </c>
      <c r="AE170" s="5" t="str">
        <f t="shared" ca="1" si="22"/>
        <v>NO PRAZO</v>
      </c>
      <c r="AF170" s="53"/>
    </row>
    <row r="171" spans="1:32" ht="30" customHeight="1" x14ac:dyDescent="0.25">
      <c r="A171" s="110" t="s">
        <v>3763</v>
      </c>
      <c r="B171" s="110">
        <v>21062101376878</v>
      </c>
      <c r="C171" s="5" t="s">
        <v>5863</v>
      </c>
      <c r="D171" s="61" t="s">
        <v>703</v>
      </c>
      <c r="E171" s="7" t="s">
        <v>640</v>
      </c>
      <c r="F171" s="7" t="s">
        <v>643</v>
      </c>
      <c r="G171" s="61" t="s">
        <v>703</v>
      </c>
      <c r="H171" s="61" t="s">
        <v>10</v>
      </c>
      <c r="I171" s="62" t="s">
        <v>704</v>
      </c>
      <c r="J171" s="62" t="s">
        <v>704</v>
      </c>
      <c r="K171" s="5" t="s">
        <v>10</v>
      </c>
      <c r="L171" s="5" t="s">
        <v>10</v>
      </c>
      <c r="M171" s="5" t="s">
        <v>10</v>
      </c>
      <c r="N171" s="5" t="s">
        <v>45</v>
      </c>
      <c r="O171" s="80" t="s">
        <v>56</v>
      </c>
      <c r="P171" s="99">
        <v>45965</v>
      </c>
      <c r="Q171" s="100">
        <f t="shared" si="23"/>
        <v>46330</v>
      </c>
      <c r="R171" s="5" t="s">
        <v>1734</v>
      </c>
      <c r="S171" s="5" t="s">
        <v>3759</v>
      </c>
      <c r="T171" s="7">
        <v>0.09</v>
      </c>
      <c r="U171" s="7" t="s">
        <v>10</v>
      </c>
      <c r="V171" s="7">
        <f t="shared" si="24"/>
        <v>0.09</v>
      </c>
      <c r="W171" s="5">
        <v>0.5</v>
      </c>
      <c r="X171" s="5" t="s">
        <v>705</v>
      </c>
      <c r="Y171" s="48" t="str">
        <f t="shared" si="25"/>
        <v>APROVADO</v>
      </c>
      <c r="Z171" s="7" t="s">
        <v>56</v>
      </c>
      <c r="AA171" s="5">
        <v>11601983</v>
      </c>
      <c r="AB171" s="5" t="s">
        <v>3799</v>
      </c>
      <c r="AC171" s="5" t="s">
        <v>48</v>
      </c>
      <c r="AD171" s="5" t="s">
        <v>5530</v>
      </c>
      <c r="AE171" s="5" t="str">
        <f t="shared" ca="1" si="22"/>
        <v>NO PRAZO</v>
      </c>
      <c r="AF171" s="49"/>
    </row>
    <row r="172" spans="1:32" ht="30" customHeight="1" x14ac:dyDescent="0.25">
      <c r="A172" s="9" t="s">
        <v>3764</v>
      </c>
      <c r="B172" s="9" t="s">
        <v>3234</v>
      </c>
      <c r="C172" s="5" t="s">
        <v>5863</v>
      </c>
      <c r="D172" s="61" t="s">
        <v>703</v>
      </c>
      <c r="E172" s="7" t="s">
        <v>640</v>
      </c>
      <c r="F172" s="7" t="s">
        <v>643</v>
      </c>
      <c r="G172" s="61" t="s">
        <v>703</v>
      </c>
      <c r="H172" s="61" t="s">
        <v>10</v>
      </c>
      <c r="I172" s="62" t="s">
        <v>704</v>
      </c>
      <c r="J172" s="62" t="s">
        <v>704</v>
      </c>
      <c r="K172" s="5" t="s">
        <v>10</v>
      </c>
      <c r="L172" s="5" t="s">
        <v>10</v>
      </c>
      <c r="M172" s="5" t="s">
        <v>10</v>
      </c>
      <c r="N172" s="5" t="s">
        <v>45</v>
      </c>
      <c r="O172" s="80" t="s">
        <v>56</v>
      </c>
      <c r="P172" s="99">
        <v>45965</v>
      </c>
      <c r="Q172" s="100">
        <f t="shared" si="23"/>
        <v>46330</v>
      </c>
      <c r="R172" s="5" t="s">
        <v>1833</v>
      </c>
      <c r="S172" s="5" t="s">
        <v>3761</v>
      </c>
      <c r="T172" s="7">
        <v>0.156</v>
      </c>
      <c r="U172" s="7" t="s">
        <v>10</v>
      </c>
      <c r="V172" s="7">
        <f t="shared" si="24"/>
        <v>0.156</v>
      </c>
      <c r="W172" s="5">
        <v>0.5</v>
      </c>
      <c r="X172" s="5" t="s">
        <v>2032</v>
      </c>
      <c r="Y172" s="48" t="str">
        <f t="shared" si="25"/>
        <v>APROVADO</v>
      </c>
      <c r="Z172" s="7" t="s">
        <v>56</v>
      </c>
      <c r="AA172" s="5">
        <v>11602450</v>
      </c>
      <c r="AB172" s="5" t="s">
        <v>3810</v>
      </c>
      <c r="AC172" s="5" t="s">
        <v>48</v>
      </c>
      <c r="AD172" s="5" t="s">
        <v>5530</v>
      </c>
      <c r="AE172" s="5" t="str">
        <f t="shared" ca="1" si="22"/>
        <v>NO PRAZO</v>
      </c>
      <c r="AF172" s="49"/>
    </row>
    <row r="173" spans="1:32" ht="30" customHeight="1" x14ac:dyDescent="0.25">
      <c r="A173" s="5" t="s">
        <v>909</v>
      </c>
      <c r="B173" s="5" t="s">
        <v>10</v>
      </c>
      <c r="C173" s="5" t="s">
        <v>5864</v>
      </c>
      <c r="D173" s="7" t="s">
        <v>5848</v>
      </c>
      <c r="E173" s="7" t="s">
        <v>256</v>
      </c>
      <c r="F173" s="7" t="s">
        <v>257</v>
      </c>
      <c r="G173" s="7" t="s">
        <v>911</v>
      </c>
      <c r="H173" s="7" t="s">
        <v>911</v>
      </c>
      <c r="I173" s="7" t="s">
        <v>912</v>
      </c>
      <c r="J173" s="7" t="s">
        <v>913</v>
      </c>
      <c r="K173" s="5" t="s">
        <v>10</v>
      </c>
      <c r="L173" s="5" t="s">
        <v>10</v>
      </c>
      <c r="M173" s="5" t="s">
        <v>10</v>
      </c>
      <c r="N173" s="5" t="s">
        <v>45</v>
      </c>
      <c r="O173" s="80" t="s">
        <v>56</v>
      </c>
      <c r="P173" s="101">
        <v>46034</v>
      </c>
      <c r="Q173" s="100">
        <f t="shared" si="23"/>
        <v>46399</v>
      </c>
      <c r="R173" s="5" t="s">
        <v>1994</v>
      </c>
      <c r="S173" s="5" t="s">
        <v>5032</v>
      </c>
      <c r="T173" s="7">
        <v>1.219E-3</v>
      </c>
      <c r="U173" s="7" t="s">
        <v>10</v>
      </c>
      <c r="V173" s="7">
        <f t="shared" si="24"/>
        <v>1.219E-3</v>
      </c>
      <c r="W173" s="5" t="s">
        <v>10</v>
      </c>
      <c r="X173" s="5" t="s">
        <v>914</v>
      </c>
      <c r="Y173" s="48" t="str">
        <f t="shared" si="25"/>
        <v>A DEFINIR</v>
      </c>
      <c r="Z173" s="7" t="s">
        <v>56</v>
      </c>
      <c r="AA173" s="5">
        <v>11599669</v>
      </c>
      <c r="AB173" s="5" t="s">
        <v>3872</v>
      </c>
      <c r="AC173" s="5" t="s">
        <v>48</v>
      </c>
      <c r="AD173" s="5" t="s">
        <v>5530</v>
      </c>
      <c r="AE173" s="5" t="str">
        <f t="shared" ca="1" si="22"/>
        <v>NO PRAZO</v>
      </c>
      <c r="AF173" s="49"/>
    </row>
    <row r="174" spans="1:32" ht="30" customHeight="1" x14ac:dyDescent="0.25">
      <c r="A174" s="15" t="s">
        <v>915</v>
      </c>
      <c r="B174" s="5" t="s">
        <v>10</v>
      </c>
      <c r="C174" s="5" t="s">
        <v>5864</v>
      </c>
      <c r="D174" s="7" t="s">
        <v>5848</v>
      </c>
      <c r="E174" s="7" t="s">
        <v>256</v>
      </c>
      <c r="F174" s="7" t="s">
        <v>257</v>
      </c>
      <c r="G174" s="7" t="s">
        <v>916</v>
      </c>
      <c r="H174" s="7" t="s">
        <v>917</v>
      </c>
      <c r="I174" s="7" t="s">
        <v>912</v>
      </c>
      <c r="J174" s="7" t="s">
        <v>913</v>
      </c>
      <c r="K174" s="5" t="s">
        <v>10</v>
      </c>
      <c r="L174" s="5" t="s">
        <v>45</v>
      </c>
      <c r="M174" s="5" t="s">
        <v>10</v>
      </c>
      <c r="N174" s="5" t="s">
        <v>10</v>
      </c>
      <c r="O174" s="46" t="s">
        <v>46</v>
      </c>
      <c r="P174" s="101">
        <v>46155</v>
      </c>
      <c r="Q174" s="100">
        <f t="shared" si="23"/>
        <v>46520</v>
      </c>
      <c r="R174" s="5" t="s">
        <v>2274</v>
      </c>
      <c r="S174" s="5" t="s">
        <v>5462</v>
      </c>
      <c r="T174" s="7">
        <v>1.111E-2</v>
      </c>
      <c r="U174" s="7" t="s">
        <v>10</v>
      </c>
      <c r="V174" s="7">
        <f t="shared" si="24"/>
        <v>1.111E-2</v>
      </c>
      <c r="W174" s="5" t="s">
        <v>10</v>
      </c>
      <c r="X174" s="5" t="s">
        <v>918</v>
      </c>
      <c r="Y174" s="48" t="str">
        <f t="shared" si="25"/>
        <v>A DEFINIR</v>
      </c>
      <c r="Z174" s="7" t="s">
        <v>56</v>
      </c>
      <c r="AA174" s="5">
        <v>11599510</v>
      </c>
      <c r="AB174" s="5" t="s">
        <v>2846</v>
      </c>
      <c r="AC174" s="5" t="s">
        <v>48</v>
      </c>
      <c r="AD174" s="5" t="s">
        <v>5530</v>
      </c>
      <c r="AE174" s="5" t="str">
        <f t="shared" ca="1" si="22"/>
        <v>NO PRAZO</v>
      </c>
      <c r="AF174" s="49"/>
    </row>
    <row r="175" spans="1:32" ht="30" customHeight="1" x14ac:dyDescent="0.25">
      <c r="A175" s="15" t="s">
        <v>919</v>
      </c>
      <c r="B175" s="5" t="s">
        <v>10</v>
      </c>
      <c r="C175" s="5" t="s">
        <v>5864</v>
      </c>
      <c r="D175" s="7" t="s">
        <v>910</v>
      </c>
      <c r="E175" s="7" t="s">
        <v>256</v>
      </c>
      <c r="F175" s="7" t="s">
        <v>257</v>
      </c>
      <c r="G175" s="7" t="s">
        <v>916</v>
      </c>
      <c r="H175" s="7" t="s">
        <v>917</v>
      </c>
      <c r="I175" s="7" t="s">
        <v>912</v>
      </c>
      <c r="J175" s="7" t="s">
        <v>913</v>
      </c>
      <c r="K175" s="5" t="s">
        <v>10</v>
      </c>
      <c r="L175" s="5" t="s">
        <v>45</v>
      </c>
      <c r="M175" s="5" t="s">
        <v>10</v>
      </c>
      <c r="N175" s="5" t="s">
        <v>10</v>
      </c>
      <c r="O175" s="46" t="s">
        <v>46</v>
      </c>
      <c r="P175" s="101">
        <v>46164</v>
      </c>
      <c r="Q175" s="100">
        <f t="shared" si="23"/>
        <v>46529</v>
      </c>
      <c r="R175" s="5" t="s">
        <v>2355</v>
      </c>
      <c r="S175" s="5" t="s">
        <v>5549</v>
      </c>
      <c r="T175" s="7">
        <v>1.6900000000000001E-3</v>
      </c>
      <c r="U175" s="7" t="s">
        <v>10</v>
      </c>
      <c r="V175" s="7">
        <f t="shared" si="24"/>
        <v>1.6900000000000001E-3</v>
      </c>
      <c r="W175" s="5" t="s">
        <v>10</v>
      </c>
      <c r="X175" s="5" t="s">
        <v>918</v>
      </c>
      <c r="Y175" s="48" t="str">
        <f t="shared" si="25"/>
        <v>A DEFINIR</v>
      </c>
      <c r="Z175" s="7" t="s">
        <v>56</v>
      </c>
      <c r="AA175" s="5">
        <v>11599511</v>
      </c>
      <c r="AB175" s="5" t="s">
        <v>2847</v>
      </c>
      <c r="AC175" s="5" t="s">
        <v>48</v>
      </c>
      <c r="AD175" s="5" t="s">
        <v>5530</v>
      </c>
      <c r="AE175" s="5" t="str">
        <f t="shared" ca="1" si="22"/>
        <v>NO PRAZO</v>
      </c>
      <c r="AF175" s="49"/>
    </row>
    <row r="176" spans="1:32" ht="30" customHeight="1" x14ac:dyDescent="0.25">
      <c r="A176" s="5" t="s">
        <v>920</v>
      </c>
      <c r="B176" s="5" t="s">
        <v>10</v>
      </c>
      <c r="C176" s="5" t="s">
        <v>5864</v>
      </c>
      <c r="D176" s="7" t="s">
        <v>921</v>
      </c>
      <c r="E176" s="7" t="s">
        <v>256</v>
      </c>
      <c r="F176" s="7" t="s">
        <v>312</v>
      </c>
      <c r="G176" s="34" t="s">
        <v>921</v>
      </c>
      <c r="H176" s="34" t="s">
        <v>921</v>
      </c>
      <c r="I176" s="7" t="s">
        <v>519</v>
      </c>
      <c r="J176" s="7" t="s">
        <v>922</v>
      </c>
      <c r="K176" s="5" t="s">
        <v>10</v>
      </c>
      <c r="L176" s="5" t="s">
        <v>10</v>
      </c>
      <c r="M176" s="5" t="s">
        <v>10</v>
      </c>
      <c r="N176" s="5" t="s">
        <v>45</v>
      </c>
      <c r="O176" s="80" t="s">
        <v>56</v>
      </c>
      <c r="P176" s="101">
        <v>45967</v>
      </c>
      <c r="Q176" s="100">
        <f t="shared" si="23"/>
        <v>46332</v>
      </c>
      <c r="R176" s="5" t="s">
        <v>1745</v>
      </c>
      <c r="S176" s="5" t="s">
        <v>3776</v>
      </c>
      <c r="T176" s="7">
        <v>5.0999999999999996</v>
      </c>
      <c r="U176" s="7" t="s">
        <v>10</v>
      </c>
      <c r="V176" s="7">
        <f t="shared" si="24"/>
        <v>5.0999999999999996</v>
      </c>
      <c r="W176" s="5" t="s">
        <v>10</v>
      </c>
      <c r="X176" s="5" t="s">
        <v>55</v>
      </c>
      <c r="Y176" s="48" t="str">
        <f t="shared" si="25"/>
        <v>A DEFINIR</v>
      </c>
      <c r="Z176" s="7" t="s">
        <v>56</v>
      </c>
      <c r="AA176" s="5">
        <v>11599671</v>
      </c>
      <c r="AB176" s="5" t="s">
        <v>3873</v>
      </c>
      <c r="AC176" s="5" t="s">
        <v>48</v>
      </c>
      <c r="AD176" s="5" t="s">
        <v>5530</v>
      </c>
      <c r="AE176" s="5" t="str">
        <f t="shared" ca="1" si="22"/>
        <v>NO PRAZO</v>
      </c>
      <c r="AF176" s="49"/>
    </row>
    <row r="177" spans="1:37" ht="30" customHeight="1" x14ac:dyDescent="0.25">
      <c r="A177" s="5" t="s">
        <v>923</v>
      </c>
      <c r="B177" s="5" t="s">
        <v>10</v>
      </c>
      <c r="C177" s="5" t="s">
        <v>5864</v>
      </c>
      <c r="D177" s="7" t="s">
        <v>921</v>
      </c>
      <c r="E177" s="7" t="s">
        <v>256</v>
      </c>
      <c r="F177" s="7" t="s">
        <v>257</v>
      </c>
      <c r="G177" s="7" t="s">
        <v>921</v>
      </c>
      <c r="H177" s="7" t="s">
        <v>921</v>
      </c>
      <c r="I177" s="7" t="s">
        <v>924</v>
      </c>
      <c r="J177" s="7" t="s">
        <v>925</v>
      </c>
      <c r="K177" s="5" t="s">
        <v>10</v>
      </c>
      <c r="L177" s="5" t="s">
        <v>10</v>
      </c>
      <c r="M177" s="5" t="s">
        <v>10</v>
      </c>
      <c r="N177" s="5" t="s">
        <v>45</v>
      </c>
      <c r="O177" s="80" t="s">
        <v>56</v>
      </c>
      <c r="P177" s="101">
        <v>46052</v>
      </c>
      <c r="Q177" s="100">
        <f t="shared" si="23"/>
        <v>46417</v>
      </c>
      <c r="R177" s="5" t="s">
        <v>1889</v>
      </c>
      <c r="S177" s="5" t="s">
        <v>4664</v>
      </c>
      <c r="T177" s="7">
        <v>0.76</v>
      </c>
      <c r="U177" s="7" t="s">
        <v>10</v>
      </c>
      <c r="V177" s="7">
        <f t="shared" si="24"/>
        <v>0.76</v>
      </c>
      <c r="W177" s="5" t="s">
        <v>10</v>
      </c>
      <c r="X177" s="5" t="s">
        <v>55</v>
      </c>
      <c r="Y177" s="48" t="str">
        <f t="shared" si="25"/>
        <v>A DEFINIR</v>
      </c>
      <c r="Z177" s="7" t="s">
        <v>56</v>
      </c>
      <c r="AA177" s="5">
        <v>11599672</v>
      </c>
      <c r="AB177" s="5" t="s">
        <v>3874</v>
      </c>
      <c r="AC177" s="5" t="s">
        <v>48</v>
      </c>
      <c r="AD177" s="5" t="s">
        <v>5530</v>
      </c>
      <c r="AE177" s="5" t="str">
        <f t="shared" ca="1" si="22"/>
        <v>NO PRAZO</v>
      </c>
      <c r="AF177" s="49"/>
    </row>
    <row r="178" spans="1:37" ht="30" customHeight="1" x14ac:dyDescent="0.3">
      <c r="A178" s="7" t="s">
        <v>926</v>
      </c>
      <c r="B178" s="5" t="s">
        <v>10</v>
      </c>
      <c r="C178" s="5" t="s">
        <v>5864</v>
      </c>
      <c r="D178" s="7" t="s">
        <v>921</v>
      </c>
      <c r="E178" s="7" t="s">
        <v>256</v>
      </c>
      <c r="F178" s="7" t="s">
        <v>317</v>
      </c>
      <c r="G178" s="7" t="s">
        <v>921</v>
      </c>
      <c r="H178" s="7" t="s">
        <v>921</v>
      </c>
      <c r="I178" s="7" t="s">
        <v>339</v>
      </c>
      <c r="J178" s="7" t="s">
        <v>927</v>
      </c>
      <c r="K178" s="7" t="s">
        <v>10</v>
      </c>
      <c r="L178" s="7" t="s">
        <v>45</v>
      </c>
      <c r="M178" s="7" t="s">
        <v>10</v>
      </c>
      <c r="N178" s="7" t="s">
        <v>10</v>
      </c>
      <c r="O178" s="46" t="s">
        <v>46</v>
      </c>
      <c r="P178" s="100">
        <v>45996</v>
      </c>
      <c r="Q178" s="100">
        <f t="shared" si="23"/>
        <v>46361</v>
      </c>
      <c r="R178" s="5" t="s">
        <v>1815</v>
      </c>
      <c r="S178" s="5" t="s">
        <v>4253</v>
      </c>
      <c r="T178" s="7">
        <v>0.78</v>
      </c>
      <c r="U178" s="7" t="s">
        <v>10</v>
      </c>
      <c r="V178" s="7">
        <f t="shared" si="24"/>
        <v>0.78</v>
      </c>
      <c r="W178" s="5" t="s">
        <v>10</v>
      </c>
      <c r="X178" s="5" t="s">
        <v>55</v>
      </c>
      <c r="Y178" s="48" t="str">
        <f t="shared" si="25"/>
        <v>A DEFINIR</v>
      </c>
      <c r="Z178" s="7" t="s">
        <v>56</v>
      </c>
      <c r="AA178" s="5">
        <v>11599767</v>
      </c>
      <c r="AB178" s="5" t="s">
        <v>3875</v>
      </c>
      <c r="AC178" s="5" t="s">
        <v>48</v>
      </c>
      <c r="AD178" s="5" t="s">
        <v>5530</v>
      </c>
      <c r="AE178" s="5" t="str">
        <f t="shared" ca="1" si="22"/>
        <v>NO PRAZO</v>
      </c>
      <c r="AF178" s="51"/>
      <c r="AG178" s="50"/>
      <c r="AH178" s="50"/>
      <c r="AI178" s="50"/>
      <c r="AJ178" s="50"/>
      <c r="AK178" s="50"/>
    </row>
    <row r="179" spans="1:37" ht="30" customHeight="1" x14ac:dyDescent="0.3">
      <c r="A179" s="7" t="s">
        <v>928</v>
      </c>
      <c r="B179" s="5" t="s">
        <v>10</v>
      </c>
      <c r="C179" s="5" t="s">
        <v>5864</v>
      </c>
      <c r="D179" s="7" t="s">
        <v>921</v>
      </c>
      <c r="E179" s="7" t="s">
        <v>256</v>
      </c>
      <c r="F179" s="7" t="s">
        <v>317</v>
      </c>
      <c r="G179" s="7" t="s">
        <v>921</v>
      </c>
      <c r="H179" s="7" t="s">
        <v>921</v>
      </c>
      <c r="I179" s="7" t="s">
        <v>339</v>
      </c>
      <c r="J179" s="7" t="s">
        <v>929</v>
      </c>
      <c r="K179" s="7" t="s">
        <v>10</v>
      </c>
      <c r="L179" s="7" t="s">
        <v>45</v>
      </c>
      <c r="M179" s="7" t="s">
        <v>10</v>
      </c>
      <c r="N179" s="7" t="s">
        <v>10</v>
      </c>
      <c r="O179" s="46" t="s">
        <v>46</v>
      </c>
      <c r="P179" s="100">
        <v>45996</v>
      </c>
      <c r="Q179" s="100">
        <f t="shared" si="23"/>
        <v>46361</v>
      </c>
      <c r="R179" s="5" t="s">
        <v>1816</v>
      </c>
      <c r="S179" s="5" t="s">
        <v>4254</v>
      </c>
      <c r="T179" s="7">
        <v>0.67</v>
      </c>
      <c r="U179" s="7" t="s">
        <v>10</v>
      </c>
      <c r="V179" s="7">
        <f t="shared" si="24"/>
        <v>0.67</v>
      </c>
      <c r="W179" s="5" t="s">
        <v>10</v>
      </c>
      <c r="X179" s="5" t="s">
        <v>55</v>
      </c>
      <c r="Y179" s="48" t="str">
        <f t="shared" si="25"/>
        <v>A DEFINIR</v>
      </c>
      <c r="Z179" s="7" t="s">
        <v>56</v>
      </c>
      <c r="AA179" s="5">
        <v>11599768</v>
      </c>
      <c r="AB179" s="5" t="s">
        <v>3876</v>
      </c>
      <c r="AC179" s="5" t="s">
        <v>48</v>
      </c>
      <c r="AD179" s="5" t="s">
        <v>5530</v>
      </c>
      <c r="AE179" s="5" t="str">
        <f t="shared" ca="1" si="22"/>
        <v>NO PRAZO</v>
      </c>
      <c r="AF179" s="51"/>
      <c r="AG179" s="50"/>
      <c r="AH179" s="50"/>
      <c r="AI179" s="50"/>
      <c r="AJ179" s="50"/>
      <c r="AK179" s="50"/>
    </row>
    <row r="180" spans="1:37" ht="30" customHeight="1" x14ac:dyDescent="0.3">
      <c r="A180" s="7" t="s">
        <v>930</v>
      </c>
      <c r="B180" s="5" t="s">
        <v>10</v>
      </c>
      <c r="C180" s="5" t="s">
        <v>5864</v>
      </c>
      <c r="D180" s="7" t="s">
        <v>921</v>
      </c>
      <c r="E180" s="7" t="s">
        <v>256</v>
      </c>
      <c r="F180" s="7" t="s">
        <v>317</v>
      </c>
      <c r="G180" s="7" t="s">
        <v>921</v>
      </c>
      <c r="H180" s="7" t="s">
        <v>921</v>
      </c>
      <c r="I180" s="7" t="s">
        <v>931</v>
      </c>
      <c r="J180" s="7" t="s">
        <v>932</v>
      </c>
      <c r="K180" s="5" t="s">
        <v>10</v>
      </c>
      <c r="L180" s="5" t="s">
        <v>45</v>
      </c>
      <c r="M180" s="5" t="s">
        <v>10</v>
      </c>
      <c r="N180" s="5" t="s">
        <v>10</v>
      </c>
      <c r="O180" s="46" t="s">
        <v>46</v>
      </c>
      <c r="P180" s="100">
        <v>45918</v>
      </c>
      <c r="Q180" s="100">
        <f t="shared" si="23"/>
        <v>46283</v>
      </c>
      <c r="R180" s="5" t="s">
        <v>933</v>
      </c>
      <c r="S180" s="5" t="s">
        <v>3378</v>
      </c>
      <c r="T180" s="7">
        <v>0.56999999999999995</v>
      </c>
      <c r="U180" s="7" t="s">
        <v>10</v>
      </c>
      <c r="V180" s="7">
        <f t="shared" si="24"/>
        <v>0.56999999999999995</v>
      </c>
      <c r="W180" s="5" t="s">
        <v>10</v>
      </c>
      <c r="X180" s="5" t="s">
        <v>55</v>
      </c>
      <c r="Y180" s="48" t="str">
        <f t="shared" si="25"/>
        <v>A DEFINIR</v>
      </c>
      <c r="Z180" s="7" t="s">
        <v>56</v>
      </c>
      <c r="AA180" s="5">
        <v>11599836</v>
      </c>
      <c r="AB180" s="5" t="s">
        <v>3285</v>
      </c>
      <c r="AC180" s="5" t="s">
        <v>48</v>
      </c>
      <c r="AD180" s="5" t="s">
        <v>5530</v>
      </c>
      <c r="AE180" s="5" t="str">
        <f t="shared" ca="1" si="22"/>
        <v>NO PRAZO</v>
      </c>
      <c r="AF180" s="49"/>
      <c r="AG180" s="50"/>
      <c r="AH180" s="50"/>
      <c r="AI180" s="50"/>
      <c r="AJ180" s="50"/>
      <c r="AK180" s="50"/>
    </row>
    <row r="181" spans="1:37" ht="30" customHeight="1" x14ac:dyDescent="0.25">
      <c r="A181" s="7" t="s">
        <v>934</v>
      </c>
      <c r="B181" s="5" t="s">
        <v>10</v>
      </c>
      <c r="C181" s="5" t="s">
        <v>5864</v>
      </c>
      <c r="D181" s="7" t="s">
        <v>921</v>
      </c>
      <c r="E181" s="7" t="s">
        <v>256</v>
      </c>
      <c r="F181" s="7" t="s">
        <v>317</v>
      </c>
      <c r="G181" s="7" t="s">
        <v>921</v>
      </c>
      <c r="H181" s="7" t="s">
        <v>921</v>
      </c>
      <c r="I181" s="7" t="s">
        <v>931</v>
      </c>
      <c r="J181" s="7" t="s">
        <v>5849</v>
      </c>
      <c r="K181" s="5" t="s">
        <v>10</v>
      </c>
      <c r="L181" s="5" t="s">
        <v>45</v>
      </c>
      <c r="M181" s="5" t="s">
        <v>10</v>
      </c>
      <c r="N181" s="5" t="s">
        <v>10</v>
      </c>
      <c r="O181" s="46" t="s">
        <v>46</v>
      </c>
      <c r="P181" s="100">
        <v>45918</v>
      </c>
      <c r="Q181" s="100">
        <f t="shared" si="23"/>
        <v>46283</v>
      </c>
      <c r="R181" s="5" t="s">
        <v>935</v>
      </c>
      <c r="S181" s="5" t="s">
        <v>3379</v>
      </c>
      <c r="T181" s="7">
        <v>0.7</v>
      </c>
      <c r="U181" s="7" t="s">
        <v>10</v>
      </c>
      <c r="V181" s="7">
        <f t="shared" si="24"/>
        <v>0.7</v>
      </c>
      <c r="W181" s="5" t="s">
        <v>10</v>
      </c>
      <c r="X181" s="5" t="s">
        <v>55</v>
      </c>
      <c r="Y181" s="48" t="str">
        <f t="shared" si="25"/>
        <v>A DEFINIR</v>
      </c>
      <c r="Z181" s="7" t="s">
        <v>56</v>
      </c>
      <c r="AA181" s="5">
        <v>11599837</v>
      </c>
      <c r="AB181" s="5" t="s">
        <v>3286</v>
      </c>
      <c r="AC181" s="5" t="s">
        <v>48</v>
      </c>
      <c r="AD181" s="5" t="s">
        <v>5530</v>
      </c>
      <c r="AE181" s="5" t="str">
        <f t="shared" ca="1" si="22"/>
        <v>NO PRAZO</v>
      </c>
      <c r="AF181" s="49"/>
    </row>
    <row r="182" spans="1:37" ht="30" customHeight="1" x14ac:dyDescent="0.25">
      <c r="A182" s="5" t="s">
        <v>936</v>
      </c>
      <c r="B182" s="5" t="s">
        <v>10</v>
      </c>
      <c r="C182" s="5" t="s">
        <v>5864</v>
      </c>
      <c r="D182" s="63" t="s">
        <v>937</v>
      </c>
      <c r="E182" s="7" t="s">
        <v>256</v>
      </c>
      <c r="F182" s="7" t="s">
        <v>312</v>
      </c>
      <c r="G182" s="63" t="s">
        <v>937</v>
      </c>
      <c r="H182" s="63" t="s">
        <v>937</v>
      </c>
      <c r="I182" s="63" t="s">
        <v>5691</v>
      </c>
      <c r="J182" s="63" t="s">
        <v>5691</v>
      </c>
      <c r="K182" s="5" t="s">
        <v>10</v>
      </c>
      <c r="L182" s="5" t="s">
        <v>45</v>
      </c>
      <c r="M182" s="5" t="s">
        <v>10</v>
      </c>
      <c r="N182" s="5" t="s">
        <v>10</v>
      </c>
      <c r="O182" s="46" t="s">
        <v>46</v>
      </c>
      <c r="P182" s="100">
        <v>46134</v>
      </c>
      <c r="Q182" s="100">
        <f t="shared" si="23"/>
        <v>46499</v>
      </c>
      <c r="R182" s="63" t="s">
        <v>2116</v>
      </c>
      <c r="S182" s="63" t="s">
        <v>5331</v>
      </c>
      <c r="T182" s="63">
        <v>1.4999999999999999E-2</v>
      </c>
      <c r="U182" s="7" t="s">
        <v>10</v>
      </c>
      <c r="V182" s="7">
        <f t="shared" si="24"/>
        <v>1.4999999999999999E-2</v>
      </c>
      <c r="W182" s="5" t="s">
        <v>10</v>
      </c>
      <c r="X182" s="5" t="s">
        <v>938</v>
      </c>
      <c r="Y182" s="48" t="str">
        <f t="shared" si="25"/>
        <v>A DEFINIR</v>
      </c>
      <c r="Z182" s="7" t="s">
        <v>56</v>
      </c>
      <c r="AA182" s="5">
        <v>11599810</v>
      </c>
      <c r="AB182" s="5" t="s">
        <v>2815</v>
      </c>
      <c r="AC182" s="5" t="s">
        <v>48</v>
      </c>
      <c r="AD182" s="5" t="s">
        <v>5530</v>
      </c>
      <c r="AE182" s="5" t="str">
        <f t="shared" ca="1" si="22"/>
        <v>NO PRAZO</v>
      </c>
      <c r="AF182" s="53"/>
    </row>
    <row r="183" spans="1:37" ht="30" customHeight="1" x14ac:dyDescent="0.25">
      <c r="A183" s="5" t="s">
        <v>939</v>
      </c>
      <c r="B183" s="5" t="s">
        <v>10</v>
      </c>
      <c r="C183" s="5" t="s">
        <v>5864</v>
      </c>
      <c r="D183" s="7" t="s">
        <v>941</v>
      </c>
      <c r="E183" s="7" t="s">
        <v>256</v>
      </c>
      <c r="F183" s="7" t="s">
        <v>257</v>
      </c>
      <c r="G183" s="7" t="s">
        <v>940</v>
      </c>
      <c r="H183" s="7" t="s">
        <v>941</v>
      </c>
      <c r="I183" s="7" t="s">
        <v>942</v>
      </c>
      <c r="J183" s="7" t="s">
        <v>943</v>
      </c>
      <c r="K183" s="5" t="s">
        <v>10</v>
      </c>
      <c r="L183" s="5" t="s">
        <v>10</v>
      </c>
      <c r="M183" s="5" t="s">
        <v>10</v>
      </c>
      <c r="N183" s="5" t="s">
        <v>45</v>
      </c>
      <c r="O183" s="80" t="s">
        <v>56</v>
      </c>
      <c r="P183" s="101">
        <v>46153</v>
      </c>
      <c r="Q183" s="100">
        <f t="shared" si="23"/>
        <v>46518</v>
      </c>
      <c r="R183" s="7" t="s">
        <v>2270</v>
      </c>
      <c r="S183" s="7" t="s">
        <v>5368</v>
      </c>
      <c r="T183" s="7">
        <v>6.5000000000000002E-2</v>
      </c>
      <c r="U183" s="7" t="s">
        <v>10</v>
      </c>
      <c r="V183" s="7">
        <f t="shared" si="24"/>
        <v>6.5000000000000002E-2</v>
      </c>
      <c r="W183" s="5" t="s">
        <v>10</v>
      </c>
      <c r="X183" s="5" t="s">
        <v>330</v>
      </c>
      <c r="Y183" s="48" t="str">
        <f t="shared" si="25"/>
        <v>A DEFINIR</v>
      </c>
      <c r="Z183" s="7" t="s">
        <v>56</v>
      </c>
      <c r="AA183" s="5">
        <v>11599673</v>
      </c>
      <c r="AB183" s="5" t="s">
        <v>3877</v>
      </c>
      <c r="AC183" s="5" t="s">
        <v>48</v>
      </c>
      <c r="AD183" s="5" t="s">
        <v>5530</v>
      </c>
      <c r="AE183" s="5" t="str">
        <f t="shared" ca="1" si="22"/>
        <v>NO PRAZO</v>
      </c>
      <c r="AF183" s="49"/>
    </row>
    <row r="184" spans="1:37" ht="30" customHeight="1" x14ac:dyDescent="0.25">
      <c r="A184" s="5" t="s">
        <v>944</v>
      </c>
      <c r="B184" s="5" t="s">
        <v>10</v>
      </c>
      <c r="C184" s="5" t="s">
        <v>5864</v>
      </c>
      <c r="D184" s="7" t="s">
        <v>940</v>
      </c>
      <c r="E184" s="7" t="s">
        <v>256</v>
      </c>
      <c r="F184" s="7" t="s">
        <v>257</v>
      </c>
      <c r="G184" s="7" t="s">
        <v>940</v>
      </c>
      <c r="H184" s="7" t="s">
        <v>941</v>
      </c>
      <c r="I184" s="7" t="s">
        <v>945</v>
      </c>
      <c r="J184" s="7" t="s">
        <v>5850</v>
      </c>
      <c r="K184" s="5" t="s">
        <v>10</v>
      </c>
      <c r="L184" s="5" t="s">
        <v>10</v>
      </c>
      <c r="M184" s="5" t="s">
        <v>10</v>
      </c>
      <c r="N184" s="5" t="s">
        <v>45</v>
      </c>
      <c r="O184" s="80" t="s">
        <v>56</v>
      </c>
      <c r="P184" s="101">
        <v>45999</v>
      </c>
      <c r="Q184" s="100">
        <f t="shared" si="23"/>
        <v>46364</v>
      </c>
      <c r="R184" s="7" t="s">
        <v>1853</v>
      </c>
      <c r="S184" s="7" t="s">
        <v>4311</v>
      </c>
      <c r="T184" s="7">
        <v>0.32</v>
      </c>
      <c r="U184" s="7" t="s">
        <v>10</v>
      </c>
      <c r="V184" s="7">
        <f t="shared" si="24"/>
        <v>0.32</v>
      </c>
      <c r="W184" s="5" t="s">
        <v>10</v>
      </c>
      <c r="X184" s="5" t="s">
        <v>898</v>
      </c>
      <c r="Y184" s="48" t="str">
        <f t="shared" si="25"/>
        <v>A DEFINIR</v>
      </c>
      <c r="Z184" s="7" t="s">
        <v>56</v>
      </c>
      <c r="AA184" s="5">
        <v>11599674</v>
      </c>
      <c r="AB184" s="5" t="s">
        <v>3878</v>
      </c>
      <c r="AC184" s="5" t="s">
        <v>48</v>
      </c>
      <c r="AD184" s="5" t="s">
        <v>5530</v>
      </c>
      <c r="AE184" s="5" t="str">
        <f t="shared" ref="AE184:AE247" ca="1" si="30">IFERROR(IF(OR(AND(YEAR(Q184)=YEAR(TODAY()),MONTH(Q184)&gt;MONTH(TODAY())),(YEAR(Q184)&gt;YEAR(TODAY()))),$AK$4,IF(AND(YEAR(Q184)=YEAR(TODAY()),MONTH(Q184)=MONTH(TODAY())),$AK$5,IF(Q184="",$AK$6,$AK$7))),"-")</f>
        <v>NO PRAZO</v>
      </c>
      <c r="AF184" s="52"/>
    </row>
    <row r="185" spans="1:37" ht="30" customHeight="1" x14ac:dyDescent="0.3">
      <c r="A185" s="5" t="s">
        <v>4634</v>
      </c>
      <c r="B185" s="5" t="s">
        <v>10</v>
      </c>
      <c r="C185" s="5" t="s">
        <v>5864</v>
      </c>
      <c r="D185" s="7" t="s">
        <v>941</v>
      </c>
      <c r="E185" s="7" t="s">
        <v>256</v>
      </c>
      <c r="F185" s="7" t="s">
        <v>257</v>
      </c>
      <c r="G185" s="7" t="s">
        <v>940</v>
      </c>
      <c r="H185" s="7" t="s">
        <v>941</v>
      </c>
      <c r="I185" s="7" t="s">
        <v>4635</v>
      </c>
      <c r="J185" s="7" t="s">
        <v>4636</v>
      </c>
      <c r="K185" s="5" t="s">
        <v>10</v>
      </c>
      <c r="L185" s="5" t="s">
        <v>45</v>
      </c>
      <c r="M185" s="5" t="s">
        <v>10</v>
      </c>
      <c r="N185" s="5" t="s">
        <v>10</v>
      </c>
      <c r="O185" s="46" t="s">
        <v>46</v>
      </c>
      <c r="P185" s="101">
        <v>46099</v>
      </c>
      <c r="Q185" s="100">
        <f t="shared" si="23"/>
        <v>46464</v>
      </c>
      <c r="R185" s="5" t="s">
        <v>4637</v>
      </c>
      <c r="S185" s="5" t="s">
        <v>5054</v>
      </c>
      <c r="T185" s="7">
        <v>5.7000000000000002E-2</v>
      </c>
      <c r="U185" s="7" t="s">
        <v>10</v>
      </c>
      <c r="V185" s="7">
        <f t="shared" si="24"/>
        <v>5.7000000000000002E-2</v>
      </c>
      <c r="W185" s="5" t="s">
        <v>10</v>
      </c>
      <c r="X185" s="5" t="s">
        <v>898</v>
      </c>
      <c r="Y185" s="48" t="str">
        <f t="shared" si="25"/>
        <v>A DEFINIR</v>
      </c>
      <c r="Z185" s="7" t="s">
        <v>56</v>
      </c>
      <c r="AA185" s="5">
        <v>11599763</v>
      </c>
      <c r="AB185" s="5" t="s">
        <v>4638</v>
      </c>
      <c r="AC185" s="5" t="s">
        <v>48</v>
      </c>
      <c r="AD185" s="5" t="s">
        <v>5530</v>
      </c>
      <c r="AE185" s="5" t="str">
        <f t="shared" ca="1" si="30"/>
        <v>NO PRAZO</v>
      </c>
      <c r="AF185" s="49"/>
      <c r="AG185" s="50"/>
      <c r="AH185" s="50"/>
      <c r="AI185" s="50"/>
      <c r="AJ185" s="50"/>
      <c r="AK185" s="50"/>
    </row>
    <row r="186" spans="1:37" ht="30" customHeight="1" x14ac:dyDescent="0.3">
      <c r="A186" s="5" t="s">
        <v>5052</v>
      </c>
      <c r="B186" s="5" t="s">
        <v>10</v>
      </c>
      <c r="C186" s="5" t="s">
        <v>5864</v>
      </c>
      <c r="D186" s="7" t="s">
        <v>5221</v>
      </c>
      <c r="E186" s="7" t="s">
        <v>256</v>
      </c>
      <c r="F186" s="7" t="s">
        <v>257</v>
      </c>
      <c r="G186" s="7" t="s">
        <v>940</v>
      </c>
      <c r="H186" s="7" t="s">
        <v>941</v>
      </c>
      <c r="I186" s="7" t="s">
        <v>946</v>
      </c>
      <c r="J186" s="7" t="s">
        <v>947</v>
      </c>
      <c r="K186" s="5" t="s">
        <v>10</v>
      </c>
      <c r="L186" s="5" t="s">
        <v>10</v>
      </c>
      <c r="M186" s="5" t="s">
        <v>10</v>
      </c>
      <c r="N186" s="5" t="s">
        <v>45</v>
      </c>
      <c r="O186" s="80" t="s">
        <v>56</v>
      </c>
      <c r="P186" s="101">
        <v>46099</v>
      </c>
      <c r="Q186" s="100">
        <f t="shared" si="23"/>
        <v>46464</v>
      </c>
      <c r="R186" s="7" t="s">
        <v>273</v>
      </c>
      <c r="S186" s="7" t="s">
        <v>5055</v>
      </c>
      <c r="T186" s="59">
        <v>4.4999999999999998E-2</v>
      </c>
      <c r="U186" s="59" t="s">
        <v>10</v>
      </c>
      <c r="V186" s="7">
        <f t="shared" si="24"/>
        <v>4.4999999999999998E-2</v>
      </c>
      <c r="W186" s="5" t="s">
        <v>10</v>
      </c>
      <c r="X186" s="5" t="s">
        <v>898</v>
      </c>
      <c r="Y186" s="48" t="str">
        <f t="shared" si="25"/>
        <v>A DEFINIR</v>
      </c>
      <c r="Z186" s="7" t="s">
        <v>56</v>
      </c>
      <c r="AA186" s="5">
        <v>11599677</v>
      </c>
      <c r="AB186" s="5" t="s">
        <v>3879</v>
      </c>
      <c r="AC186" s="5" t="s">
        <v>48</v>
      </c>
      <c r="AD186" s="5" t="s">
        <v>5530</v>
      </c>
      <c r="AE186" s="5" t="str">
        <f t="shared" ca="1" si="30"/>
        <v>NO PRAZO</v>
      </c>
      <c r="AF186" s="49"/>
      <c r="AG186" s="50"/>
      <c r="AH186" s="50"/>
      <c r="AI186" s="50"/>
      <c r="AJ186" s="50"/>
      <c r="AK186" s="50"/>
    </row>
    <row r="187" spans="1:37" ht="30" customHeight="1" x14ac:dyDescent="0.3">
      <c r="A187" s="5" t="s">
        <v>3467</v>
      </c>
      <c r="B187" s="5" t="s">
        <v>10</v>
      </c>
      <c r="C187" s="5" t="s">
        <v>5864</v>
      </c>
      <c r="D187" s="7" t="s">
        <v>941</v>
      </c>
      <c r="E187" s="7" t="s">
        <v>256</v>
      </c>
      <c r="F187" s="7" t="s">
        <v>257</v>
      </c>
      <c r="G187" s="7" t="s">
        <v>940</v>
      </c>
      <c r="H187" s="7" t="s">
        <v>941</v>
      </c>
      <c r="I187" s="7" t="s">
        <v>3468</v>
      </c>
      <c r="J187" s="7" t="s">
        <v>5851</v>
      </c>
      <c r="K187" s="5" t="s">
        <v>10</v>
      </c>
      <c r="L187" s="5" t="s">
        <v>10</v>
      </c>
      <c r="M187" s="5" t="s">
        <v>10</v>
      </c>
      <c r="N187" s="5" t="s">
        <v>45</v>
      </c>
      <c r="O187" s="80" t="s">
        <v>56</v>
      </c>
      <c r="P187" s="101">
        <v>45931</v>
      </c>
      <c r="Q187" s="100">
        <f t="shared" si="23"/>
        <v>46296</v>
      </c>
      <c r="R187" s="7" t="s">
        <v>273</v>
      </c>
      <c r="S187" s="7" t="s">
        <v>3469</v>
      </c>
      <c r="T187" s="59">
        <v>1.04</v>
      </c>
      <c r="U187" s="59" t="s">
        <v>10</v>
      </c>
      <c r="V187" s="7">
        <f t="shared" si="24"/>
        <v>1.04</v>
      </c>
      <c r="W187" s="5" t="s">
        <v>10</v>
      </c>
      <c r="X187" s="5" t="s">
        <v>898</v>
      </c>
      <c r="Y187" s="48" t="str">
        <f t="shared" si="25"/>
        <v>A DEFINIR</v>
      </c>
      <c r="Z187" s="7" t="s">
        <v>56</v>
      </c>
      <c r="AA187" s="5">
        <v>11599677</v>
      </c>
      <c r="AB187" s="5" t="s">
        <v>3879</v>
      </c>
      <c r="AC187" s="5" t="s">
        <v>48</v>
      </c>
      <c r="AD187" s="5" t="s">
        <v>5530</v>
      </c>
      <c r="AE187" s="5" t="str">
        <f t="shared" ca="1" si="30"/>
        <v>NO PRAZO</v>
      </c>
      <c r="AF187" s="51"/>
      <c r="AG187" s="50"/>
      <c r="AH187" s="50"/>
      <c r="AI187" s="50"/>
      <c r="AJ187" s="50"/>
      <c r="AK187" s="50"/>
    </row>
    <row r="188" spans="1:37" ht="30" customHeight="1" x14ac:dyDescent="0.25">
      <c r="A188" s="5" t="s">
        <v>948</v>
      </c>
      <c r="B188" s="5" t="s">
        <v>10</v>
      </c>
      <c r="C188" s="5" t="s">
        <v>5864</v>
      </c>
      <c r="D188" s="7" t="s">
        <v>941</v>
      </c>
      <c r="E188" s="7" t="s">
        <v>256</v>
      </c>
      <c r="F188" s="7" t="s">
        <v>257</v>
      </c>
      <c r="G188" s="7" t="s">
        <v>940</v>
      </c>
      <c r="H188" s="7" t="s">
        <v>941</v>
      </c>
      <c r="I188" s="7" t="s">
        <v>946</v>
      </c>
      <c r="J188" s="7" t="s">
        <v>947</v>
      </c>
      <c r="K188" s="5" t="s">
        <v>10</v>
      </c>
      <c r="L188" s="5" t="s">
        <v>10</v>
      </c>
      <c r="M188" s="5" t="s">
        <v>10</v>
      </c>
      <c r="N188" s="5" t="s">
        <v>45</v>
      </c>
      <c r="O188" s="80" t="s">
        <v>56</v>
      </c>
      <c r="P188" s="101">
        <v>45999</v>
      </c>
      <c r="Q188" s="100">
        <f t="shared" si="23"/>
        <v>46364</v>
      </c>
      <c r="R188" s="7" t="s">
        <v>1854</v>
      </c>
      <c r="S188" s="7" t="s">
        <v>4312</v>
      </c>
      <c r="T188" s="59">
        <v>4.4999999999999998E-2</v>
      </c>
      <c r="U188" s="59" t="s">
        <v>10</v>
      </c>
      <c r="V188" s="7">
        <f t="shared" si="24"/>
        <v>4.4999999999999998E-2</v>
      </c>
      <c r="W188" s="5" t="s">
        <v>10</v>
      </c>
      <c r="X188" s="5" t="s">
        <v>898</v>
      </c>
      <c r="Y188" s="48" t="str">
        <f t="shared" si="25"/>
        <v>A DEFINIR</v>
      </c>
      <c r="Z188" s="7" t="s">
        <v>56</v>
      </c>
      <c r="AA188" s="5">
        <v>11599678</v>
      </c>
      <c r="AB188" s="5" t="s">
        <v>3880</v>
      </c>
      <c r="AC188" s="5" t="s">
        <v>48</v>
      </c>
      <c r="AD188" s="5" t="s">
        <v>5530</v>
      </c>
      <c r="AE188" s="5" t="str">
        <f t="shared" ca="1" si="30"/>
        <v>NO PRAZO</v>
      </c>
      <c r="AF188" s="52"/>
    </row>
    <row r="189" spans="1:37" ht="30" customHeight="1" x14ac:dyDescent="0.25">
      <c r="A189" s="5" t="s">
        <v>949</v>
      </c>
      <c r="B189" s="5" t="s">
        <v>10</v>
      </c>
      <c r="C189" s="5" t="s">
        <v>5864</v>
      </c>
      <c r="D189" s="7" t="s">
        <v>950</v>
      </c>
      <c r="E189" s="7" t="s">
        <v>256</v>
      </c>
      <c r="F189" s="7" t="s">
        <v>257</v>
      </c>
      <c r="G189" s="7" t="s">
        <v>951</v>
      </c>
      <c r="H189" s="7" t="s">
        <v>951</v>
      </c>
      <c r="I189" s="7" t="s">
        <v>952</v>
      </c>
      <c r="J189" s="7" t="s">
        <v>952</v>
      </c>
      <c r="K189" s="5" t="s">
        <v>10</v>
      </c>
      <c r="L189" s="5" t="s">
        <v>10</v>
      </c>
      <c r="M189" s="5" t="s">
        <v>10</v>
      </c>
      <c r="N189" s="5" t="s">
        <v>45</v>
      </c>
      <c r="O189" s="80" t="s">
        <v>56</v>
      </c>
      <c r="P189" s="101">
        <v>45996</v>
      </c>
      <c r="Q189" s="100">
        <f t="shared" si="23"/>
        <v>46361</v>
      </c>
      <c r="R189" s="5" t="s">
        <v>1822</v>
      </c>
      <c r="S189" s="5" t="s">
        <v>4255</v>
      </c>
      <c r="T189" s="7">
        <v>0.155</v>
      </c>
      <c r="U189" s="7" t="s">
        <v>10</v>
      </c>
      <c r="V189" s="7">
        <f t="shared" si="24"/>
        <v>0.155</v>
      </c>
      <c r="W189" s="5" t="s">
        <v>10</v>
      </c>
      <c r="X189" s="5" t="s">
        <v>330</v>
      </c>
      <c r="Y189" s="48" t="str">
        <f t="shared" si="25"/>
        <v>A DEFINIR</v>
      </c>
      <c r="Z189" s="7" t="s">
        <v>56</v>
      </c>
      <c r="AA189" s="5">
        <v>11599681</v>
      </c>
      <c r="AB189" s="5" t="s">
        <v>3881</v>
      </c>
      <c r="AC189" s="5" t="s">
        <v>48</v>
      </c>
      <c r="AD189" s="5" t="s">
        <v>5530</v>
      </c>
      <c r="AE189" s="5" t="str">
        <f t="shared" ca="1" si="30"/>
        <v>NO PRAZO</v>
      </c>
      <c r="AF189" s="51"/>
    </row>
    <row r="190" spans="1:37" ht="30" customHeight="1" x14ac:dyDescent="0.25">
      <c r="A190" s="5" t="s">
        <v>953</v>
      </c>
      <c r="B190" s="5" t="s">
        <v>10</v>
      </c>
      <c r="C190" s="5" t="s">
        <v>5864</v>
      </c>
      <c r="D190" s="7" t="s">
        <v>921</v>
      </c>
      <c r="E190" s="7" t="s">
        <v>256</v>
      </c>
      <c r="F190" s="7" t="s">
        <v>317</v>
      </c>
      <c r="G190" s="34" t="s">
        <v>921</v>
      </c>
      <c r="H190" s="7" t="s">
        <v>921</v>
      </c>
      <c r="I190" s="7" t="s">
        <v>268</v>
      </c>
      <c r="J190" s="7" t="s">
        <v>954</v>
      </c>
      <c r="K190" s="5" t="s">
        <v>10</v>
      </c>
      <c r="L190" s="5" t="s">
        <v>10</v>
      </c>
      <c r="M190" s="5" t="s">
        <v>10</v>
      </c>
      <c r="N190" s="5" t="s">
        <v>45</v>
      </c>
      <c r="O190" s="80" t="s">
        <v>56</v>
      </c>
      <c r="P190" s="101">
        <v>45996</v>
      </c>
      <c r="Q190" s="100">
        <f t="shared" si="23"/>
        <v>46361</v>
      </c>
      <c r="R190" s="7" t="s">
        <v>1823</v>
      </c>
      <c r="S190" s="7" t="s">
        <v>4256</v>
      </c>
      <c r="T190" s="7">
        <v>0.26</v>
      </c>
      <c r="U190" s="7" t="s">
        <v>10</v>
      </c>
      <c r="V190" s="7">
        <f t="shared" si="24"/>
        <v>0.26</v>
      </c>
      <c r="W190" s="5" t="s">
        <v>10</v>
      </c>
      <c r="X190" s="5" t="s">
        <v>55</v>
      </c>
      <c r="Y190" s="48" t="str">
        <f t="shared" si="25"/>
        <v>A DEFINIR</v>
      </c>
      <c r="Z190" s="7" t="s">
        <v>56</v>
      </c>
      <c r="AA190" s="5">
        <v>11599682</v>
      </c>
      <c r="AB190" s="5" t="s">
        <v>3882</v>
      </c>
      <c r="AC190" s="5" t="s">
        <v>48</v>
      </c>
      <c r="AD190" s="5" t="s">
        <v>5530</v>
      </c>
      <c r="AE190" s="5" t="str">
        <f t="shared" ca="1" si="30"/>
        <v>NO PRAZO</v>
      </c>
      <c r="AF190" s="51"/>
    </row>
    <row r="191" spans="1:37" ht="30" customHeight="1" x14ac:dyDescent="0.25">
      <c r="A191" s="5" t="s">
        <v>2472</v>
      </c>
      <c r="B191" s="5" t="s">
        <v>10</v>
      </c>
      <c r="C191" s="5" t="s">
        <v>5862</v>
      </c>
      <c r="D191" s="7" t="s">
        <v>2473</v>
      </c>
      <c r="E191" s="7" t="s">
        <v>68</v>
      </c>
      <c r="F191" s="7" t="s">
        <v>86</v>
      </c>
      <c r="G191" s="7" t="s">
        <v>2471</v>
      </c>
      <c r="H191" s="7" t="s">
        <v>5800</v>
      </c>
      <c r="I191" s="12" t="s">
        <v>2474</v>
      </c>
      <c r="J191" s="12" t="s">
        <v>3017</v>
      </c>
      <c r="K191" s="5" t="s">
        <v>45</v>
      </c>
      <c r="L191" s="5" t="s">
        <v>10</v>
      </c>
      <c r="M191" s="5" t="s">
        <v>10</v>
      </c>
      <c r="N191" s="5" t="s">
        <v>10</v>
      </c>
      <c r="O191" s="80" t="s">
        <v>46</v>
      </c>
      <c r="P191" s="101">
        <v>46194</v>
      </c>
      <c r="Q191" s="100">
        <f t="shared" si="23"/>
        <v>46559</v>
      </c>
      <c r="R191" s="5" t="s">
        <v>3067</v>
      </c>
      <c r="S191" s="5" t="s">
        <v>5677</v>
      </c>
      <c r="T191" s="7">
        <v>1.9E-3</v>
      </c>
      <c r="U191" s="7">
        <v>10000</v>
      </c>
      <c r="V191" s="7">
        <f t="shared" si="24"/>
        <v>1.9000000000000001E-5</v>
      </c>
      <c r="W191" s="5">
        <v>0.5</v>
      </c>
      <c r="X191" s="5" t="s">
        <v>3074</v>
      </c>
      <c r="Y191" s="48" t="str">
        <f t="shared" si="25"/>
        <v>APROVADO</v>
      </c>
      <c r="Z191" s="7" t="s">
        <v>56</v>
      </c>
      <c r="AA191" s="5">
        <v>11606661</v>
      </c>
      <c r="AB191" s="5" t="s">
        <v>4111</v>
      </c>
      <c r="AC191" s="5" t="s">
        <v>48</v>
      </c>
      <c r="AD191" s="5" t="s">
        <v>5530</v>
      </c>
      <c r="AE191" s="5" t="str">
        <f t="shared" ca="1" si="30"/>
        <v>NO PRAZO</v>
      </c>
      <c r="AF191" s="52"/>
    </row>
    <row r="192" spans="1:37" ht="30" customHeight="1" x14ac:dyDescent="0.25">
      <c r="A192" s="9" t="s">
        <v>955</v>
      </c>
      <c r="B192" s="5" t="s">
        <v>10</v>
      </c>
      <c r="C192" s="5" t="s">
        <v>5863</v>
      </c>
      <c r="D192" s="5" t="s">
        <v>394</v>
      </c>
      <c r="E192" s="7" t="s">
        <v>40</v>
      </c>
      <c r="F192" s="7" t="s">
        <v>354</v>
      </c>
      <c r="G192" s="61">
        <v>4800</v>
      </c>
      <c r="H192" s="61" t="s">
        <v>956</v>
      </c>
      <c r="I192" s="61" t="s">
        <v>957</v>
      </c>
      <c r="J192" s="61" t="s">
        <v>957</v>
      </c>
      <c r="K192" s="5" t="s">
        <v>10</v>
      </c>
      <c r="L192" s="5" t="s">
        <v>45</v>
      </c>
      <c r="M192" s="5" t="s">
        <v>10</v>
      </c>
      <c r="N192" s="5" t="s">
        <v>10</v>
      </c>
      <c r="O192" s="46" t="s">
        <v>46</v>
      </c>
      <c r="P192" s="99">
        <v>46071</v>
      </c>
      <c r="Q192" s="100">
        <f t="shared" si="23"/>
        <v>46436</v>
      </c>
      <c r="R192" s="63" t="s">
        <v>3108</v>
      </c>
      <c r="S192" s="63" t="s">
        <v>4867</v>
      </c>
      <c r="T192" s="7">
        <v>22.4</v>
      </c>
      <c r="U192" s="5">
        <v>25000</v>
      </c>
      <c r="V192" s="7">
        <f t="shared" si="24"/>
        <v>8.9599999999999999E-2</v>
      </c>
      <c r="W192" s="5">
        <v>0.5</v>
      </c>
      <c r="X192" s="5" t="s">
        <v>958</v>
      </c>
      <c r="Y192" s="48" t="str">
        <f t="shared" si="25"/>
        <v>APROVADO</v>
      </c>
      <c r="Z192" s="7" t="s">
        <v>56</v>
      </c>
      <c r="AA192" s="5">
        <v>11599492</v>
      </c>
      <c r="AB192" s="5" t="s">
        <v>3287</v>
      </c>
      <c r="AC192" s="5" t="s">
        <v>48</v>
      </c>
      <c r="AD192" s="5" t="s">
        <v>5530</v>
      </c>
      <c r="AE192" s="5" t="str">
        <f t="shared" ca="1" si="30"/>
        <v>NO PRAZO</v>
      </c>
      <c r="AF192" s="49"/>
    </row>
    <row r="193" spans="1:32" ht="30" customHeight="1" x14ac:dyDescent="0.25">
      <c r="A193" s="9" t="s">
        <v>959</v>
      </c>
      <c r="B193" s="5" t="s">
        <v>10</v>
      </c>
      <c r="C193" s="5" t="s">
        <v>5863</v>
      </c>
      <c r="D193" s="5" t="s">
        <v>394</v>
      </c>
      <c r="E193" s="7" t="s">
        <v>40</v>
      </c>
      <c r="F193" s="7" t="s">
        <v>354</v>
      </c>
      <c r="G193" s="61">
        <v>4800</v>
      </c>
      <c r="H193" s="61" t="s">
        <v>960</v>
      </c>
      <c r="I193" s="61" t="s">
        <v>957</v>
      </c>
      <c r="J193" s="61" t="s">
        <v>957</v>
      </c>
      <c r="K193" s="5" t="s">
        <v>10</v>
      </c>
      <c r="L193" s="5" t="s">
        <v>45</v>
      </c>
      <c r="M193" s="5" t="s">
        <v>10</v>
      </c>
      <c r="N193" s="5" t="s">
        <v>10</v>
      </c>
      <c r="O193" s="46" t="s">
        <v>46</v>
      </c>
      <c r="P193" s="99">
        <v>46071</v>
      </c>
      <c r="Q193" s="100">
        <f t="shared" si="23"/>
        <v>46436</v>
      </c>
      <c r="R193" s="63" t="s">
        <v>3109</v>
      </c>
      <c r="S193" s="63" t="s">
        <v>4868</v>
      </c>
      <c r="T193" s="7">
        <v>22.4</v>
      </c>
      <c r="U193" s="5">
        <v>18750</v>
      </c>
      <c r="V193" s="7">
        <f t="shared" si="24"/>
        <v>0.11946666666666667</v>
      </c>
      <c r="W193" s="5">
        <v>0.5</v>
      </c>
      <c r="X193" s="5" t="s">
        <v>958</v>
      </c>
      <c r="Y193" s="48" t="str">
        <f t="shared" si="25"/>
        <v>APROVADO</v>
      </c>
      <c r="Z193" s="7" t="s">
        <v>56</v>
      </c>
      <c r="AA193" s="5">
        <v>11599494</v>
      </c>
      <c r="AB193" s="5" t="s">
        <v>3288</v>
      </c>
      <c r="AC193" s="5" t="s">
        <v>48</v>
      </c>
      <c r="AD193" s="5" t="s">
        <v>5530</v>
      </c>
      <c r="AE193" s="5" t="str">
        <f t="shared" ca="1" si="30"/>
        <v>NO PRAZO</v>
      </c>
      <c r="AF193" s="49"/>
    </row>
    <row r="194" spans="1:32" ht="30" customHeight="1" x14ac:dyDescent="0.25">
      <c r="A194" s="9" t="s">
        <v>961</v>
      </c>
      <c r="B194" s="5" t="s">
        <v>10</v>
      </c>
      <c r="C194" s="5" t="s">
        <v>5863</v>
      </c>
      <c r="D194" s="5" t="s">
        <v>394</v>
      </c>
      <c r="E194" s="7" t="s">
        <v>40</v>
      </c>
      <c r="F194" s="7" t="s">
        <v>354</v>
      </c>
      <c r="G194" s="61">
        <v>4800</v>
      </c>
      <c r="H194" s="61" t="s">
        <v>962</v>
      </c>
      <c r="I194" s="61" t="s">
        <v>957</v>
      </c>
      <c r="J194" s="61" t="s">
        <v>957</v>
      </c>
      <c r="K194" s="5" t="s">
        <v>10</v>
      </c>
      <c r="L194" s="5" t="s">
        <v>45</v>
      </c>
      <c r="M194" s="5" t="s">
        <v>10</v>
      </c>
      <c r="N194" s="5" t="s">
        <v>10</v>
      </c>
      <c r="O194" s="46" t="s">
        <v>46</v>
      </c>
      <c r="P194" s="99">
        <v>46071</v>
      </c>
      <c r="Q194" s="100">
        <f t="shared" si="23"/>
        <v>46436</v>
      </c>
      <c r="R194" s="63" t="s">
        <v>3110</v>
      </c>
      <c r="S194" s="63" t="s">
        <v>4869</v>
      </c>
      <c r="T194" s="7">
        <v>24.8</v>
      </c>
      <c r="U194" s="5">
        <v>12500</v>
      </c>
      <c r="V194" s="7">
        <f t="shared" si="24"/>
        <v>0.19839999999999999</v>
      </c>
      <c r="W194" s="5">
        <v>0.5</v>
      </c>
      <c r="X194" s="5" t="s">
        <v>958</v>
      </c>
      <c r="Y194" s="48" t="str">
        <f t="shared" si="25"/>
        <v>APROVADO</v>
      </c>
      <c r="Z194" s="7" t="s">
        <v>56</v>
      </c>
      <c r="AA194" s="5">
        <v>11599495</v>
      </c>
      <c r="AB194" s="5" t="s">
        <v>3289</v>
      </c>
      <c r="AC194" s="5" t="s">
        <v>48</v>
      </c>
      <c r="AD194" s="5" t="s">
        <v>5530</v>
      </c>
      <c r="AE194" s="5" t="str">
        <f t="shared" ca="1" si="30"/>
        <v>NO PRAZO</v>
      </c>
      <c r="AF194" s="49"/>
    </row>
    <row r="195" spans="1:32" ht="30" customHeight="1" x14ac:dyDescent="0.25">
      <c r="A195" s="9" t="s">
        <v>963</v>
      </c>
      <c r="B195" s="5" t="s">
        <v>10</v>
      </c>
      <c r="C195" s="5" t="s">
        <v>5863</v>
      </c>
      <c r="D195" s="5" t="s">
        <v>394</v>
      </c>
      <c r="E195" s="7" t="s">
        <v>40</v>
      </c>
      <c r="F195" s="7" t="s">
        <v>354</v>
      </c>
      <c r="G195" s="61">
        <v>4800</v>
      </c>
      <c r="H195" s="61" t="s">
        <v>964</v>
      </c>
      <c r="I195" s="61" t="s">
        <v>965</v>
      </c>
      <c r="J195" s="61" t="s">
        <v>965</v>
      </c>
      <c r="K195" s="5" t="s">
        <v>10</v>
      </c>
      <c r="L195" s="5" t="s">
        <v>45</v>
      </c>
      <c r="M195" s="5" t="s">
        <v>10</v>
      </c>
      <c r="N195" s="5" t="s">
        <v>10</v>
      </c>
      <c r="O195" s="46" t="s">
        <v>46</v>
      </c>
      <c r="P195" s="99">
        <v>46071</v>
      </c>
      <c r="Q195" s="100">
        <f t="shared" si="23"/>
        <v>46436</v>
      </c>
      <c r="R195" s="63" t="s">
        <v>3111</v>
      </c>
      <c r="S195" s="63" t="s">
        <v>4870</v>
      </c>
      <c r="T195" s="7">
        <v>10.42</v>
      </c>
      <c r="U195" s="5">
        <v>6750</v>
      </c>
      <c r="V195" s="7">
        <f t="shared" si="24"/>
        <v>0.15437037037037038</v>
      </c>
      <c r="W195" s="5">
        <v>0.5</v>
      </c>
      <c r="X195" s="5" t="s">
        <v>958</v>
      </c>
      <c r="Y195" s="48" t="str">
        <f t="shared" si="25"/>
        <v>APROVADO</v>
      </c>
      <c r="Z195" s="7" t="s">
        <v>56</v>
      </c>
      <c r="AA195" s="5">
        <v>11599496</v>
      </c>
      <c r="AB195" s="5" t="s">
        <v>3290</v>
      </c>
      <c r="AC195" s="5" t="s">
        <v>48</v>
      </c>
      <c r="AD195" s="5" t="s">
        <v>5530</v>
      </c>
      <c r="AE195" s="5" t="str">
        <f t="shared" ca="1" si="30"/>
        <v>NO PRAZO</v>
      </c>
      <c r="AF195" s="49"/>
    </row>
    <row r="196" spans="1:32" ht="30" customHeight="1" x14ac:dyDescent="0.25">
      <c r="A196" s="9" t="s">
        <v>966</v>
      </c>
      <c r="B196" s="5" t="s">
        <v>10</v>
      </c>
      <c r="C196" s="5" t="s">
        <v>5863</v>
      </c>
      <c r="D196" s="5" t="s">
        <v>394</v>
      </c>
      <c r="E196" s="7" t="s">
        <v>40</v>
      </c>
      <c r="F196" s="7" t="s">
        <v>354</v>
      </c>
      <c r="G196" s="61">
        <v>4800</v>
      </c>
      <c r="H196" s="61" t="s">
        <v>967</v>
      </c>
      <c r="I196" s="61" t="s">
        <v>957</v>
      </c>
      <c r="J196" s="61" t="s">
        <v>957</v>
      </c>
      <c r="K196" s="5" t="s">
        <v>10</v>
      </c>
      <c r="L196" s="5" t="s">
        <v>45</v>
      </c>
      <c r="M196" s="5" t="s">
        <v>10</v>
      </c>
      <c r="N196" s="5" t="s">
        <v>10</v>
      </c>
      <c r="O196" s="46" t="s">
        <v>46</v>
      </c>
      <c r="P196" s="99">
        <v>46071</v>
      </c>
      <c r="Q196" s="100">
        <f t="shared" si="23"/>
        <v>46436</v>
      </c>
      <c r="R196" s="63" t="s">
        <v>3112</v>
      </c>
      <c r="S196" s="63" t="s">
        <v>4871</v>
      </c>
      <c r="T196" s="7">
        <v>6.7</v>
      </c>
      <c r="U196" s="5">
        <v>6250</v>
      </c>
      <c r="V196" s="7">
        <f t="shared" si="24"/>
        <v>0.1072</v>
      </c>
      <c r="W196" s="5">
        <v>0.5</v>
      </c>
      <c r="X196" s="5" t="s">
        <v>958</v>
      </c>
      <c r="Y196" s="48" t="str">
        <f t="shared" si="25"/>
        <v>APROVADO</v>
      </c>
      <c r="Z196" s="7" t="s">
        <v>56</v>
      </c>
      <c r="AA196" s="5">
        <v>11599497</v>
      </c>
      <c r="AB196" s="5" t="s">
        <v>3883</v>
      </c>
      <c r="AC196" s="5" t="s">
        <v>48</v>
      </c>
      <c r="AD196" s="5" t="s">
        <v>5530</v>
      </c>
      <c r="AE196" s="5" t="str">
        <f t="shared" ca="1" si="30"/>
        <v>NO PRAZO</v>
      </c>
      <c r="AF196" s="49"/>
    </row>
    <row r="197" spans="1:32" ht="30" customHeight="1" x14ac:dyDescent="0.25">
      <c r="A197" s="9" t="s">
        <v>980</v>
      </c>
      <c r="B197" s="5" t="s">
        <v>10</v>
      </c>
      <c r="C197" s="5" t="s">
        <v>5863</v>
      </c>
      <c r="D197" s="5" t="s">
        <v>394</v>
      </c>
      <c r="E197" s="7" t="s">
        <v>40</v>
      </c>
      <c r="F197" s="7" t="s">
        <v>354</v>
      </c>
      <c r="G197" s="61">
        <v>4800</v>
      </c>
      <c r="H197" s="7" t="s">
        <v>978</v>
      </c>
      <c r="I197" s="61" t="s">
        <v>2210</v>
      </c>
      <c r="J197" s="61" t="s">
        <v>2210</v>
      </c>
      <c r="K197" s="5" t="s">
        <v>10</v>
      </c>
      <c r="L197" s="5" t="s">
        <v>45</v>
      </c>
      <c r="M197" s="5" t="s">
        <v>10</v>
      </c>
      <c r="N197" s="5" t="s">
        <v>10</v>
      </c>
      <c r="O197" s="46" t="s">
        <v>46</v>
      </c>
      <c r="P197" s="99">
        <v>46071</v>
      </c>
      <c r="Q197" s="100">
        <f t="shared" si="23"/>
        <v>46436</v>
      </c>
      <c r="R197" s="63" t="s">
        <v>3113</v>
      </c>
      <c r="S197" s="63" t="s">
        <v>4872</v>
      </c>
      <c r="T197" s="7">
        <v>6.87</v>
      </c>
      <c r="U197" s="5">
        <v>6300</v>
      </c>
      <c r="V197" s="7">
        <f t="shared" si="24"/>
        <v>0.10904761904761905</v>
      </c>
      <c r="W197" s="5">
        <v>0.5</v>
      </c>
      <c r="X197" s="5" t="s">
        <v>958</v>
      </c>
      <c r="Y197" s="48" t="str">
        <f t="shared" si="25"/>
        <v>APROVADO</v>
      </c>
      <c r="Z197" s="7" t="s">
        <v>56</v>
      </c>
      <c r="AA197" s="5">
        <v>11599498</v>
      </c>
      <c r="AB197" s="5" t="s">
        <v>3297</v>
      </c>
      <c r="AC197" s="5" t="s">
        <v>48</v>
      </c>
      <c r="AD197" s="5" t="s">
        <v>5530</v>
      </c>
      <c r="AE197" s="5" t="str">
        <f t="shared" ca="1" si="30"/>
        <v>NO PRAZO</v>
      </c>
      <c r="AF197" s="49"/>
    </row>
    <row r="198" spans="1:32" ht="30" customHeight="1" x14ac:dyDescent="0.25">
      <c r="A198" s="9" t="s">
        <v>981</v>
      </c>
      <c r="B198" s="5" t="s">
        <v>10</v>
      </c>
      <c r="C198" s="5" t="s">
        <v>5863</v>
      </c>
      <c r="D198" s="5" t="s">
        <v>394</v>
      </c>
      <c r="E198" s="7" t="s">
        <v>40</v>
      </c>
      <c r="F198" s="7" t="s">
        <v>354</v>
      </c>
      <c r="G198" s="61">
        <v>4900</v>
      </c>
      <c r="H198" s="61" t="s">
        <v>956</v>
      </c>
      <c r="I198" s="61" t="s">
        <v>957</v>
      </c>
      <c r="J198" s="61" t="s">
        <v>957</v>
      </c>
      <c r="K198" s="5" t="s">
        <v>10</v>
      </c>
      <c r="L198" s="5" t="s">
        <v>45</v>
      </c>
      <c r="M198" s="5" t="s">
        <v>10</v>
      </c>
      <c r="N198" s="5" t="s">
        <v>10</v>
      </c>
      <c r="O198" s="46" t="s">
        <v>46</v>
      </c>
      <c r="P198" s="99">
        <v>46071</v>
      </c>
      <c r="Q198" s="100">
        <f t="shared" si="23"/>
        <v>46436</v>
      </c>
      <c r="R198" s="63" t="s">
        <v>2086</v>
      </c>
      <c r="S198" s="63" t="s">
        <v>4873</v>
      </c>
      <c r="T198" s="7">
        <v>8.6</v>
      </c>
      <c r="U198" s="5">
        <v>12500</v>
      </c>
      <c r="V198" s="7">
        <f t="shared" si="24"/>
        <v>6.88E-2</v>
      </c>
      <c r="W198" s="5">
        <v>0.5</v>
      </c>
      <c r="X198" s="5" t="s">
        <v>958</v>
      </c>
      <c r="Y198" s="48" t="str">
        <f t="shared" si="25"/>
        <v>APROVADO</v>
      </c>
      <c r="Z198" s="7" t="s">
        <v>46</v>
      </c>
      <c r="AA198" s="5">
        <v>11599499</v>
      </c>
      <c r="AB198" s="5" t="s">
        <v>2788</v>
      </c>
      <c r="AC198" s="5" t="s">
        <v>48</v>
      </c>
      <c r="AD198" s="5" t="s">
        <v>5530</v>
      </c>
      <c r="AE198" s="5" t="str">
        <f t="shared" ca="1" si="30"/>
        <v>NO PRAZO</v>
      </c>
      <c r="AF198" s="49"/>
    </row>
    <row r="199" spans="1:32" ht="30" customHeight="1" x14ac:dyDescent="0.25">
      <c r="A199" s="9" t="s">
        <v>982</v>
      </c>
      <c r="B199" s="5" t="s">
        <v>10</v>
      </c>
      <c r="C199" s="5" t="s">
        <v>5863</v>
      </c>
      <c r="D199" s="5" t="s">
        <v>394</v>
      </c>
      <c r="E199" s="7" t="s">
        <v>40</v>
      </c>
      <c r="F199" s="7" t="s">
        <v>354</v>
      </c>
      <c r="G199" s="61">
        <v>4900</v>
      </c>
      <c r="H199" s="61" t="s">
        <v>960</v>
      </c>
      <c r="I199" s="61" t="s">
        <v>957</v>
      </c>
      <c r="J199" s="61" t="s">
        <v>957</v>
      </c>
      <c r="K199" s="5" t="s">
        <v>10</v>
      </c>
      <c r="L199" s="5" t="s">
        <v>45</v>
      </c>
      <c r="M199" s="5" t="s">
        <v>10</v>
      </c>
      <c r="N199" s="5" t="s">
        <v>10</v>
      </c>
      <c r="O199" s="46" t="s">
        <v>46</v>
      </c>
      <c r="P199" s="99">
        <v>46071</v>
      </c>
      <c r="Q199" s="100">
        <f t="shared" si="23"/>
        <v>46436</v>
      </c>
      <c r="R199" s="63" t="s">
        <v>2087</v>
      </c>
      <c r="S199" s="63" t="s">
        <v>4874</v>
      </c>
      <c r="T199" s="7">
        <v>7.7</v>
      </c>
      <c r="U199" s="5">
        <v>12500</v>
      </c>
      <c r="V199" s="7">
        <f t="shared" si="24"/>
        <v>6.1600000000000002E-2</v>
      </c>
      <c r="W199" s="5">
        <v>0.5</v>
      </c>
      <c r="X199" s="5" t="s">
        <v>958</v>
      </c>
      <c r="Y199" s="48" t="str">
        <f t="shared" si="25"/>
        <v>APROVADO</v>
      </c>
      <c r="Z199" s="7" t="s">
        <v>46</v>
      </c>
      <c r="AA199" s="5">
        <v>11599500</v>
      </c>
      <c r="AB199" s="5" t="s">
        <v>2789</v>
      </c>
      <c r="AC199" s="5" t="s">
        <v>48</v>
      </c>
      <c r="AD199" s="5" t="s">
        <v>5530</v>
      </c>
      <c r="AE199" s="5" t="str">
        <f t="shared" ca="1" si="30"/>
        <v>NO PRAZO</v>
      </c>
      <c r="AF199" s="49"/>
    </row>
    <row r="200" spans="1:32" ht="30" customHeight="1" x14ac:dyDescent="0.25">
      <c r="A200" s="9" t="s">
        <v>983</v>
      </c>
      <c r="B200" s="5" t="s">
        <v>10</v>
      </c>
      <c r="C200" s="5" t="s">
        <v>5863</v>
      </c>
      <c r="D200" s="5" t="s">
        <v>394</v>
      </c>
      <c r="E200" s="7" t="s">
        <v>40</v>
      </c>
      <c r="F200" s="7" t="s">
        <v>354</v>
      </c>
      <c r="G200" s="61">
        <v>4900</v>
      </c>
      <c r="H200" s="61" t="s">
        <v>962</v>
      </c>
      <c r="I200" s="61" t="s">
        <v>957</v>
      </c>
      <c r="J200" s="61" t="s">
        <v>957</v>
      </c>
      <c r="K200" s="5" t="s">
        <v>10</v>
      </c>
      <c r="L200" s="5" t="s">
        <v>45</v>
      </c>
      <c r="M200" s="5" t="s">
        <v>10</v>
      </c>
      <c r="N200" s="5" t="s">
        <v>10</v>
      </c>
      <c r="O200" s="46" t="s">
        <v>46</v>
      </c>
      <c r="P200" s="99">
        <v>46071</v>
      </c>
      <c r="Q200" s="100">
        <f t="shared" si="23"/>
        <v>46436</v>
      </c>
      <c r="R200" s="63" t="s">
        <v>2088</v>
      </c>
      <c r="S200" s="63" t="s">
        <v>4875</v>
      </c>
      <c r="T200" s="7">
        <v>11.6</v>
      </c>
      <c r="U200" s="5">
        <v>12500</v>
      </c>
      <c r="V200" s="7">
        <f t="shared" si="24"/>
        <v>9.2799999999999994E-2</v>
      </c>
      <c r="W200" s="5">
        <v>0.5</v>
      </c>
      <c r="X200" s="5" t="s">
        <v>958</v>
      </c>
      <c r="Y200" s="48" t="str">
        <f t="shared" si="25"/>
        <v>APROVADO</v>
      </c>
      <c r="Z200" s="7" t="s">
        <v>46</v>
      </c>
      <c r="AA200" s="5">
        <v>11599501</v>
      </c>
      <c r="AB200" s="5" t="s">
        <v>2790</v>
      </c>
      <c r="AC200" s="5" t="s">
        <v>48</v>
      </c>
      <c r="AD200" s="5" t="s">
        <v>5530</v>
      </c>
      <c r="AE200" s="5" t="str">
        <f t="shared" ca="1" si="30"/>
        <v>NO PRAZO</v>
      </c>
      <c r="AF200" s="49"/>
    </row>
    <row r="201" spans="1:32" ht="30" customHeight="1" x14ac:dyDescent="0.25">
      <c r="A201" s="9" t="s">
        <v>984</v>
      </c>
      <c r="B201" s="5" t="s">
        <v>10</v>
      </c>
      <c r="C201" s="5" t="s">
        <v>5863</v>
      </c>
      <c r="D201" s="5" t="s">
        <v>394</v>
      </c>
      <c r="E201" s="7" t="s">
        <v>40</v>
      </c>
      <c r="F201" s="7" t="s">
        <v>354</v>
      </c>
      <c r="G201" s="61">
        <v>4900</v>
      </c>
      <c r="H201" s="61" t="s">
        <v>964</v>
      </c>
      <c r="I201" s="61" t="s">
        <v>985</v>
      </c>
      <c r="J201" s="61" t="s">
        <v>985</v>
      </c>
      <c r="K201" s="5" t="s">
        <v>10</v>
      </c>
      <c r="L201" s="5" t="s">
        <v>45</v>
      </c>
      <c r="M201" s="5" t="s">
        <v>10</v>
      </c>
      <c r="N201" s="5" t="s">
        <v>10</v>
      </c>
      <c r="O201" s="46" t="s">
        <v>46</v>
      </c>
      <c r="P201" s="99">
        <v>46071</v>
      </c>
      <c r="Q201" s="100">
        <f t="shared" si="23"/>
        <v>46436</v>
      </c>
      <c r="R201" s="63" t="s">
        <v>2089</v>
      </c>
      <c r="S201" s="63" t="s">
        <v>4876</v>
      </c>
      <c r="T201" s="7">
        <v>10.25</v>
      </c>
      <c r="U201" s="5">
        <v>5000</v>
      </c>
      <c r="V201" s="7">
        <f t="shared" si="24"/>
        <v>0.20499999999999999</v>
      </c>
      <c r="W201" s="5">
        <v>0.5</v>
      </c>
      <c r="X201" s="5" t="s">
        <v>958</v>
      </c>
      <c r="Y201" s="48" t="str">
        <f t="shared" si="25"/>
        <v>APROVADO</v>
      </c>
      <c r="Z201" s="7" t="s">
        <v>46</v>
      </c>
      <c r="AA201" s="5">
        <v>11599502</v>
      </c>
      <c r="AB201" s="5" t="s">
        <v>2791</v>
      </c>
      <c r="AC201" s="5" t="s">
        <v>48</v>
      </c>
      <c r="AD201" s="5" t="s">
        <v>5530</v>
      </c>
      <c r="AE201" s="5" t="str">
        <f t="shared" ca="1" si="30"/>
        <v>NO PRAZO</v>
      </c>
      <c r="AF201" s="49"/>
    </row>
    <row r="202" spans="1:32" ht="30" customHeight="1" x14ac:dyDescent="0.25">
      <c r="A202" s="9" t="s">
        <v>986</v>
      </c>
      <c r="B202" s="5" t="s">
        <v>10</v>
      </c>
      <c r="C202" s="5" t="s">
        <v>5863</v>
      </c>
      <c r="D202" s="5" t="s">
        <v>394</v>
      </c>
      <c r="E202" s="7" t="s">
        <v>40</v>
      </c>
      <c r="F202" s="7" t="s">
        <v>354</v>
      </c>
      <c r="G202" s="61">
        <v>4900</v>
      </c>
      <c r="H202" s="61" t="s">
        <v>967</v>
      </c>
      <c r="I202" s="61" t="s">
        <v>957</v>
      </c>
      <c r="J202" s="61" t="s">
        <v>957</v>
      </c>
      <c r="K202" s="5" t="s">
        <v>10</v>
      </c>
      <c r="L202" s="5" t="s">
        <v>45</v>
      </c>
      <c r="M202" s="5" t="s">
        <v>10</v>
      </c>
      <c r="N202" s="5" t="s">
        <v>10</v>
      </c>
      <c r="O202" s="46" t="s">
        <v>46</v>
      </c>
      <c r="P202" s="99">
        <v>46071</v>
      </c>
      <c r="Q202" s="100">
        <f t="shared" si="23"/>
        <v>46436</v>
      </c>
      <c r="R202" s="63" t="s">
        <v>2080</v>
      </c>
      <c r="S202" s="63" t="s">
        <v>4877</v>
      </c>
      <c r="T202" s="7">
        <v>14.7</v>
      </c>
      <c r="U202" s="5">
        <v>12500</v>
      </c>
      <c r="V202" s="7">
        <f t="shared" si="24"/>
        <v>0.1176</v>
      </c>
      <c r="W202" s="5">
        <v>0.5</v>
      </c>
      <c r="X202" s="5" t="s">
        <v>958</v>
      </c>
      <c r="Y202" s="48" t="str">
        <f t="shared" si="25"/>
        <v>APROVADO</v>
      </c>
      <c r="Z202" s="7" t="s">
        <v>46</v>
      </c>
      <c r="AA202" s="5">
        <v>11599503</v>
      </c>
      <c r="AB202" s="5" t="s">
        <v>2793</v>
      </c>
      <c r="AC202" s="5" t="s">
        <v>48</v>
      </c>
      <c r="AD202" s="5" t="s">
        <v>5530</v>
      </c>
      <c r="AE202" s="5" t="str">
        <f t="shared" ca="1" si="30"/>
        <v>NO PRAZO</v>
      </c>
      <c r="AF202" s="49"/>
    </row>
    <row r="203" spans="1:32" ht="30" customHeight="1" x14ac:dyDescent="0.25">
      <c r="A203" s="9" t="s">
        <v>987</v>
      </c>
      <c r="B203" s="5" t="s">
        <v>10</v>
      </c>
      <c r="C203" s="5" t="s">
        <v>5863</v>
      </c>
      <c r="D203" s="5" t="s">
        <v>394</v>
      </c>
      <c r="E203" s="7" t="s">
        <v>40</v>
      </c>
      <c r="F203" s="7" t="s">
        <v>354</v>
      </c>
      <c r="G203" s="61">
        <v>4900</v>
      </c>
      <c r="H203" s="61" t="s">
        <v>978</v>
      </c>
      <c r="I203" s="61" t="s">
        <v>2210</v>
      </c>
      <c r="J203" s="61" t="s">
        <v>2210</v>
      </c>
      <c r="K203" s="5" t="s">
        <v>10</v>
      </c>
      <c r="L203" s="5" t="s">
        <v>45</v>
      </c>
      <c r="M203" s="5" t="s">
        <v>10</v>
      </c>
      <c r="N203" s="5" t="s">
        <v>10</v>
      </c>
      <c r="O203" s="46" t="s">
        <v>46</v>
      </c>
      <c r="P203" s="99">
        <v>46071</v>
      </c>
      <c r="Q203" s="100">
        <f t="shared" si="23"/>
        <v>46436</v>
      </c>
      <c r="R203" s="63" t="s">
        <v>2090</v>
      </c>
      <c r="S203" s="63" t="s">
        <v>4878</v>
      </c>
      <c r="T203" s="7">
        <v>8.5500000000000007</v>
      </c>
      <c r="U203" s="15">
        <v>4200</v>
      </c>
      <c r="V203" s="7">
        <f t="shared" si="24"/>
        <v>0.2035714285714286</v>
      </c>
      <c r="W203" s="5">
        <v>0.5</v>
      </c>
      <c r="X203" s="5" t="s">
        <v>958</v>
      </c>
      <c r="Y203" s="48" t="str">
        <f t="shared" si="25"/>
        <v>APROVADO</v>
      </c>
      <c r="Z203" s="7" t="s">
        <v>46</v>
      </c>
      <c r="AA203" s="5">
        <v>11599504</v>
      </c>
      <c r="AB203" s="5" t="s">
        <v>2792</v>
      </c>
      <c r="AC203" s="5" t="s">
        <v>48</v>
      </c>
      <c r="AD203" s="5" t="s">
        <v>5530</v>
      </c>
      <c r="AE203" s="5" t="str">
        <f t="shared" ca="1" si="30"/>
        <v>NO PRAZO</v>
      </c>
      <c r="AF203" s="49"/>
    </row>
    <row r="204" spans="1:32" ht="30" customHeight="1" x14ac:dyDescent="0.25">
      <c r="A204" s="5" t="s">
        <v>5538</v>
      </c>
      <c r="B204" s="5" t="s">
        <v>10</v>
      </c>
      <c r="C204" s="5" t="s">
        <v>5862</v>
      </c>
      <c r="D204" s="7" t="s">
        <v>64</v>
      </c>
      <c r="E204" s="7" t="s">
        <v>68</v>
      </c>
      <c r="F204" s="7" t="s">
        <v>69</v>
      </c>
      <c r="G204" s="7" t="s">
        <v>80</v>
      </c>
      <c r="H204" s="7" t="s">
        <v>43</v>
      </c>
      <c r="I204" s="154" t="s">
        <v>5697</v>
      </c>
      <c r="J204" s="154" t="s">
        <v>5698</v>
      </c>
      <c r="K204" s="5" t="s">
        <v>45</v>
      </c>
      <c r="L204" s="5" t="s">
        <v>10</v>
      </c>
      <c r="M204" s="5" t="s">
        <v>10</v>
      </c>
      <c r="N204" s="5" t="s">
        <v>10</v>
      </c>
      <c r="O204" s="80" t="s">
        <v>46</v>
      </c>
      <c r="P204" s="101">
        <v>46162</v>
      </c>
      <c r="Q204" s="100">
        <f t="shared" si="23"/>
        <v>46527</v>
      </c>
      <c r="R204" s="5" t="s">
        <v>10</v>
      </c>
      <c r="S204" s="5" t="s">
        <v>5541</v>
      </c>
      <c r="T204" s="7">
        <v>10.6</v>
      </c>
      <c r="U204" s="7">
        <v>9750</v>
      </c>
      <c r="V204" s="7">
        <f t="shared" si="24"/>
        <v>0.10871794871794872</v>
      </c>
      <c r="W204" s="5">
        <v>0.5</v>
      </c>
      <c r="X204" s="5" t="s">
        <v>674</v>
      </c>
      <c r="Y204" s="48" t="str">
        <f t="shared" si="25"/>
        <v>APROVADO</v>
      </c>
      <c r="Z204" s="7" t="s">
        <v>56</v>
      </c>
      <c r="AA204" s="5">
        <v>11602478</v>
      </c>
      <c r="AB204" s="5" t="s">
        <v>3008</v>
      </c>
      <c r="AC204" s="5" t="s">
        <v>48</v>
      </c>
      <c r="AD204" s="5" t="s">
        <v>5530</v>
      </c>
      <c r="AE204" s="5" t="str">
        <f t="shared" ca="1" si="30"/>
        <v>NO PRAZO</v>
      </c>
      <c r="AF204" s="49"/>
    </row>
    <row r="205" spans="1:32" ht="30" customHeight="1" x14ac:dyDescent="0.25">
      <c r="A205" s="5" t="s">
        <v>84</v>
      </c>
      <c r="B205" s="5" t="s">
        <v>10</v>
      </c>
      <c r="C205" s="5" t="s">
        <v>5862</v>
      </c>
      <c r="D205" s="7" t="s">
        <v>64</v>
      </c>
      <c r="E205" s="7" t="s">
        <v>68</v>
      </c>
      <c r="F205" s="7" t="s">
        <v>69</v>
      </c>
      <c r="G205" s="7" t="s">
        <v>80</v>
      </c>
      <c r="H205" s="7" t="s">
        <v>43</v>
      </c>
      <c r="I205" s="7" t="s">
        <v>81</v>
      </c>
      <c r="J205" s="7" t="s">
        <v>82</v>
      </c>
      <c r="K205" s="5" t="s">
        <v>45</v>
      </c>
      <c r="L205" s="5" t="s">
        <v>10</v>
      </c>
      <c r="M205" s="5" t="s">
        <v>10</v>
      </c>
      <c r="N205" s="5" t="s">
        <v>10</v>
      </c>
      <c r="O205" s="80" t="s">
        <v>46</v>
      </c>
      <c r="P205" s="101">
        <v>46163</v>
      </c>
      <c r="Q205" s="100">
        <f t="shared" si="23"/>
        <v>46528</v>
      </c>
      <c r="R205" s="5" t="s">
        <v>3063</v>
      </c>
      <c r="S205" s="5" t="s">
        <v>5542</v>
      </c>
      <c r="T205" s="7">
        <v>0.26</v>
      </c>
      <c r="U205" s="7">
        <v>195</v>
      </c>
      <c r="V205" s="7">
        <f t="shared" si="24"/>
        <v>0.13333333333333333</v>
      </c>
      <c r="W205" s="5">
        <v>0.5</v>
      </c>
      <c r="X205" s="5" t="s">
        <v>83</v>
      </c>
      <c r="Y205" s="48" t="str">
        <f t="shared" si="25"/>
        <v>APROVADO</v>
      </c>
      <c r="Z205" s="7" t="s">
        <v>56</v>
      </c>
      <c r="AA205" s="5">
        <v>11602478</v>
      </c>
      <c r="AB205" s="5" t="s">
        <v>3008</v>
      </c>
      <c r="AC205" s="5" t="s">
        <v>48</v>
      </c>
      <c r="AD205" s="5" t="s">
        <v>5530</v>
      </c>
      <c r="AE205" s="5" t="str">
        <f t="shared" ca="1" si="30"/>
        <v>NO PRAZO</v>
      </c>
      <c r="AF205" s="49"/>
    </row>
    <row r="206" spans="1:32" ht="30" customHeight="1" x14ac:dyDescent="0.25">
      <c r="A206" s="9" t="s">
        <v>971</v>
      </c>
      <c r="B206" s="5" t="s">
        <v>10</v>
      </c>
      <c r="C206" s="5" t="s">
        <v>5863</v>
      </c>
      <c r="D206" s="5" t="s">
        <v>5852</v>
      </c>
      <c r="E206" s="7" t="s">
        <v>40</v>
      </c>
      <c r="F206" s="7" t="s">
        <v>354</v>
      </c>
      <c r="G206" s="61">
        <v>4800</v>
      </c>
      <c r="H206" s="61" t="s">
        <v>956</v>
      </c>
      <c r="I206" s="61" t="s">
        <v>969</v>
      </c>
      <c r="J206" s="61" t="s">
        <v>972</v>
      </c>
      <c r="K206" s="5" t="s">
        <v>10</v>
      </c>
      <c r="L206" s="5" t="s">
        <v>45</v>
      </c>
      <c r="M206" s="5" t="s">
        <v>10</v>
      </c>
      <c r="N206" s="5" t="s">
        <v>10</v>
      </c>
      <c r="O206" s="46" t="s">
        <v>46</v>
      </c>
      <c r="P206" s="99">
        <v>46071</v>
      </c>
      <c r="Q206" s="100">
        <f t="shared" ref="Q206:Q269" si="31">IF(P206="","",P206+365)</f>
        <v>46436</v>
      </c>
      <c r="R206" s="63" t="s">
        <v>3115</v>
      </c>
      <c r="S206" s="63" t="s">
        <v>4879</v>
      </c>
      <c r="T206" s="7">
        <v>2.83</v>
      </c>
      <c r="U206" s="5">
        <v>1000</v>
      </c>
      <c r="V206" s="7">
        <f t="shared" ref="V206:V269" si="32">IFERROR(IF(U206&gt;0,T206*100/U206,T206),T206)</f>
        <v>0.28299999999999997</v>
      </c>
      <c r="W206" s="5">
        <v>0.5</v>
      </c>
      <c r="X206" s="5" t="s">
        <v>674</v>
      </c>
      <c r="Y206" s="48" t="str">
        <f t="shared" ref="Y206:Y269" si="33">IFERROR(IF(W206="-",$AL$6,CHOOSE(IF(T206="",1,2),$AL$7,IF(V206&gt;W206,$AL$5,$AL$4))),"-")</f>
        <v>APROVADO</v>
      </c>
      <c r="Z206" s="7" t="s">
        <v>56</v>
      </c>
      <c r="AA206" s="5">
        <v>11605473</v>
      </c>
      <c r="AB206" s="5" t="s">
        <v>3292</v>
      </c>
      <c r="AC206" s="5" t="s">
        <v>48</v>
      </c>
      <c r="AD206" s="5" t="s">
        <v>5530</v>
      </c>
      <c r="AE206" s="5" t="str">
        <f t="shared" ca="1" si="30"/>
        <v>NO PRAZO</v>
      </c>
      <c r="AF206" s="49"/>
    </row>
    <row r="207" spans="1:32" ht="30" customHeight="1" x14ac:dyDescent="0.25">
      <c r="A207" s="9" t="s">
        <v>973</v>
      </c>
      <c r="B207" s="5" t="s">
        <v>10</v>
      </c>
      <c r="C207" s="5" t="s">
        <v>5863</v>
      </c>
      <c r="D207" s="5" t="s">
        <v>5852</v>
      </c>
      <c r="E207" s="7" t="s">
        <v>40</v>
      </c>
      <c r="F207" s="7" t="s">
        <v>354</v>
      </c>
      <c r="G207" s="61">
        <v>4800</v>
      </c>
      <c r="H207" s="61" t="s">
        <v>960</v>
      </c>
      <c r="I207" s="61" t="s">
        <v>969</v>
      </c>
      <c r="J207" s="61" t="s">
        <v>970</v>
      </c>
      <c r="K207" s="5" t="s">
        <v>10</v>
      </c>
      <c r="L207" s="5" t="s">
        <v>45</v>
      </c>
      <c r="M207" s="5" t="s">
        <v>10</v>
      </c>
      <c r="N207" s="5" t="s">
        <v>10</v>
      </c>
      <c r="O207" s="46" t="s">
        <v>46</v>
      </c>
      <c r="P207" s="99">
        <v>46071</v>
      </c>
      <c r="Q207" s="100">
        <f t="shared" si="31"/>
        <v>46436</v>
      </c>
      <c r="R207" s="63" t="s">
        <v>3116</v>
      </c>
      <c r="S207" s="63" t="s">
        <v>4880</v>
      </c>
      <c r="T207" s="7">
        <v>0.96</v>
      </c>
      <c r="U207" s="5">
        <v>300</v>
      </c>
      <c r="V207" s="7">
        <f t="shared" si="32"/>
        <v>0.32</v>
      </c>
      <c r="W207" s="5">
        <v>0.5</v>
      </c>
      <c r="X207" s="5" t="s">
        <v>674</v>
      </c>
      <c r="Y207" s="48" t="str">
        <f t="shared" si="33"/>
        <v>APROVADO</v>
      </c>
      <c r="Z207" s="7" t="s">
        <v>56</v>
      </c>
      <c r="AA207" s="5">
        <v>11605475</v>
      </c>
      <c r="AB207" s="5" t="s">
        <v>3293</v>
      </c>
      <c r="AC207" s="5" t="s">
        <v>48</v>
      </c>
      <c r="AD207" s="5" t="s">
        <v>5530</v>
      </c>
      <c r="AE207" s="5" t="str">
        <f t="shared" ca="1" si="30"/>
        <v>NO PRAZO</v>
      </c>
      <c r="AF207" s="49"/>
    </row>
    <row r="208" spans="1:32" ht="30" customHeight="1" x14ac:dyDescent="0.25">
      <c r="A208" s="9" t="s">
        <v>975</v>
      </c>
      <c r="B208" s="5" t="s">
        <v>10</v>
      </c>
      <c r="C208" s="5" t="s">
        <v>5863</v>
      </c>
      <c r="D208" s="5" t="s">
        <v>5852</v>
      </c>
      <c r="E208" s="7" t="s">
        <v>40</v>
      </c>
      <c r="F208" s="7" t="s">
        <v>354</v>
      </c>
      <c r="G208" s="61">
        <v>4800</v>
      </c>
      <c r="H208" s="61" t="s">
        <v>962</v>
      </c>
      <c r="I208" s="61" t="s">
        <v>969</v>
      </c>
      <c r="J208" s="61" t="s">
        <v>976</v>
      </c>
      <c r="K208" s="5" t="s">
        <v>10</v>
      </c>
      <c r="L208" s="5" t="s">
        <v>45</v>
      </c>
      <c r="M208" s="5" t="s">
        <v>10</v>
      </c>
      <c r="N208" s="5" t="s">
        <v>10</v>
      </c>
      <c r="O208" s="46" t="s">
        <v>46</v>
      </c>
      <c r="P208" s="99">
        <v>46071</v>
      </c>
      <c r="Q208" s="100">
        <f t="shared" si="31"/>
        <v>46436</v>
      </c>
      <c r="R208" s="63" t="s">
        <v>3118</v>
      </c>
      <c r="S208" s="63" t="s">
        <v>4881</v>
      </c>
      <c r="T208" s="7">
        <v>3.74</v>
      </c>
      <c r="U208" s="5">
        <v>1500</v>
      </c>
      <c r="V208" s="7">
        <f t="shared" si="32"/>
        <v>0.24933333333333332</v>
      </c>
      <c r="W208" s="5">
        <v>0.5</v>
      </c>
      <c r="X208" s="5" t="s">
        <v>674</v>
      </c>
      <c r="Y208" s="48" t="str">
        <f t="shared" si="33"/>
        <v>APROVADO</v>
      </c>
      <c r="Z208" s="7" t="s">
        <v>56</v>
      </c>
      <c r="AA208" s="5">
        <v>11605476</v>
      </c>
      <c r="AB208" s="5" t="s">
        <v>3295</v>
      </c>
      <c r="AC208" s="5" t="s">
        <v>48</v>
      </c>
      <c r="AD208" s="5" t="s">
        <v>5530</v>
      </c>
      <c r="AE208" s="5" t="str">
        <f t="shared" ca="1" si="30"/>
        <v>NO PRAZO</v>
      </c>
      <c r="AF208" s="49"/>
    </row>
    <row r="209" spans="1:32" ht="30" customHeight="1" x14ac:dyDescent="0.25">
      <c r="A209" s="9" t="s">
        <v>974</v>
      </c>
      <c r="B209" s="5" t="s">
        <v>10</v>
      </c>
      <c r="C209" s="5" t="s">
        <v>5863</v>
      </c>
      <c r="D209" s="5" t="s">
        <v>5852</v>
      </c>
      <c r="E209" s="7" t="s">
        <v>40</v>
      </c>
      <c r="F209" s="7" t="s">
        <v>354</v>
      </c>
      <c r="G209" s="61">
        <v>4800</v>
      </c>
      <c r="H209" s="61" t="s">
        <v>964</v>
      </c>
      <c r="I209" s="61" t="s">
        <v>969</v>
      </c>
      <c r="J209" s="61" t="s">
        <v>970</v>
      </c>
      <c r="K209" s="5" t="s">
        <v>10</v>
      </c>
      <c r="L209" s="5" t="s">
        <v>45</v>
      </c>
      <c r="M209" s="5" t="s">
        <v>10</v>
      </c>
      <c r="N209" s="5" t="s">
        <v>10</v>
      </c>
      <c r="O209" s="46" t="s">
        <v>46</v>
      </c>
      <c r="P209" s="99">
        <v>46071</v>
      </c>
      <c r="Q209" s="100">
        <f t="shared" si="31"/>
        <v>46436</v>
      </c>
      <c r="R209" s="63" t="s">
        <v>3117</v>
      </c>
      <c r="S209" s="63" t="s">
        <v>4882</v>
      </c>
      <c r="T209" s="7">
        <v>0.82</v>
      </c>
      <c r="U209" s="5">
        <v>300</v>
      </c>
      <c r="V209" s="7">
        <f t="shared" si="32"/>
        <v>0.27333333333333332</v>
      </c>
      <c r="W209" s="5">
        <v>0.5</v>
      </c>
      <c r="X209" s="5" t="s">
        <v>674</v>
      </c>
      <c r="Y209" s="48" t="str">
        <f t="shared" si="33"/>
        <v>APROVADO</v>
      </c>
      <c r="Z209" s="7" t="s">
        <v>56</v>
      </c>
      <c r="AA209" s="5">
        <v>11605477</v>
      </c>
      <c r="AB209" s="5" t="s">
        <v>3294</v>
      </c>
      <c r="AC209" s="5" t="s">
        <v>48</v>
      </c>
      <c r="AD209" s="5" t="s">
        <v>5530</v>
      </c>
      <c r="AE209" s="5" t="str">
        <f t="shared" ca="1" si="30"/>
        <v>NO PRAZO</v>
      </c>
      <c r="AF209" s="49"/>
    </row>
    <row r="210" spans="1:32" ht="30" customHeight="1" x14ac:dyDescent="0.25">
      <c r="A210" s="9" t="s">
        <v>968</v>
      </c>
      <c r="B210" s="5" t="s">
        <v>10</v>
      </c>
      <c r="C210" s="5" t="s">
        <v>5863</v>
      </c>
      <c r="D210" s="5" t="s">
        <v>5852</v>
      </c>
      <c r="E210" s="7" t="s">
        <v>40</v>
      </c>
      <c r="F210" s="7" t="s">
        <v>354</v>
      </c>
      <c r="G210" s="61">
        <v>4800</v>
      </c>
      <c r="H210" s="61" t="s">
        <v>967</v>
      </c>
      <c r="I210" s="61" t="s">
        <v>969</v>
      </c>
      <c r="J210" s="61" t="s">
        <v>970</v>
      </c>
      <c r="K210" s="5" t="s">
        <v>10</v>
      </c>
      <c r="L210" s="5" t="s">
        <v>45</v>
      </c>
      <c r="M210" s="5" t="s">
        <v>10</v>
      </c>
      <c r="N210" s="5" t="s">
        <v>10</v>
      </c>
      <c r="O210" s="46" t="s">
        <v>46</v>
      </c>
      <c r="P210" s="99">
        <v>46071</v>
      </c>
      <c r="Q210" s="100">
        <f t="shared" si="31"/>
        <v>46436</v>
      </c>
      <c r="R210" s="63" t="s">
        <v>3114</v>
      </c>
      <c r="S210" s="63" t="s">
        <v>4883</v>
      </c>
      <c r="T210" s="7">
        <v>0.5</v>
      </c>
      <c r="U210" s="5">
        <v>300</v>
      </c>
      <c r="V210" s="7">
        <f t="shared" si="32"/>
        <v>0.16666666666666666</v>
      </c>
      <c r="W210" s="5">
        <v>0.5</v>
      </c>
      <c r="X210" s="5" t="s">
        <v>674</v>
      </c>
      <c r="Y210" s="48" t="str">
        <f t="shared" si="33"/>
        <v>APROVADO</v>
      </c>
      <c r="Z210" s="7" t="s">
        <v>56</v>
      </c>
      <c r="AA210" s="5">
        <v>11605478</v>
      </c>
      <c r="AB210" s="5" t="s">
        <v>3291</v>
      </c>
      <c r="AC210" s="5" t="s">
        <v>48</v>
      </c>
      <c r="AD210" s="5" t="s">
        <v>5530</v>
      </c>
      <c r="AE210" s="5" t="str">
        <f t="shared" ca="1" si="30"/>
        <v>NO PRAZO</v>
      </c>
      <c r="AF210" s="49"/>
    </row>
    <row r="211" spans="1:32" ht="30" customHeight="1" x14ac:dyDescent="0.25">
      <c r="A211" s="9" t="s">
        <v>977</v>
      </c>
      <c r="B211" s="5" t="s">
        <v>10</v>
      </c>
      <c r="C211" s="5" t="s">
        <v>5863</v>
      </c>
      <c r="D211" s="5" t="s">
        <v>5852</v>
      </c>
      <c r="E211" s="7" t="s">
        <v>40</v>
      </c>
      <c r="F211" s="7" t="s">
        <v>354</v>
      </c>
      <c r="G211" s="61">
        <v>4800</v>
      </c>
      <c r="H211" s="61" t="s">
        <v>978</v>
      </c>
      <c r="I211" s="61" t="s">
        <v>969</v>
      </c>
      <c r="J211" s="61" t="s">
        <v>979</v>
      </c>
      <c r="K211" s="5" t="s">
        <v>10</v>
      </c>
      <c r="L211" s="5" t="s">
        <v>45</v>
      </c>
      <c r="M211" s="5" t="s">
        <v>10</v>
      </c>
      <c r="N211" s="5" t="s">
        <v>10</v>
      </c>
      <c r="O211" s="46" t="s">
        <v>46</v>
      </c>
      <c r="P211" s="99">
        <v>46071</v>
      </c>
      <c r="Q211" s="100">
        <f t="shared" si="31"/>
        <v>46436</v>
      </c>
      <c r="R211" s="63" t="s">
        <v>3119</v>
      </c>
      <c r="S211" s="63" t="s">
        <v>4884</v>
      </c>
      <c r="T211" s="7">
        <v>2.15</v>
      </c>
      <c r="U211" s="5">
        <v>600</v>
      </c>
      <c r="V211" s="7">
        <f t="shared" si="32"/>
        <v>0.35833333333333334</v>
      </c>
      <c r="W211" s="5">
        <v>0.5</v>
      </c>
      <c r="X211" s="5" t="s">
        <v>674</v>
      </c>
      <c r="Y211" s="48" t="str">
        <f t="shared" si="33"/>
        <v>APROVADO</v>
      </c>
      <c r="Z211" s="7" t="s">
        <v>56</v>
      </c>
      <c r="AA211" s="5">
        <v>11605479</v>
      </c>
      <c r="AB211" s="5" t="s">
        <v>3296</v>
      </c>
      <c r="AC211" s="5" t="s">
        <v>48</v>
      </c>
      <c r="AD211" s="5" t="s">
        <v>5530</v>
      </c>
      <c r="AE211" s="5" t="str">
        <f t="shared" ca="1" si="30"/>
        <v>NO PRAZO</v>
      </c>
      <c r="AF211" s="49"/>
    </row>
    <row r="212" spans="1:32" ht="30" customHeight="1" x14ac:dyDescent="0.25">
      <c r="A212" s="9" t="s">
        <v>988</v>
      </c>
      <c r="B212" s="5" t="s">
        <v>10</v>
      </c>
      <c r="C212" s="5" t="s">
        <v>5863</v>
      </c>
      <c r="D212" s="5" t="s">
        <v>5852</v>
      </c>
      <c r="E212" s="7" t="s">
        <v>40</v>
      </c>
      <c r="F212" s="7" t="s">
        <v>354</v>
      </c>
      <c r="G212" s="61">
        <v>4900</v>
      </c>
      <c r="H212" s="61" t="s">
        <v>956</v>
      </c>
      <c r="I212" s="61" t="s">
        <v>989</v>
      </c>
      <c r="J212" s="61" t="s">
        <v>990</v>
      </c>
      <c r="K212" s="5" t="s">
        <v>10</v>
      </c>
      <c r="L212" s="5" t="s">
        <v>45</v>
      </c>
      <c r="M212" s="5" t="s">
        <v>10</v>
      </c>
      <c r="N212" s="5" t="s">
        <v>10</v>
      </c>
      <c r="O212" s="46" t="s">
        <v>46</v>
      </c>
      <c r="P212" s="99">
        <v>46071</v>
      </c>
      <c r="Q212" s="100">
        <f t="shared" si="31"/>
        <v>46436</v>
      </c>
      <c r="R212" s="63" t="s">
        <v>2091</v>
      </c>
      <c r="S212" s="63" t="s">
        <v>4885</v>
      </c>
      <c r="T212" s="7">
        <v>2.93</v>
      </c>
      <c r="U212" s="5">
        <v>1000</v>
      </c>
      <c r="V212" s="7">
        <f t="shared" si="32"/>
        <v>0.29299999999999998</v>
      </c>
      <c r="W212" s="5">
        <v>0.5</v>
      </c>
      <c r="X212" s="5" t="s">
        <v>674</v>
      </c>
      <c r="Y212" s="48" t="str">
        <f t="shared" si="33"/>
        <v>APROVADO</v>
      </c>
      <c r="Z212" s="7" t="s">
        <v>56</v>
      </c>
      <c r="AA212" s="5">
        <v>11593807</v>
      </c>
      <c r="AB212" s="5" t="s">
        <v>2794</v>
      </c>
      <c r="AC212" s="5" t="s">
        <v>48</v>
      </c>
      <c r="AD212" s="5" t="s">
        <v>5530</v>
      </c>
      <c r="AE212" s="5" t="str">
        <f t="shared" ca="1" si="30"/>
        <v>NO PRAZO</v>
      </c>
      <c r="AF212" s="49"/>
    </row>
    <row r="213" spans="1:32" ht="30" customHeight="1" x14ac:dyDescent="0.25">
      <c r="A213" s="9" t="s">
        <v>991</v>
      </c>
      <c r="B213" s="5" t="s">
        <v>10</v>
      </c>
      <c r="C213" s="5" t="s">
        <v>5863</v>
      </c>
      <c r="D213" s="5" t="s">
        <v>5852</v>
      </c>
      <c r="E213" s="7" t="s">
        <v>40</v>
      </c>
      <c r="F213" s="7" t="s">
        <v>354</v>
      </c>
      <c r="G213" s="61">
        <v>4900</v>
      </c>
      <c r="H213" s="61" t="s">
        <v>960</v>
      </c>
      <c r="I213" s="61" t="s">
        <v>989</v>
      </c>
      <c r="J213" s="62" t="s">
        <v>992</v>
      </c>
      <c r="K213" s="5" t="s">
        <v>10</v>
      </c>
      <c r="L213" s="5" t="s">
        <v>45</v>
      </c>
      <c r="M213" s="5" t="s">
        <v>10</v>
      </c>
      <c r="N213" s="5" t="s">
        <v>10</v>
      </c>
      <c r="O213" s="46" t="s">
        <v>46</v>
      </c>
      <c r="P213" s="99">
        <v>46071</v>
      </c>
      <c r="Q213" s="100">
        <f t="shared" si="31"/>
        <v>46436</v>
      </c>
      <c r="R213" s="63" t="s">
        <v>2092</v>
      </c>
      <c r="S213" s="63" t="s">
        <v>4886</v>
      </c>
      <c r="T213" s="7">
        <v>1.02</v>
      </c>
      <c r="U213" s="5">
        <v>300</v>
      </c>
      <c r="V213" s="7">
        <f t="shared" si="32"/>
        <v>0.34</v>
      </c>
      <c r="W213" s="5">
        <v>0.5</v>
      </c>
      <c r="X213" s="5" t="s">
        <v>674</v>
      </c>
      <c r="Y213" s="48" t="str">
        <f t="shared" si="33"/>
        <v>APROVADO</v>
      </c>
      <c r="Z213" s="7" t="s">
        <v>56</v>
      </c>
      <c r="AA213" s="5">
        <v>11593808</v>
      </c>
      <c r="AB213" s="5" t="s">
        <v>2795</v>
      </c>
      <c r="AC213" s="5" t="s">
        <v>48</v>
      </c>
      <c r="AD213" s="5" t="s">
        <v>5530</v>
      </c>
      <c r="AE213" s="5" t="str">
        <f t="shared" ca="1" si="30"/>
        <v>NO PRAZO</v>
      </c>
      <c r="AF213" s="49"/>
    </row>
    <row r="214" spans="1:32" ht="30" customHeight="1" x14ac:dyDescent="0.25">
      <c r="A214" s="9" t="s">
        <v>993</v>
      </c>
      <c r="B214" s="5" t="s">
        <v>10</v>
      </c>
      <c r="C214" s="5" t="s">
        <v>5863</v>
      </c>
      <c r="D214" s="5" t="s">
        <v>5852</v>
      </c>
      <c r="E214" s="7" t="s">
        <v>40</v>
      </c>
      <c r="F214" s="7" t="s">
        <v>354</v>
      </c>
      <c r="G214" s="61">
        <v>4900</v>
      </c>
      <c r="H214" s="61" t="s">
        <v>962</v>
      </c>
      <c r="I214" s="61" t="s">
        <v>989</v>
      </c>
      <c r="J214" s="62" t="s">
        <v>994</v>
      </c>
      <c r="K214" s="5" t="s">
        <v>10</v>
      </c>
      <c r="L214" s="5" t="s">
        <v>45</v>
      </c>
      <c r="M214" s="5" t="s">
        <v>10</v>
      </c>
      <c r="N214" s="5" t="s">
        <v>10</v>
      </c>
      <c r="O214" s="46" t="s">
        <v>46</v>
      </c>
      <c r="P214" s="99">
        <v>46071</v>
      </c>
      <c r="Q214" s="100">
        <f t="shared" si="31"/>
        <v>46436</v>
      </c>
      <c r="R214" s="63" t="s">
        <v>2093</v>
      </c>
      <c r="S214" s="63" t="s">
        <v>4887</v>
      </c>
      <c r="T214" s="7">
        <v>3.83</v>
      </c>
      <c r="U214" s="5">
        <v>1500</v>
      </c>
      <c r="V214" s="7">
        <f t="shared" si="32"/>
        <v>0.25533333333333336</v>
      </c>
      <c r="W214" s="5">
        <v>0.5</v>
      </c>
      <c r="X214" s="5" t="s">
        <v>674</v>
      </c>
      <c r="Y214" s="48" t="str">
        <f t="shared" si="33"/>
        <v>APROVADO</v>
      </c>
      <c r="Z214" s="7" t="s">
        <v>56</v>
      </c>
      <c r="AA214" s="5">
        <v>11593809</v>
      </c>
      <c r="AB214" s="5" t="s">
        <v>2796</v>
      </c>
      <c r="AC214" s="5" t="s">
        <v>48</v>
      </c>
      <c r="AD214" s="5" t="s">
        <v>5530</v>
      </c>
      <c r="AE214" s="5" t="str">
        <f t="shared" ca="1" si="30"/>
        <v>NO PRAZO</v>
      </c>
      <c r="AF214" s="49"/>
    </row>
    <row r="215" spans="1:32" ht="30" customHeight="1" x14ac:dyDescent="0.25">
      <c r="A215" s="9" t="s">
        <v>995</v>
      </c>
      <c r="B215" s="5" t="s">
        <v>10</v>
      </c>
      <c r="C215" s="5" t="s">
        <v>5863</v>
      </c>
      <c r="D215" s="5" t="s">
        <v>5852</v>
      </c>
      <c r="E215" s="7" t="s">
        <v>40</v>
      </c>
      <c r="F215" s="7" t="s">
        <v>354</v>
      </c>
      <c r="G215" s="61">
        <v>4900</v>
      </c>
      <c r="H215" s="61" t="s">
        <v>964</v>
      </c>
      <c r="I215" s="61" t="s">
        <v>989</v>
      </c>
      <c r="J215" s="62" t="s">
        <v>992</v>
      </c>
      <c r="K215" s="5" t="s">
        <v>10</v>
      </c>
      <c r="L215" s="5" t="s">
        <v>45</v>
      </c>
      <c r="M215" s="5" t="s">
        <v>10</v>
      </c>
      <c r="N215" s="5" t="s">
        <v>10</v>
      </c>
      <c r="O215" s="46" t="s">
        <v>46</v>
      </c>
      <c r="P215" s="99">
        <v>46071</v>
      </c>
      <c r="Q215" s="100">
        <f t="shared" si="31"/>
        <v>46436</v>
      </c>
      <c r="R215" s="63" t="s">
        <v>2094</v>
      </c>
      <c r="S215" s="63" t="s">
        <v>4891</v>
      </c>
      <c r="T215" s="7">
        <v>0.82</v>
      </c>
      <c r="U215" s="5">
        <v>200</v>
      </c>
      <c r="V215" s="7">
        <f t="shared" si="32"/>
        <v>0.41</v>
      </c>
      <c r="W215" s="5">
        <v>0.5</v>
      </c>
      <c r="X215" s="5" t="s">
        <v>674</v>
      </c>
      <c r="Y215" s="48" t="str">
        <f t="shared" si="33"/>
        <v>APROVADO</v>
      </c>
      <c r="Z215" s="7" t="s">
        <v>56</v>
      </c>
      <c r="AA215" s="5">
        <v>11593810</v>
      </c>
      <c r="AB215" s="5" t="s">
        <v>2797</v>
      </c>
      <c r="AC215" s="5" t="s">
        <v>48</v>
      </c>
      <c r="AD215" s="5" t="s">
        <v>5530</v>
      </c>
      <c r="AE215" s="5" t="str">
        <f t="shared" ca="1" si="30"/>
        <v>NO PRAZO</v>
      </c>
      <c r="AF215" s="49"/>
    </row>
    <row r="216" spans="1:32" ht="30" customHeight="1" x14ac:dyDescent="0.25">
      <c r="A216" s="9" t="s">
        <v>996</v>
      </c>
      <c r="B216" s="5" t="s">
        <v>10</v>
      </c>
      <c r="C216" s="5" t="s">
        <v>5863</v>
      </c>
      <c r="D216" s="5" t="s">
        <v>5852</v>
      </c>
      <c r="E216" s="7" t="s">
        <v>40</v>
      </c>
      <c r="F216" s="7" t="s">
        <v>354</v>
      </c>
      <c r="G216" s="61">
        <v>4900</v>
      </c>
      <c r="H216" s="61" t="s">
        <v>967</v>
      </c>
      <c r="I216" s="61" t="s">
        <v>989</v>
      </c>
      <c r="J216" s="62" t="s">
        <v>992</v>
      </c>
      <c r="K216" s="5" t="s">
        <v>10</v>
      </c>
      <c r="L216" s="5" t="s">
        <v>45</v>
      </c>
      <c r="M216" s="5" t="s">
        <v>10</v>
      </c>
      <c r="N216" s="5" t="s">
        <v>10</v>
      </c>
      <c r="O216" s="46" t="s">
        <v>46</v>
      </c>
      <c r="P216" s="102">
        <v>46071</v>
      </c>
      <c r="Q216" s="100">
        <f t="shared" si="31"/>
        <v>46436</v>
      </c>
      <c r="R216" s="63" t="s">
        <v>2095</v>
      </c>
      <c r="S216" s="63" t="s">
        <v>4889</v>
      </c>
      <c r="T216" s="7">
        <v>0.86</v>
      </c>
      <c r="U216" s="5">
        <v>300</v>
      </c>
      <c r="V216" s="7">
        <f t="shared" si="32"/>
        <v>0.28666666666666668</v>
      </c>
      <c r="W216" s="5">
        <v>0.5</v>
      </c>
      <c r="X216" s="5" t="s">
        <v>674</v>
      </c>
      <c r="Y216" s="48" t="str">
        <f t="shared" si="33"/>
        <v>APROVADO</v>
      </c>
      <c r="Z216" s="7" t="s">
        <v>56</v>
      </c>
      <c r="AA216" s="5">
        <v>11593811</v>
      </c>
      <c r="AB216" s="5" t="s">
        <v>2798</v>
      </c>
      <c r="AC216" s="5" t="s">
        <v>48</v>
      </c>
      <c r="AD216" s="5" t="s">
        <v>5530</v>
      </c>
      <c r="AE216" s="5" t="str">
        <f t="shared" ca="1" si="30"/>
        <v>NO PRAZO</v>
      </c>
      <c r="AF216" s="49"/>
    </row>
    <row r="217" spans="1:32" ht="30" customHeight="1" x14ac:dyDescent="0.25">
      <c r="A217" s="9" t="s">
        <v>997</v>
      </c>
      <c r="B217" s="5" t="s">
        <v>10</v>
      </c>
      <c r="C217" s="5" t="s">
        <v>5863</v>
      </c>
      <c r="D217" s="5" t="s">
        <v>5852</v>
      </c>
      <c r="E217" s="7" t="s">
        <v>40</v>
      </c>
      <c r="F217" s="7" t="s">
        <v>354</v>
      </c>
      <c r="G217" s="61">
        <v>4900</v>
      </c>
      <c r="H217" s="61" t="s">
        <v>978</v>
      </c>
      <c r="I217" s="61" t="s">
        <v>989</v>
      </c>
      <c r="J217" s="62" t="s">
        <v>998</v>
      </c>
      <c r="K217" s="5" t="s">
        <v>10</v>
      </c>
      <c r="L217" s="5" t="s">
        <v>45</v>
      </c>
      <c r="M217" s="5" t="s">
        <v>10</v>
      </c>
      <c r="N217" s="5" t="s">
        <v>10</v>
      </c>
      <c r="O217" s="46" t="s">
        <v>46</v>
      </c>
      <c r="P217" s="99">
        <v>46071</v>
      </c>
      <c r="Q217" s="100">
        <f t="shared" si="31"/>
        <v>46436</v>
      </c>
      <c r="R217" s="63" t="s">
        <v>2096</v>
      </c>
      <c r="S217" s="63" t="s">
        <v>4890</v>
      </c>
      <c r="T217" s="7">
        <v>1.1200000000000001</v>
      </c>
      <c r="U217" s="5">
        <v>600</v>
      </c>
      <c r="V217" s="7">
        <f t="shared" si="32"/>
        <v>0.1866666666666667</v>
      </c>
      <c r="W217" s="5">
        <v>0.5</v>
      </c>
      <c r="X217" s="5" t="s">
        <v>674</v>
      </c>
      <c r="Y217" s="48" t="str">
        <f t="shared" si="33"/>
        <v>APROVADO</v>
      </c>
      <c r="Z217" s="7" t="s">
        <v>56</v>
      </c>
      <c r="AA217" s="5">
        <v>11605485</v>
      </c>
      <c r="AB217" s="5" t="s">
        <v>4135</v>
      </c>
      <c r="AC217" s="5" t="s">
        <v>48</v>
      </c>
      <c r="AD217" s="5" t="s">
        <v>5530</v>
      </c>
      <c r="AE217" s="5" t="str">
        <f t="shared" ca="1" si="30"/>
        <v>NO PRAZO</v>
      </c>
      <c r="AF217" s="49"/>
    </row>
    <row r="218" spans="1:32" ht="30" customHeight="1" x14ac:dyDescent="0.25">
      <c r="A218" s="5" t="s">
        <v>5594</v>
      </c>
      <c r="B218" s="5" t="s">
        <v>78</v>
      </c>
      <c r="C218" s="5" t="s">
        <v>5862</v>
      </c>
      <c r="D218" s="5" t="s">
        <v>5852</v>
      </c>
      <c r="E218" s="7" t="s">
        <v>68</v>
      </c>
      <c r="F218" s="7" t="s">
        <v>69</v>
      </c>
      <c r="G218" s="82" t="s">
        <v>3033</v>
      </c>
      <c r="H218" s="7" t="s">
        <v>71</v>
      </c>
      <c r="I218" s="7" t="s">
        <v>2249</v>
      </c>
      <c r="J218" s="7" t="s">
        <v>3060</v>
      </c>
      <c r="K218" s="5" t="s">
        <v>45</v>
      </c>
      <c r="L218" s="5" t="s">
        <v>10</v>
      </c>
      <c r="M218" s="5" t="s">
        <v>10</v>
      </c>
      <c r="N218" s="5" t="s">
        <v>10</v>
      </c>
      <c r="O218" s="80" t="s">
        <v>46</v>
      </c>
      <c r="P218" s="101">
        <v>46168</v>
      </c>
      <c r="Q218" s="100">
        <f t="shared" si="31"/>
        <v>46533</v>
      </c>
      <c r="R218" s="5" t="s">
        <v>2250</v>
      </c>
      <c r="S218" s="5" t="s">
        <v>5595</v>
      </c>
      <c r="T218" s="7">
        <v>0.72</v>
      </c>
      <c r="U218" s="7">
        <v>600</v>
      </c>
      <c r="V218" s="7">
        <f t="shared" si="32"/>
        <v>0.12</v>
      </c>
      <c r="W218" s="5">
        <v>0.5</v>
      </c>
      <c r="X218" s="5" t="s">
        <v>83</v>
      </c>
      <c r="Y218" s="48" t="str">
        <f t="shared" si="33"/>
        <v>APROVADO</v>
      </c>
      <c r="Z218" s="7" t="s">
        <v>56</v>
      </c>
      <c r="AA218" s="5">
        <v>11606723</v>
      </c>
      <c r="AB218" s="5" t="s">
        <v>4196</v>
      </c>
      <c r="AC218" s="5" t="s">
        <v>48</v>
      </c>
      <c r="AD218" s="5" t="s">
        <v>5530</v>
      </c>
      <c r="AE218" s="5" t="str">
        <f t="shared" ca="1" si="30"/>
        <v>NO PRAZO</v>
      </c>
      <c r="AF218" s="51"/>
    </row>
    <row r="219" spans="1:32" ht="30" customHeight="1" x14ac:dyDescent="0.25">
      <c r="A219" s="5" t="s">
        <v>5539</v>
      </c>
      <c r="B219" s="5" t="s">
        <v>79</v>
      </c>
      <c r="C219" s="5" t="s">
        <v>5862</v>
      </c>
      <c r="D219" s="5" t="s">
        <v>5852</v>
      </c>
      <c r="E219" s="7" t="s">
        <v>68</v>
      </c>
      <c r="F219" s="7" t="s">
        <v>69</v>
      </c>
      <c r="G219" s="7" t="s">
        <v>80</v>
      </c>
      <c r="H219" s="7" t="s">
        <v>43</v>
      </c>
      <c r="I219" s="7" t="s">
        <v>81</v>
      </c>
      <c r="J219" s="7" t="s">
        <v>82</v>
      </c>
      <c r="K219" s="5" t="s">
        <v>45</v>
      </c>
      <c r="L219" s="5" t="s">
        <v>10</v>
      </c>
      <c r="M219" s="5" t="s">
        <v>10</v>
      </c>
      <c r="N219" s="5" t="s">
        <v>10</v>
      </c>
      <c r="O219" s="80" t="s">
        <v>46</v>
      </c>
      <c r="P219" s="101">
        <v>46162</v>
      </c>
      <c r="Q219" s="100">
        <f t="shared" si="31"/>
        <v>46527</v>
      </c>
      <c r="R219" s="5" t="s">
        <v>2419</v>
      </c>
      <c r="S219" s="5" t="s">
        <v>5543</v>
      </c>
      <c r="T219" s="7">
        <v>0.46</v>
      </c>
      <c r="U219" s="7">
        <v>250</v>
      </c>
      <c r="V219" s="7">
        <f t="shared" si="32"/>
        <v>0.184</v>
      </c>
      <c r="W219" s="5">
        <v>0.5</v>
      </c>
      <c r="X219" s="5" t="s">
        <v>83</v>
      </c>
      <c r="Y219" s="48" t="str">
        <f t="shared" si="33"/>
        <v>APROVADO</v>
      </c>
      <c r="Z219" s="7" t="s">
        <v>56</v>
      </c>
      <c r="AA219" s="5">
        <v>11602477</v>
      </c>
      <c r="AB219" s="5" t="s">
        <v>3785</v>
      </c>
      <c r="AC219" s="5" t="s">
        <v>48</v>
      </c>
      <c r="AD219" s="5" t="s">
        <v>5530</v>
      </c>
      <c r="AE219" s="5" t="str">
        <f t="shared" ca="1" si="30"/>
        <v>NO PRAZO</v>
      </c>
      <c r="AF219" s="49"/>
    </row>
    <row r="220" spans="1:32" ht="30" customHeight="1" x14ac:dyDescent="0.25">
      <c r="A220" s="5" t="s">
        <v>5540</v>
      </c>
      <c r="B220" s="5" t="s">
        <v>2973</v>
      </c>
      <c r="C220" s="5" t="s">
        <v>5862</v>
      </c>
      <c r="D220" s="5" t="s">
        <v>5852</v>
      </c>
      <c r="E220" s="7" t="s">
        <v>68</v>
      </c>
      <c r="F220" s="7" t="s">
        <v>69</v>
      </c>
      <c r="G220" s="7" t="s">
        <v>80</v>
      </c>
      <c r="H220" s="7" t="s">
        <v>43</v>
      </c>
      <c r="I220" s="7" t="s">
        <v>5692</v>
      </c>
      <c r="J220" s="7" t="s">
        <v>5693</v>
      </c>
      <c r="K220" s="5" t="s">
        <v>45</v>
      </c>
      <c r="L220" s="5" t="s">
        <v>10</v>
      </c>
      <c r="M220" s="5" t="s">
        <v>10</v>
      </c>
      <c r="N220" s="5" t="s">
        <v>10</v>
      </c>
      <c r="O220" s="80" t="s">
        <v>46</v>
      </c>
      <c r="P220" s="101">
        <v>46162</v>
      </c>
      <c r="Q220" s="100">
        <f t="shared" si="31"/>
        <v>46527</v>
      </c>
      <c r="R220" s="5" t="s">
        <v>2974</v>
      </c>
      <c r="S220" s="5" t="s">
        <v>5544</v>
      </c>
      <c r="T220" s="7">
        <v>4.2</v>
      </c>
      <c r="U220" s="7">
        <v>5000</v>
      </c>
      <c r="V220" s="7">
        <f t="shared" si="32"/>
        <v>8.4000000000000005E-2</v>
      </c>
      <c r="W220" s="5">
        <v>0.5</v>
      </c>
      <c r="X220" s="5" t="s">
        <v>674</v>
      </c>
      <c r="Y220" s="48" t="str">
        <f t="shared" si="33"/>
        <v>APROVADO</v>
      </c>
      <c r="Z220" s="7" t="s">
        <v>46</v>
      </c>
      <c r="AA220" s="5">
        <v>11606660</v>
      </c>
      <c r="AB220" s="5" t="s">
        <v>4110</v>
      </c>
      <c r="AC220" s="5" t="s">
        <v>48</v>
      </c>
      <c r="AD220" s="5" t="s">
        <v>5530</v>
      </c>
      <c r="AE220" s="5" t="str">
        <f t="shared" ca="1" si="30"/>
        <v>NO PRAZO</v>
      </c>
      <c r="AF220" s="49"/>
    </row>
    <row r="221" spans="1:32" ht="30" customHeight="1" x14ac:dyDescent="0.25">
      <c r="A221" s="5" t="s">
        <v>85</v>
      </c>
      <c r="B221" s="5" t="s">
        <v>10</v>
      </c>
      <c r="C221" s="5" t="s">
        <v>5862</v>
      </c>
      <c r="D221" s="5" t="s">
        <v>5852</v>
      </c>
      <c r="E221" s="7" t="s">
        <v>68</v>
      </c>
      <c r="F221" s="7" t="s">
        <v>86</v>
      </c>
      <c r="G221" s="7" t="s">
        <v>2471</v>
      </c>
      <c r="H221" s="7" t="s">
        <v>5800</v>
      </c>
      <c r="I221" s="7" t="s">
        <v>87</v>
      </c>
      <c r="J221" s="7" t="s">
        <v>3017</v>
      </c>
      <c r="K221" s="5" t="s">
        <v>45</v>
      </c>
      <c r="L221" s="5" t="s">
        <v>10</v>
      </c>
      <c r="M221" s="5" t="s">
        <v>10</v>
      </c>
      <c r="N221" s="5" t="s">
        <v>10</v>
      </c>
      <c r="O221" s="80" t="s">
        <v>46</v>
      </c>
      <c r="P221" s="101">
        <v>46194</v>
      </c>
      <c r="Q221" s="100">
        <f t="shared" si="31"/>
        <v>46559</v>
      </c>
      <c r="R221" s="5" t="s">
        <v>2696</v>
      </c>
      <c r="S221" s="5" t="s">
        <v>5678</v>
      </c>
      <c r="T221" s="7">
        <v>26.78</v>
      </c>
      <c r="U221" s="7">
        <v>10000</v>
      </c>
      <c r="V221" s="7">
        <f t="shared" si="32"/>
        <v>0.26779999999999998</v>
      </c>
      <c r="W221" s="5">
        <v>0.5</v>
      </c>
      <c r="X221" s="5" t="s">
        <v>5853</v>
      </c>
      <c r="Y221" s="48" t="str">
        <f t="shared" si="33"/>
        <v>APROVADO</v>
      </c>
      <c r="Z221" s="7" t="s">
        <v>56</v>
      </c>
      <c r="AA221" s="5">
        <v>11606662</v>
      </c>
      <c r="AB221" s="5" t="s">
        <v>4112</v>
      </c>
      <c r="AC221" s="5" t="s">
        <v>48</v>
      </c>
      <c r="AD221" s="5" t="s">
        <v>5530</v>
      </c>
      <c r="AE221" s="5" t="str">
        <f t="shared" ca="1" si="30"/>
        <v>NO PRAZO</v>
      </c>
      <c r="AF221" s="52"/>
    </row>
    <row r="222" spans="1:32" ht="30" customHeight="1" x14ac:dyDescent="0.25">
      <c r="A222" s="5" t="s">
        <v>3464</v>
      </c>
      <c r="B222" s="5" t="s">
        <v>10</v>
      </c>
      <c r="C222" s="5" t="s">
        <v>5864</v>
      </c>
      <c r="D222" s="7" t="s">
        <v>723</v>
      </c>
      <c r="E222" s="7" t="s">
        <v>256</v>
      </c>
      <c r="F222" s="7" t="s">
        <v>652</v>
      </c>
      <c r="G222" s="7" t="s">
        <v>723</v>
      </c>
      <c r="H222" s="7" t="s">
        <v>723</v>
      </c>
      <c r="I222" s="7" t="s">
        <v>3465</v>
      </c>
      <c r="J222" s="7" t="s">
        <v>3465</v>
      </c>
      <c r="K222" s="5" t="s">
        <v>10</v>
      </c>
      <c r="L222" s="5" t="s">
        <v>10</v>
      </c>
      <c r="M222" s="5" t="s">
        <v>10</v>
      </c>
      <c r="N222" s="5" t="s">
        <v>45</v>
      </c>
      <c r="O222" s="80" t="s">
        <v>56</v>
      </c>
      <c r="P222" s="101">
        <v>45931</v>
      </c>
      <c r="Q222" s="100">
        <f t="shared" si="31"/>
        <v>46296</v>
      </c>
      <c r="R222" s="5" t="s">
        <v>273</v>
      </c>
      <c r="S222" s="5" t="s">
        <v>3466</v>
      </c>
      <c r="T222" s="7">
        <v>0.154</v>
      </c>
      <c r="U222" s="7" t="s">
        <v>10</v>
      </c>
      <c r="V222" s="7">
        <f t="shared" si="32"/>
        <v>0.154</v>
      </c>
      <c r="W222" s="5" t="s">
        <v>10</v>
      </c>
      <c r="X222" s="5" t="s">
        <v>330</v>
      </c>
      <c r="Y222" s="48" t="str">
        <f t="shared" si="33"/>
        <v>A DEFINIR</v>
      </c>
      <c r="Z222" s="7" t="s">
        <v>56</v>
      </c>
      <c r="AA222" s="5">
        <v>11599683</v>
      </c>
      <c r="AB222" s="5" t="s">
        <v>3886</v>
      </c>
      <c r="AC222" s="5" t="s">
        <v>48</v>
      </c>
      <c r="AD222" s="5" t="s">
        <v>5530</v>
      </c>
      <c r="AE222" s="5" t="str">
        <f t="shared" ca="1" si="30"/>
        <v>NO PRAZO</v>
      </c>
      <c r="AF222" s="49"/>
    </row>
    <row r="223" spans="1:32" ht="30" customHeight="1" x14ac:dyDescent="0.25">
      <c r="A223" s="5" t="s">
        <v>999</v>
      </c>
      <c r="B223" s="5" t="s">
        <v>10</v>
      </c>
      <c r="C223" s="5" t="s">
        <v>5864</v>
      </c>
      <c r="D223" s="7" t="s">
        <v>1000</v>
      </c>
      <c r="E223" s="7" t="s">
        <v>256</v>
      </c>
      <c r="F223" s="7" t="s">
        <v>257</v>
      </c>
      <c r="G223" s="7" t="s">
        <v>1000</v>
      </c>
      <c r="H223" s="7" t="s">
        <v>1000</v>
      </c>
      <c r="I223" s="7" t="s">
        <v>1001</v>
      </c>
      <c r="J223" s="7" t="s">
        <v>1001</v>
      </c>
      <c r="K223" s="5" t="s">
        <v>10</v>
      </c>
      <c r="L223" s="5" t="s">
        <v>10</v>
      </c>
      <c r="M223" s="5" t="s">
        <v>10</v>
      </c>
      <c r="N223" s="5" t="s">
        <v>45</v>
      </c>
      <c r="O223" s="80" t="s">
        <v>56</v>
      </c>
      <c r="P223" s="101">
        <v>45996</v>
      </c>
      <c r="Q223" s="100">
        <f t="shared" si="31"/>
        <v>46361</v>
      </c>
      <c r="R223" s="5" t="s">
        <v>1855</v>
      </c>
      <c r="S223" s="5" t="s">
        <v>4257</v>
      </c>
      <c r="T223" s="7">
        <v>1.4999999999999999E-2</v>
      </c>
      <c r="U223" s="7" t="s">
        <v>10</v>
      </c>
      <c r="V223" s="7">
        <f t="shared" si="32"/>
        <v>1.4999999999999999E-2</v>
      </c>
      <c r="W223" s="5" t="s">
        <v>10</v>
      </c>
      <c r="X223" s="5" t="s">
        <v>330</v>
      </c>
      <c r="Y223" s="48" t="str">
        <f t="shared" si="33"/>
        <v>A DEFINIR</v>
      </c>
      <c r="Z223" s="7" t="s">
        <v>56</v>
      </c>
      <c r="AA223" s="5">
        <v>11599684</v>
      </c>
      <c r="AB223" s="5" t="s">
        <v>3884</v>
      </c>
      <c r="AC223" s="5" t="s">
        <v>48</v>
      </c>
      <c r="AD223" s="5" t="s">
        <v>5530</v>
      </c>
      <c r="AE223" s="5" t="str">
        <f t="shared" ca="1" si="30"/>
        <v>NO PRAZO</v>
      </c>
      <c r="AF223" s="51"/>
    </row>
    <row r="224" spans="1:32" ht="30" customHeight="1" x14ac:dyDescent="0.25">
      <c r="A224" s="5" t="s">
        <v>4639</v>
      </c>
      <c r="B224" s="5" t="s">
        <v>10</v>
      </c>
      <c r="C224" s="5" t="s">
        <v>5864</v>
      </c>
      <c r="D224" s="7" t="s">
        <v>4640</v>
      </c>
      <c r="E224" s="7" t="s">
        <v>256</v>
      </c>
      <c r="F224" s="7" t="s">
        <v>257</v>
      </c>
      <c r="G224" s="7" t="s">
        <v>4640</v>
      </c>
      <c r="H224" s="7" t="s">
        <v>4640</v>
      </c>
      <c r="I224" s="7" t="s">
        <v>5222</v>
      </c>
      <c r="J224" s="7" t="s">
        <v>5222</v>
      </c>
      <c r="K224" s="5" t="s">
        <v>10</v>
      </c>
      <c r="L224" s="5" t="s">
        <v>10</v>
      </c>
      <c r="M224" s="5" t="s">
        <v>10</v>
      </c>
      <c r="N224" s="5" t="s">
        <v>45</v>
      </c>
      <c r="O224" s="80" t="s">
        <v>56</v>
      </c>
      <c r="P224" s="101">
        <v>46099</v>
      </c>
      <c r="Q224" s="100">
        <f t="shared" si="31"/>
        <v>46464</v>
      </c>
      <c r="R224" s="5" t="s">
        <v>4641</v>
      </c>
      <c r="S224" s="5" t="s">
        <v>5056</v>
      </c>
      <c r="T224" s="7">
        <v>3.1E-2</v>
      </c>
      <c r="U224" s="7" t="s">
        <v>10</v>
      </c>
      <c r="V224" s="7">
        <f t="shared" si="32"/>
        <v>3.1E-2</v>
      </c>
      <c r="W224" s="5" t="s">
        <v>10</v>
      </c>
      <c r="X224" s="5" t="s">
        <v>330</v>
      </c>
      <c r="Y224" s="48" t="str">
        <f t="shared" si="33"/>
        <v>A DEFINIR</v>
      </c>
      <c r="Z224" s="7" t="s">
        <v>56</v>
      </c>
      <c r="AA224" s="5">
        <v>11599685</v>
      </c>
      <c r="AB224" s="5" t="s">
        <v>4642</v>
      </c>
      <c r="AC224" s="5" t="s">
        <v>48</v>
      </c>
      <c r="AD224" s="5" t="s">
        <v>5530</v>
      </c>
      <c r="AE224" s="5" t="str">
        <f t="shared" ca="1" si="30"/>
        <v>NO PRAZO</v>
      </c>
      <c r="AF224" s="49"/>
    </row>
    <row r="225" spans="1:32" ht="30" customHeight="1" x14ac:dyDescent="0.25">
      <c r="A225" s="5" t="s">
        <v>3148</v>
      </c>
      <c r="B225" s="5" t="s">
        <v>10</v>
      </c>
      <c r="C225" s="5" t="s">
        <v>5864</v>
      </c>
      <c r="D225" s="7" t="s">
        <v>723</v>
      </c>
      <c r="E225" s="7" t="s">
        <v>256</v>
      </c>
      <c r="F225" s="7" t="s">
        <v>257</v>
      </c>
      <c r="G225" s="7" t="s">
        <v>723</v>
      </c>
      <c r="H225" s="7" t="s">
        <v>723</v>
      </c>
      <c r="I225" s="7" t="s">
        <v>3356</v>
      </c>
      <c r="J225" s="7" t="s">
        <v>3356</v>
      </c>
      <c r="K225" s="5" t="s">
        <v>10</v>
      </c>
      <c r="L225" s="5" t="s">
        <v>10</v>
      </c>
      <c r="M225" s="5" t="s">
        <v>10</v>
      </c>
      <c r="N225" s="5" t="s">
        <v>45</v>
      </c>
      <c r="O225" s="80" t="s">
        <v>56</v>
      </c>
      <c r="P225" s="101">
        <v>45888</v>
      </c>
      <c r="Q225" s="100">
        <f t="shared" si="31"/>
        <v>46253</v>
      </c>
      <c r="R225" s="5" t="s">
        <v>905</v>
      </c>
      <c r="S225" s="5" t="s">
        <v>3149</v>
      </c>
      <c r="T225" s="7">
        <v>2.3E-2</v>
      </c>
      <c r="U225" s="7"/>
      <c r="V225" s="7">
        <f t="shared" si="32"/>
        <v>2.3E-2</v>
      </c>
      <c r="W225" s="5" t="s">
        <v>10</v>
      </c>
      <c r="X225" s="5" t="s">
        <v>330</v>
      </c>
      <c r="Y225" s="48" t="str">
        <f t="shared" si="33"/>
        <v>A DEFINIR</v>
      </c>
      <c r="Z225" s="7" t="s">
        <v>56</v>
      </c>
      <c r="AA225" s="5">
        <v>11604363</v>
      </c>
      <c r="AB225" s="5" t="s">
        <v>3885</v>
      </c>
      <c r="AC225" s="5" t="s">
        <v>48</v>
      </c>
      <c r="AD225" s="5" t="s">
        <v>5530</v>
      </c>
      <c r="AE225" s="5" t="str">
        <f t="shared" ca="1" si="30"/>
        <v>CALIBRAR</v>
      </c>
      <c r="AF225" s="49"/>
    </row>
    <row r="226" spans="1:32" ht="30" customHeight="1" x14ac:dyDescent="0.25">
      <c r="A226" s="5" t="s">
        <v>1002</v>
      </c>
      <c r="B226" s="5" t="s">
        <v>10</v>
      </c>
      <c r="C226" s="5" t="s">
        <v>5864</v>
      </c>
      <c r="D226" s="5" t="s">
        <v>1003</v>
      </c>
      <c r="E226" s="7" t="s">
        <v>256</v>
      </c>
      <c r="F226" s="7" t="s">
        <v>257</v>
      </c>
      <c r="G226" s="7" t="s">
        <v>1003</v>
      </c>
      <c r="H226" s="7" t="s">
        <v>1003</v>
      </c>
      <c r="I226" s="7" t="s">
        <v>1004</v>
      </c>
      <c r="J226" s="7" t="s">
        <v>1005</v>
      </c>
      <c r="K226" s="5" t="s">
        <v>10</v>
      </c>
      <c r="L226" s="5" t="s">
        <v>10</v>
      </c>
      <c r="M226" s="5" t="s">
        <v>10</v>
      </c>
      <c r="N226" s="5" t="s">
        <v>1006</v>
      </c>
      <c r="O226" s="80" t="s">
        <v>56</v>
      </c>
      <c r="P226" s="101">
        <v>46034</v>
      </c>
      <c r="Q226" s="100">
        <f t="shared" si="31"/>
        <v>46399</v>
      </c>
      <c r="R226" s="5" t="s">
        <v>1905</v>
      </c>
      <c r="S226" s="5" t="s">
        <v>5033</v>
      </c>
      <c r="T226" s="7">
        <v>56</v>
      </c>
      <c r="U226" s="7"/>
      <c r="V226" s="7">
        <f t="shared" si="32"/>
        <v>56</v>
      </c>
      <c r="W226" s="5" t="s">
        <v>10</v>
      </c>
      <c r="X226" s="5" t="s">
        <v>1007</v>
      </c>
      <c r="Y226" s="48" t="str">
        <f t="shared" si="33"/>
        <v>A DEFINIR</v>
      </c>
      <c r="Z226" s="7" t="s">
        <v>56</v>
      </c>
      <c r="AA226" s="5">
        <v>11603019</v>
      </c>
      <c r="AB226" s="5" t="s">
        <v>2506</v>
      </c>
      <c r="AC226" s="5" t="s">
        <v>48</v>
      </c>
      <c r="AD226" s="5" t="s">
        <v>5530</v>
      </c>
      <c r="AE226" s="5" t="str">
        <f t="shared" ca="1" si="30"/>
        <v>NO PRAZO</v>
      </c>
      <c r="AF226" s="88"/>
    </row>
    <row r="227" spans="1:32" ht="30" customHeight="1" x14ac:dyDescent="0.25">
      <c r="A227" s="5" t="s">
        <v>1008</v>
      </c>
      <c r="B227" s="5" t="s">
        <v>10</v>
      </c>
      <c r="C227" s="5" t="s">
        <v>5864</v>
      </c>
      <c r="D227" s="7" t="s">
        <v>1009</v>
      </c>
      <c r="E227" s="7" t="s">
        <v>256</v>
      </c>
      <c r="F227" s="7" t="s">
        <v>257</v>
      </c>
      <c r="G227" s="7" t="s">
        <v>1009</v>
      </c>
      <c r="H227" s="7" t="s">
        <v>1009</v>
      </c>
      <c r="I227" s="7" t="s">
        <v>1010</v>
      </c>
      <c r="J227" s="7" t="s">
        <v>1010</v>
      </c>
      <c r="K227" s="5" t="s">
        <v>10</v>
      </c>
      <c r="L227" s="5" t="s">
        <v>10</v>
      </c>
      <c r="M227" s="5" t="s">
        <v>10</v>
      </c>
      <c r="N227" s="5" t="s">
        <v>45</v>
      </c>
      <c r="O227" s="80" t="s">
        <v>56</v>
      </c>
      <c r="P227" s="101">
        <v>46002</v>
      </c>
      <c r="Q227" s="100">
        <f t="shared" si="31"/>
        <v>46367</v>
      </c>
      <c r="R227" s="7" t="s">
        <v>1867</v>
      </c>
      <c r="S227" s="7" t="s">
        <v>4327</v>
      </c>
      <c r="T227" s="7">
        <v>0.13100000000000001</v>
      </c>
      <c r="U227" s="7" t="s">
        <v>10</v>
      </c>
      <c r="V227" s="7">
        <f t="shared" si="32"/>
        <v>0.13100000000000001</v>
      </c>
      <c r="W227" s="5" t="s">
        <v>10</v>
      </c>
      <c r="X227" s="5" t="s">
        <v>330</v>
      </c>
      <c r="Y227" s="48" t="str">
        <f t="shared" si="33"/>
        <v>A DEFINIR</v>
      </c>
      <c r="Z227" s="7" t="s">
        <v>56</v>
      </c>
      <c r="AA227" s="5">
        <v>11599686</v>
      </c>
      <c r="AB227" s="5" t="s">
        <v>3887</v>
      </c>
      <c r="AC227" s="5" t="s">
        <v>48</v>
      </c>
      <c r="AD227" s="5" t="s">
        <v>5530</v>
      </c>
      <c r="AE227" s="5" t="str">
        <f t="shared" ca="1" si="30"/>
        <v>NO PRAZO</v>
      </c>
      <c r="AF227" s="51"/>
    </row>
    <row r="228" spans="1:32" ht="30" customHeight="1" x14ac:dyDescent="0.25">
      <c r="A228" s="5" t="s">
        <v>4971</v>
      </c>
      <c r="B228" s="5" t="s">
        <v>10</v>
      </c>
      <c r="C228" s="5" t="s">
        <v>5864</v>
      </c>
      <c r="D228" s="7" t="s">
        <v>1009</v>
      </c>
      <c r="E228" s="7" t="s">
        <v>256</v>
      </c>
      <c r="F228" s="7" t="s">
        <v>257</v>
      </c>
      <c r="G228" s="7" t="s">
        <v>1009</v>
      </c>
      <c r="H228" s="7" t="s">
        <v>1009</v>
      </c>
      <c r="I228" s="7" t="s">
        <v>5174</v>
      </c>
      <c r="J228" s="7" t="s">
        <v>5174</v>
      </c>
      <c r="K228" s="5" t="s">
        <v>10</v>
      </c>
      <c r="L228" s="5" t="s">
        <v>10</v>
      </c>
      <c r="M228" s="5" t="s">
        <v>10</v>
      </c>
      <c r="N228" s="5" t="s">
        <v>45</v>
      </c>
      <c r="O228" s="80" t="s">
        <v>56</v>
      </c>
      <c r="P228" s="101">
        <v>46080</v>
      </c>
      <c r="Q228" s="100">
        <f t="shared" si="31"/>
        <v>46445</v>
      </c>
      <c r="R228" s="5" t="s">
        <v>10</v>
      </c>
      <c r="S228" s="5" t="s">
        <v>4972</v>
      </c>
      <c r="T228" s="7">
        <v>1.23E-2</v>
      </c>
      <c r="U228" s="7" t="s">
        <v>10</v>
      </c>
      <c r="V228" s="7">
        <f t="shared" si="32"/>
        <v>1.23E-2</v>
      </c>
      <c r="W228" s="5" t="s">
        <v>10</v>
      </c>
      <c r="X228" s="5" t="s">
        <v>1012</v>
      </c>
      <c r="Y228" s="48" t="str">
        <f t="shared" si="33"/>
        <v>A DEFINIR</v>
      </c>
      <c r="Z228" s="7" t="s">
        <v>56</v>
      </c>
      <c r="AA228" s="5" t="s">
        <v>4675</v>
      </c>
      <c r="AB228" s="5" t="s">
        <v>4675</v>
      </c>
      <c r="AC228" s="5" t="s">
        <v>48</v>
      </c>
      <c r="AD228" s="5" t="s">
        <v>5530</v>
      </c>
      <c r="AE228" s="5" t="str">
        <f t="shared" ca="1" si="30"/>
        <v>NO PRAZO</v>
      </c>
      <c r="AF228" s="49"/>
    </row>
    <row r="229" spans="1:32" ht="30" customHeight="1" x14ac:dyDescent="0.25">
      <c r="A229" s="5" t="s">
        <v>1011</v>
      </c>
      <c r="B229" s="5" t="s">
        <v>10</v>
      </c>
      <c r="C229" s="5" t="s">
        <v>5864</v>
      </c>
      <c r="D229" s="7" t="s">
        <v>1009</v>
      </c>
      <c r="E229" s="7" t="s">
        <v>256</v>
      </c>
      <c r="F229" s="7" t="s">
        <v>257</v>
      </c>
      <c r="G229" s="7" t="s">
        <v>1009</v>
      </c>
      <c r="H229" s="7" t="s">
        <v>1009</v>
      </c>
      <c r="I229" s="7" t="s">
        <v>5175</v>
      </c>
      <c r="J229" s="7" t="s">
        <v>5175</v>
      </c>
      <c r="K229" s="5" t="s">
        <v>10</v>
      </c>
      <c r="L229" s="5" t="s">
        <v>10</v>
      </c>
      <c r="M229" s="5" t="s">
        <v>10</v>
      </c>
      <c r="N229" s="5" t="s">
        <v>45</v>
      </c>
      <c r="O229" s="80" t="s">
        <v>56</v>
      </c>
      <c r="P229" s="101">
        <v>46080</v>
      </c>
      <c r="Q229" s="100">
        <f t="shared" si="31"/>
        <v>46445</v>
      </c>
      <c r="R229" s="5" t="s">
        <v>2196</v>
      </c>
      <c r="S229" s="5" t="s">
        <v>4973</v>
      </c>
      <c r="T229" s="7">
        <v>8.3000000000000001E-3</v>
      </c>
      <c r="U229" s="7" t="s">
        <v>10</v>
      </c>
      <c r="V229" s="7">
        <f t="shared" si="32"/>
        <v>8.3000000000000001E-3</v>
      </c>
      <c r="W229" s="5" t="s">
        <v>10</v>
      </c>
      <c r="X229" s="5" t="s">
        <v>1012</v>
      </c>
      <c r="Y229" s="48" t="str">
        <f t="shared" si="33"/>
        <v>A DEFINIR</v>
      </c>
      <c r="Z229" s="7" t="s">
        <v>56</v>
      </c>
      <c r="AA229" s="5">
        <v>11599688</v>
      </c>
      <c r="AB229" s="5" t="s">
        <v>3888</v>
      </c>
      <c r="AC229" s="5" t="s">
        <v>48</v>
      </c>
      <c r="AD229" s="5" t="s">
        <v>5530</v>
      </c>
      <c r="AE229" s="5" t="str">
        <f t="shared" ca="1" si="30"/>
        <v>NO PRAZO</v>
      </c>
      <c r="AF229" s="49"/>
    </row>
    <row r="230" spans="1:32" ht="30" customHeight="1" x14ac:dyDescent="0.25">
      <c r="A230" s="5" t="s">
        <v>1013</v>
      </c>
      <c r="B230" s="5" t="s">
        <v>10</v>
      </c>
      <c r="C230" s="5" t="s">
        <v>5864</v>
      </c>
      <c r="D230" s="7" t="s">
        <v>1009</v>
      </c>
      <c r="E230" s="7" t="s">
        <v>256</v>
      </c>
      <c r="F230" s="7" t="s">
        <v>257</v>
      </c>
      <c r="G230" s="7" t="s">
        <v>1009</v>
      </c>
      <c r="H230" s="7" t="s">
        <v>1009</v>
      </c>
      <c r="I230" s="7" t="s">
        <v>5176</v>
      </c>
      <c r="J230" s="7" t="s">
        <v>5176</v>
      </c>
      <c r="K230" s="5" t="s">
        <v>10</v>
      </c>
      <c r="L230" s="5" t="s">
        <v>10</v>
      </c>
      <c r="M230" s="5" t="s">
        <v>10</v>
      </c>
      <c r="N230" s="5" t="s">
        <v>45</v>
      </c>
      <c r="O230" s="80" t="s">
        <v>56</v>
      </c>
      <c r="P230" s="101">
        <v>46080</v>
      </c>
      <c r="Q230" s="100">
        <f t="shared" si="31"/>
        <v>46445</v>
      </c>
      <c r="R230" s="5" t="s">
        <v>2197</v>
      </c>
      <c r="S230" s="5" t="s">
        <v>4974</v>
      </c>
      <c r="T230" s="7">
        <v>5.3E-3</v>
      </c>
      <c r="U230" s="7" t="s">
        <v>10</v>
      </c>
      <c r="V230" s="7">
        <f t="shared" si="32"/>
        <v>5.3E-3</v>
      </c>
      <c r="W230" s="5" t="s">
        <v>10</v>
      </c>
      <c r="X230" s="5" t="s">
        <v>1012</v>
      </c>
      <c r="Y230" s="48" t="str">
        <f t="shared" si="33"/>
        <v>A DEFINIR</v>
      </c>
      <c r="Z230" s="7" t="s">
        <v>56</v>
      </c>
      <c r="AA230" s="5">
        <v>11599689</v>
      </c>
      <c r="AB230" s="5" t="s">
        <v>3889</v>
      </c>
      <c r="AC230" s="5" t="s">
        <v>48</v>
      </c>
      <c r="AD230" s="5" t="s">
        <v>5530</v>
      </c>
      <c r="AE230" s="5" t="str">
        <f t="shared" ca="1" si="30"/>
        <v>NO PRAZO</v>
      </c>
      <c r="AF230" s="49"/>
    </row>
    <row r="231" spans="1:32" ht="30" customHeight="1" x14ac:dyDescent="0.25">
      <c r="A231" s="5" t="s">
        <v>1014</v>
      </c>
      <c r="B231" s="5" t="s">
        <v>10</v>
      </c>
      <c r="C231" s="5" t="s">
        <v>5864</v>
      </c>
      <c r="D231" s="7" t="s">
        <v>1009</v>
      </c>
      <c r="E231" s="7" t="s">
        <v>256</v>
      </c>
      <c r="F231" s="7" t="s">
        <v>257</v>
      </c>
      <c r="G231" s="7" t="s">
        <v>1009</v>
      </c>
      <c r="H231" s="7" t="s">
        <v>1009</v>
      </c>
      <c r="I231" s="7" t="s">
        <v>5177</v>
      </c>
      <c r="J231" s="7" t="s">
        <v>5177</v>
      </c>
      <c r="K231" s="5" t="s">
        <v>10</v>
      </c>
      <c r="L231" s="5" t="s">
        <v>10</v>
      </c>
      <c r="M231" s="5" t="s">
        <v>10</v>
      </c>
      <c r="N231" s="5" t="s">
        <v>45</v>
      </c>
      <c r="O231" s="80" t="s">
        <v>56</v>
      </c>
      <c r="P231" s="101">
        <v>46080</v>
      </c>
      <c r="Q231" s="100">
        <f t="shared" si="31"/>
        <v>46445</v>
      </c>
      <c r="R231" s="5" t="s">
        <v>2198</v>
      </c>
      <c r="S231" s="5" t="s">
        <v>4975</v>
      </c>
      <c r="T231" s="7">
        <v>5.3E-3</v>
      </c>
      <c r="U231" s="7" t="s">
        <v>10</v>
      </c>
      <c r="V231" s="7">
        <f t="shared" si="32"/>
        <v>5.3E-3</v>
      </c>
      <c r="W231" s="5" t="s">
        <v>10</v>
      </c>
      <c r="X231" s="5" t="s">
        <v>1012</v>
      </c>
      <c r="Y231" s="48" t="str">
        <f t="shared" si="33"/>
        <v>A DEFINIR</v>
      </c>
      <c r="Z231" s="7" t="s">
        <v>56</v>
      </c>
      <c r="AA231" s="5">
        <v>11599690</v>
      </c>
      <c r="AB231" s="5" t="s">
        <v>3890</v>
      </c>
      <c r="AC231" s="5" t="s">
        <v>48</v>
      </c>
      <c r="AD231" s="5" t="s">
        <v>5530</v>
      </c>
      <c r="AE231" s="5" t="str">
        <f t="shared" ca="1" si="30"/>
        <v>NO PRAZO</v>
      </c>
      <c r="AF231" s="49"/>
    </row>
    <row r="232" spans="1:32" ht="30" customHeight="1" x14ac:dyDescent="0.25">
      <c r="A232" s="5" t="s">
        <v>1015</v>
      </c>
      <c r="B232" s="5" t="s">
        <v>10</v>
      </c>
      <c r="C232" s="5" t="s">
        <v>5864</v>
      </c>
      <c r="D232" s="7" t="s">
        <v>1009</v>
      </c>
      <c r="E232" s="7" t="s">
        <v>256</v>
      </c>
      <c r="F232" s="7" t="s">
        <v>257</v>
      </c>
      <c r="G232" s="7" t="s">
        <v>1009</v>
      </c>
      <c r="H232" s="7" t="s">
        <v>1009</v>
      </c>
      <c r="I232" s="7" t="s">
        <v>5178</v>
      </c>
      <c r="J232" s="7" t="s">
        <v>5178</v>
      </c>
      <c r="K232" s="5" t="s">
        <v>10</v>
      </c>
      <c r="L232" s="5" t="s">
        <v>10</v>
      </c>
      <c r="M232" s="5" t="s">
        <v>10</v>
      </c>
      <c r="N232" s="5" t="s">
        <v>45</v>
      </c>
      <c r="O232" s="80" t="s">
        <v>56</v>
      </c>
      <c r="P232" s="101">
        <v>46080</v>
      </c>
      <c r="Q232" s="100">
        <f t="shared" si="31"/>
        <v>46445</v>
      </c>
      <c r="R232" s="5" t="s">
        <v>2199</v>
      </c>
      <c r="S232" s="5" t="s">
        <v>4976</v>
      </c>
      <c r="T232" s="7">
        <v>1.1299999999999999E-2</v>
      </c>
      <c r="U232" s="7" t="s">
        <v>10</v>
      </c>
      <c r="V232" s="7">
        <f t="shared" si="32"/>
        <v>1.1299999999999999E-2</v>
      </c>
      <c r="W232" s="5" t="s">
        <v>10</v>
      </c>
      <c r="X232" s="5" t="s">
        <v>1012</v>
      </c>
      <c r="Y232" s="48" t="str">
        <f t="shared" si="33"/>
        <v>A DEFINIR</v>
      </c>
      <c r="Z232" s="7" t="s">
        <v>56</v>
      </c>
      <c r="AA232" s="5">
        <v>11599691</v>
      </c>
      <c r="AB232" s="5" t="s">
        <v>3891</v>
      </c>
      <c r="AC232" s="5" t="s">
        <v>48</v>
      </c>
      <c r="AD232" s="5" t="s">
        <v>5530</v>
      </c>
      <c r="AE232" s="5" t="str">
        <f t="shared" ca="1" si="30"/>
        <v>NO PRAZO</v>
      </c>
      <c r="AF232" s="49"/>
    </row>
    <row r="233" spans="1:32" ht="30" customHeight="1" x14ac:dyDescent="0.25">
      <c r="A233" s="5" t="s">
        <v>1016</v>
      </c>
      <c r="B233" s="5" t="s">
        <v>10</v>
      </c>
      <c r="C233" s="5" t="s">
        <v>5864</v>
      </c>
      <c r="D233" s="7" t="s">
        <v>1009</v>
      </c>
      <c r="E233" s="7" t="s">
        <v>256</v>
      </c>
      <c r="F233" s="7" t="s">
        <v>257</v>
      </c>
      <c r="G233" s="7" t="s">
        <v>1009</v>
      </c>
      <c r="H233" s="7" t="s">
        <v>1009</v>
      </c>
      <c r="I233" s="7" t="s">
        <v>5180</v>
      </c>
      <c r="J233" s="7" t="s">
        <v>5180</v>
      </c>
      <c r="K233" s="5" t="s">
        <v>10</v>
      </c>
      <c r="L233" s="5" t="s">
        <v>10</v>
      </c>
      <c r="M233" s="5" t="s">
        <v>10</v>
      </c>
      <c r="N233" s="5" t="s">
        <v>45</v>
      </c>
      <c r="O233" s="80" t="s">
        <v>56</v>
      </c>
      <c r="P233" s="101">
        <v>46080</v>
      </c>
      <c r="Q233" s="100">
        <f t="shared" si="31"/>
        <v>46445</v>
      </c>
      <c r="R233" s="5" t="s">
        <v>2200</v>
      </c>
      <c r="S233" s="5" t="s">
        <v>4977</v>
      </c>
      <c r="T233" s="7">
        <v>7.3000000000000001E-3</v>
      </c>
      <c r="U233" s="7" t="s">
        <v>10</v>
      </c>
      <c r="V233" s="7">
        <f t="shared" si="32"/>
        <v>7.3000000000000001E-3</v>
      </c>
      <c r="W233" s="5" t="s">
        <v>10</v>
      </c>
      <c r="X233" s="5" t="s">
        <v>1012</v>
      </c>
      <c r="Y233" s="48" t="str">
        <f t="shared" si="33"/>
        <v>A DEFINIR</v>
      </c>
      <c r="Z233" s="7" t="s">
        <v>56</v>
      </c>
      <c r="AA233" s="5">
        <v>11599692</v>
      </c>
      <c r="AB233" s="5" t="s">
        <v>3892</v>
      </c>
      <c r="AC233" s="5" t="s">
        <v>48</v>
      </c>
      <c r="AD233" s="5" t="s">
        <v>5530</v>
      </c>
      <c r="AE233" s="5" t="str">
        <f t="shared" ca="1" si="30"/>
        <v>NO PRAZO</v>
      </c>
      <c r="AF233" s="49"/>
    </row>
    <row r="234" spans="1:32" ht="30" customHeight="1" x14ac:dyDescent="0.25">
      <c r="A234" s="5" t="s">
        <v>1017</v>
      </c>
      <c r="B234" s="5" t="s">
        <v>10</v>
      </c>
      <c r="C234" s="5" t="s">
        <v>5864</v>
      </c>
      <c r="D234" s="7" t="s">
        <v>1009</v>
      </c>
      <c r="E234" s="7" t="s">
        <v>256</v>
      </c>
      <c r="F234" s="7" t="s">
        <v>257</v>
      </c>
      <c r="G234" s="7" t="s">
        <v>1009</v>
      </c>
      <c r="H234" s="7" t="s">
        <v>1009</v>
      </c>
      <c r="I234" s="7" t="s">
        <v>1018</v>
      </c>
      <c r="J234" s="7" t="s">
        <v>1018</v>
      </c>
      <c r="K234" s="5" t="s">
        <v>10</v>
      </c>
      <c r="L234" s="5" t="s">
        <v>10</v>
      </c>
      <c r="M234" s="5" t="s">
        <v>10</v>
      </c>
      <c r="N234" s="5" t="s">
        <v>45</v>
      </c>
      <c r="O234" s="80" t="s">
        <v>56</v>
      </c>
      <c r="P234" s="101">
        <v>46002</v>
      </c>
      <c r="Q234" s="100">
        <f t="shared" si="31"/>
        <v>46367</v>
      </c>
      <c r="R234" s="5" t="s">
        <v>1868</v>
      </c>
      <c r="S234" s="5" t="s">
        <v>4328</v>
      </c>
      <c r="T234" s="7">
        <v>0.22</v>
      </c>
      <c r="U234" s="7" t="s">
        <v>10</v>
      </c>
      <c r="V234" s="7">
        <f t="shared" si="32"/>
        <v>0.22</v>
      </c>
      <c r="W234" s="5" t="s">
        <v>10</v>
      </c>
      <c r="X234" s="5" t="s">
        <v>330</v>
      </c>
      <c r="Y234" s="48" t="str">
        <f t="shared" si="33"/>
        <v>A DEFINIR</v>
      </c>
      <c r="Z234" s="7" t="s">
        <v>56</v>
      </c>
      <c r="AA234" s="5">
        <v>11599693</v>
      </c>
      <c r="AB234" s="5" t="s">
        <v>3893</v>
      </c>
      <c r="AC234" s="5" t="s">
        <v>48</v>
      </c>
      <c r="AD234" s="5" t="s">
        <v>5530</v>
      </c>
      <c r="AE234" s="5" t="str">
        <f t="shared" ca="1" si="30"/>
        <v>NO PRAZO</v>
      </c>
      <c r="AF234" s="51"/>
    </row>
    <row r="235" spans="1:32" ht="30" customHeight="1" x14ac:dyDescent="0.25">
      <c r="A235" s="5" t="s">
        <v>1019</v>
      </c>
      <c r="B235" s="5" t="s">
        <v>10</v>
      </c>
      <c r="C235" s="5" t="s">
        <v>5864</v>
      </c>
      <c r="D235" s="7" t="s">
        <v>1009</v>
      </c>
      <c r="E235" s="7" t="s">
        <v>256</v>
      </c>
      <c r="F235" s="7" t="s">
        <v>257</v>
      </c>
      <c r="G235" s="7" t="s">
        <v>1009</v>
      </c>
      <c r="H235" s="7" t="s">
        <v>1009</v>
      </c>
      <c r="I235" s="7" t="s">
        <v>5179</v>
      </c>
      <c r="J235" s="7" t="s">
        <v>5179</v>
      </c>
      <c r="K235" s="5" t="s">
        <v>10</v>
      </c>
      <c r="L235" s="5" t="s">
        <v>10</v>
      </c>
      <c r="M235" s="5" t="s">
        <v>10</v>
      </c>
      <c r="N235" s="5" t="s">
        <v>45</v>
      </c>
      <c r="O235" s="80" t="s">
        <v>56</v>
      </c>
      <c r="P235" s="101">
        <v>46080</v>
      </c>
      <c r="Q235" s="100">
        <f t="shared" si="31"/>
        <v>46445</v>
      </c>
      <c r="R235" s="5" t="s">
        <v>2201</v>
      </c>
      <c r="S235" s="5" t="s">
        <v>4978</v>
      </c>
      <c r="T235" s="7">
        <v>6.3E-3</v>
      </c>
      <c r="U235" s="7" t="s">
        <v>10</v>
      </c>
      <c r="V235" s="7">
        <f t="shared" si="32"/>
        <v>6.3E-3</v>
      </c>
      <c r="W235" s="5" t="s">
        <v>10</v>
      </c>
      <c r="X235" s="5" t="s">
        <v>1012</v>
      </c>
      <c r="Y235" s="48" t="str">
        <f t="shared" si="33"/>
        <v>A DEFINIR</v>
      </c>
      <c r="Z235" s="7" t="s">
        <v>56</v>
      </c>
      <c r="AA235" s="5">
        <v>11599694</v>
      </c>
      <c r="AB235" s="5" t="s">
        <v>3894</v>
      </c>
      <c r="AC235" s="5" t="s">
        <v>48</v>
      </c>
      <c r="AD235" s="5" t="s">
        <v>5530</v>
      </c>
      <c r="AE235" s="5" t="str">
        <f t="shared" ca="1" si="30"/>
        <v>NO PRAZO</v>
      </c>
      <c r="AF235" s="49"/>
    </row>
    <row r="236" spans="1:32" ht="30" customHeight="1" x14ac:dyDescent="0.25">
      <c r="A236" s="5" t="s">
        <v>1020</v>
      </c>
      <c r="B236" s="5" t="s">
        <v>10</v>
      </c>
      <c r="C236" s="5" t="s">
        <v>5864</v>
      </c>
      <c r="D236" s="7" t="s">
        <v>1009</v>
      </c>
      <c r="E236" s="7" t="s">
        <v>256</v>
      </c>
      <c r="F236" s="7" t="s">
        <v>257</v>
      </c>
      <c r="G236" s="7" t="s">
        <v>1009</v>
      </c>
      <c r="H236" s="7" t="s">
        <v>1009</v>
      </c>
      <c r="I236" s="7" t="s">
        <v>1021</v>
      </c>
      <c r="J236" s="7" t="s">
        <v>1021</v>
      </c>
      <c r="K236" s="5" t="s">
        <v>10</v>
      </c>
      <c r="L236" s="5" t="s">
        <v>10</v>
      </c>
      <c r="M236" s="5" t="s">
        <v>10</v>
      </c>
      <c r="N236" s="5" t="s">
        <v>45</v>
      </c>
      <c r="O236" s="80" t="s">
        <v>56</v>
      </c>
      <c r="P236" s="101">
        <v>46002</v>
      </c>
      <c r="Q236" s="100">
        <f t="shared" si="31"/>
        <v>46367</v>
      </c>
      <c r="R236" s="5" t="s">
        <v>1879</v>
      </c>
      <c r="S236" s="5" t="s">
        <v>4329</v>
      </c>
      <c r="T236" s="7">
        <v>0.14499999999999999</v>
      </c>
      <c r="U236" s="7" t="s">
        <v>10</v>
      </c>
      <c r="V236" s="7">
        <f t="shared" si="32"/>
        <v>0.14499999999999999</v>
      </c>
      <c r="W236" s="5" t="s">
        <v>10</v>
      </c>
      <c r="X236" s="5" t="s">
        <v>330</v>
      </c>
      <c r="Y236" s="48" t="str">
        <f t="shared" si="33"/>
        <v>A DEFINIR</v>
      </c>
      <c r="Z236" s="7" t="s">
        <v>56</v>
      </c>
      <c r="AA236" s="5">
        <v>11599695</v>
      </c>
      <c r="AB236" s="5" t="s">
        <v>3895</v>
      </c>
      <c r="AC236" s="5" t="s">
        <v>48</v>
      </c>
      <c r="AD236" s="5" t="s">
        <v>5530</v>
      </c>
      <c r="AE236" s="5" t="str">
        <f t="shared" ca="1" si="30"/>
        <v>NO PRAZO</v>
      </c>
      <c r="AF236" s="51"/>
    </row>
    <row r="237" spans="1:32" ht="30" customHeight="1" x14ac:dyDescent="0.25">
      <c r="A237" s="5" t="s">
        <v>1022</v>
      </c>
      <c r="B237" s="5" t="s">
        <v>10</v>
      </c>
      <c r="C237" s="5" t="s">
        <v>5864</v>
      </c>
      <c r="D237" s="7" t="s">
        <v>1009</v>
      </c>
      <c r="E237" s="7" t="s">
        <v>256</v>
      </c>
      <c r="F237" s="7" t="s">
        <v>257</v>
      </c>
      <c r="G237" s="7" t="s">
        <v>1009</v>
      </c>
      <c r="H237" s="7" t="s">
        <v>1009</v>
      </c>
      <c r="I237" s="7" t="s">
        <v>5181</v>
      </c>
      <c r="J237" s="7" t="s">
        <v>5181</v>
      </c>
      <c r="K237" s="5" t="s">
        <v>10</v>
      </c>
      <c r="L237" s="5" t="s">
        <v>10</v>
      </c>
      <c r="M237" s="5" t="s">
        <v>10</v>
      </c>
      <c r="N237" s="5" t="s">
        <v>45</v>
      </c>
      <c r="O237" s="80" t="s">
        <v>56</v>
      </c>
      <c r="P237" s="101">
        <v>46080</v>
      </c>
      <c r="Q237" s="100">
        <f t="shared" si="31"/>
        <v>46445</v>
      </c>
      <c r="R237" s="5" t="s">
        <v>2202</v>
      </c>
      <c r="S237" s="5" t="s">
        <v>4979</v>
      </c>
      <c r="T237" s="7">
        <v>1.9300000000000001E-2</v>
      </c>
      <c r="U237" s="7" t="s">
        <v>10</v>
      </c>
      <c r="V237" s="7">
        <f t="shared" si="32"/>
        <v>1.9300000000000001E-2</v>
      </c>
      <c r="W237" s="5" t="s">
        <v>10</v>
      </c>
      <c r="X237" s="5" t="s">
        <v>1012</v>
      </c>
      <c r="Y237" s="48" t="str">
        <f t="shared" si="33"/>
        <v>A DEFINIR</v>
      </c>
      <c r="Z237" s="7" t="s">
        <v>56</v>
      </c>
      <c r="AA237" s="5">
        <v>11599696</v>
      </c>
      <c r="AB237" s="5" t="s">
        <v>3896</v>
      </c>
      <c r="AC237" s="5" t="s">
        <v>48</v>
      </c>
      <c r="AD237" s="5" t="s">
        <v>5530</v>
      </c>
      <c r="AE237" s="5" t="str">
        <f t="shared" ca="1" si="30"/>
        <v>NO PRAZO</v>
      </c>
      <c r="AF237" s="49"/>
    </row>
    <row r="238" spans="1:32" ht="30" customHeight="1" x14ac:dyDescent="0.25">
      <c r="A238" s="5" t="s">
        <v>1023</v>
      </c>
      <c r="B238" s="5" t="s">
        <v>10</v>
      </c>
      <c r="C238" s="5" t="s">
        <v>5864</v>
      </c>
      <c r="D238" s="7" t="s">
        <v>1009</v>
      </c>
      <c r="E238" s="7" t="s">
        <v>256</v>
      </c>
      <c r="F238" s="7" t="s">
        <v>257</v>
      </c>
      <c r="G238" s="7" t="s">
        <v>1009</v>
      </c>
      <c r="H238" s="7" t="s">
        <v>1009</v>
      </c>
      <c r="I238" s="7" t="s">
        <v>5182</v>
      </c>
      <c r="J238" s="7" t="s">
        <v>5182</v>
      </c>
      <c r="K238" s="5" t="s">
        <v>10</v>
      </c>
      <c r="L238" s="5" t="s">
        <v>10</v>
      </c>
      <c r="M238" s="5" t="s">
        <v>10</v>
      </c>
      <c r="N238" s="5" t="s">
        <v>45</v>
      </c>
      <c r="O238" s="80" t="s">
        <v>56</v>
      </c>
      <c r="P238" s="101">
        <v>46080</v>
      </c>
      <c r="Q238" s="100">
        <f t="shared" si="31"/>
        <v>46445</v>
      </c>
      <c r="R238" s="5" t="s">
        <v>2203</v>
      </c>
      <c r="S238" s="5" t="s">
        <v>4980</v>
      </c>
      <c r="T238" s="7">
        <v>2.0299999999999999E-2</v>
      </c>
      <c r="U238" s="7" t="s">
        <v>10</v>
      </c>
      <c r="V238" s="7">
        <f t="shared" si="32"/>
        <v>2.0299999999999999E-2</v>
      </c>
      <c r="W238" s="5" t="s">
        <v>10</v>
      </c>
      <c r="X238" s="5" t="s">
        <v>1012</v>
      </c>
      <c r="Y238" s="48" t="str">
        <f t="shared" si="33"/>
        <v>A DEFINIR</v>
      </c>
      <c r="Z238" s="7" t="s">
        <v>56</v>
      </c>
      <c r="AA238" s="5">
        <v>11599697</v>
      </c>
      <c r="AB238" s="5" t="s">
        <v>3897</v>
      </c>
      <c r="AC238" s="5" t="s">
        <v>48</v>
      </c>
      <c r="AD238" s="5" t="s">
        <v>5530</v>
      </c>
      <c r="AE238" s="5" t="str">
        <f t="shared" ca="1" si="30"/>
        <v>NO PRAZO</v>
      </c>
      <c r="AF238" s="49"/>
    </row>
    <row r="239" spans="1:32" ht="30" customHeight="1" x14ac:dyDescent="0.25">
      <c r="A239" s="5" t="s">
        <v>1025</v>
      </c>
      <c r="B239" s="5" t="s">
        <v>10</v>
      </c>
      <c r="C239" s="5" t="s">
        <v>5864</v>
      </c>
      <c r="D239" s="7" t="s">
        <v>1009</v>
      </c>
      <c r="E239" s="7" t="s">
        <v>256</v>
      </c>
      <c r="F239" s="7" t="s">
        <v>257</v>
      </c>
      <c r="G239" s="7" t="s">
        <v>1009</v>
      </c>
      <c r="H239" s="7" t="s">
        <v>1009</v>
      </c>
      <c r="I239" s="7" t="s">
        <v>1026</v>
      </c>
      <c r="J239" s="7" t="s">
        <v>1026</v>
      </c>
      <c r="K239" s="5" t="s">
        <v>10</v>
      </c>
      <c r="L239" s="5" t="s">
        <v>10</v>
      </c>
      <c r="M239" s="5" t="s">
        <v>10</v>
      </c>
      <c r="N239" s="5" t="s">
        <v>45</v>
      </c>
      <c r="O239" s="80" t="s">
        <v>56</v>
      </c>
      <c r="P239" s="101">
        <v>46002</v>
      </c>
      <c r="Q239" s="100">
        <f t="shared" si="31"/>
        <v>46367</v>
      </c>
      <c r="R239" s="5" t="s">
        <v>1869</v>
      </c>
      <c r="S239" s="5" t="s">
        <v>4330</v>
      </c>
      <c r="T239" s="7">
        <v>0.24</v>
      </c>
      <c r="U239" s="7" t="s">
        <v>10</v>
      </c>
      <c r="V239" s="7">
        <f t="shared" si="32"/>
        <v>0.24</v>
      </c>
      <c r="W239" s="5" t="s">
        <v>10</v>
      </c>
      <c r="X239" s="5" t="s">
        <v>330</v>
      </c>
      <c r="Y239" s="48" t="str">
        <f t="shared" si="33"/>
        <v>A DEFINIR</v>
      </c>
      <c r="Z239" s="7" t="s">
        <v>56</v>
      </c>
      <c r="AA239" s="5">
        <v>11599700</v>
      </c>
      <c r="AB239" s="5" t="s">
        <v>3898</v>
      </c>
      <c r="AC239" s="5" t="s">
        <v>48</v>
      </c>
      <c r="AD239" s="5" t="s">
        <v>5530</v>
      </c>
      <c r="AE239" s="5" t="str">
        <f t="shared" ca="1" si="30"/>
        <v>NO PRAZO</v>
      </c>
      <c r="AF239" s="51"/>
    </row>
    <row r="240" spans="1:32" ht="30" customHeight="1" x14ac:dyDescent="0.25">
      <c r="A240" s="5" t="s">
        <v>1027</v>
      </c>
      <c r="B240" s="5" t="s">
        <v>10</v>
      </c>
      <c r="C240" s="5" t="s">
        <v>5864</v>
      </c>
      <c r="D240" s="7" t="s">
        <v>1009</v>
      </c>
      <c r="E240" s="7" t="s">
        <v>256</v>
      </c>
      <c r="F240" s="7" t="s">
        <v>257</v>
      </c>
      <c r="G240" s="7" t="s">
        <v>1009</v>
      </c>
      <c r="H240" s="7" t="s">
        <v>1009</v>
      </c>
      <c r="I240" s="7" t="s">
        <v>1028</v>
      </c>
      <c r="J240" s="7" t="s">
        <v>1028</v>
      </c>
      <c r="K240" s="5" t="s">
        <v>10</v>
      </c>
      <c r="L240" s="5" t="s">
        <v>10</v>
      </c>
      <c r="M240" s="5" t="s">
        <v>10</v>
      </c>
      <c r="N240" s="5" t="s">
        <v>45</v>
      </c>
      <c r="O240" s="80" t="s">
        <v>56</v>
      </c>
      <c r="P240" s="101">
        <v>46002</v>
      </c>
      <c r="Q240" s="100">
        <f t="shared" si="31"/>
        <v>46367</v>
      </c>
      <c r="R240" s="5" t="s">
        <v>1863</v>
      </c>
      <c r="S240" s="5" t="s">
        <v>4331</v>
      </c>
      <c r="T240" s="7">
        <v>0.22</v>
      </c>
      <c r="U240" s="7" t="s">
        <v>10</v>
      </c>
      <c r="V240" s="7">
        <f t="shared" si="32"/>
        <v>0.22</v>
      </c>
      <c r="W240" s="5" t="s">
        <v>10</v>
      </c>
      <c r="X240" s="5" t="s">
        <v>330</v>
      </c>
      <c r="Y240" s="48" t="str">
        <f t="shared" si="33"/>
        <v>A DEFINIR</v>
      </c>
      <c r="Z240" s="7" t="s">
        <v>56</v>
      </c>
      <c r="AA240" s="5">
        <v>11599701</v>
      </c>
      <c r="AB240" s="5" t="s">
        <v>3899</v>
      </c>
      <c r="AC240" s="5" t="s">
        <v>48</v>
      </c>
      <c r="AD240" s="5" t="s">
        <v>5530</v>
      </c>
      <c r="AE240" s="5" t="str">
        <f t="shared" ca="1" si="30"/>
        <v>NO PRAZO</v>
      </c>
      <c r="AF240" s="51"/>
    </row>
    <row r="241" spans="1:32" ht="30" customHeight="1" x14ac:dyDescent="0.25">
      <c r="A241" s="5" t="s">
        <v>1029</v>
      </c>
      <c r="B241" s="5" t="s">
        <v>10</v>
      </c>
      <c r="C241" s="5" t="s">
        <v>5864</v>
      </c>
      <c r="D241" s="7" t="s">
        <v>1009</v>
      </c>
      <c r="E241" s="7" t="s">
        <v>256</v>
      </c>
      <c r="F241" s="7" t="s">
        <v>257</v>
      </c>
      <c r="G241" s="7" t="s">
        <v>1009</v>
      </c>
      <c r="H241" s="7" t="s">
        <v>1009</v>
      </c>
      <c r="I241" s="7" t="s">
        <v>5854</v>
      </c>
      <c r="J241" s="7" t="s">
        <v>5854</v>
      </c>
      <c r="K241" s="5" t="s">
        <v>10</v>
      </c>
      <c r="L241" s="5" t="s">
        <v>10</v>
      </c>
      <c r="M241" s="5" t="s">
        <v>10</v>
      </c>
      <c r="N241" s="5" t="s">
        <v>45</v>
      </c>
      <c r="O241" s="80" t="s">
        <v>56</v>
      </c>
      <c r="P241" s="101">
        <v>46002</v>
      </c>
      <c r="Q241" s="100">
        <f t="shared" si="31"/>
        <v>46367</v>
      </c>
      <c r="R241" s="7" t="s">
        <v>1870</v>
      </c>
      <c r="S241" s="7" t="s">
        <v>4332</v>
      </c>
      <c r="T241" s="7">
        <v>0.19800000000000001</v>
      </c>
      <c r="U241" s="7" t="s">
        <v>10</v>
      </c>
      <c r="V241" s="7">
        <f t="shared" si="32"/>
        <v>0.19800000000000001</v>
      </c>
      <c r="W241" s="5" t="s">
        <v>10</v>
      </c>
      <c r="X241" s="5" t="s">
        <v>330</v>
      </c>
      <c r="Y241" s="48" t="str">
        <f t="shared" si="33"/>
        <v>A DEFINIR</v>
      </c>
      <c r="Z241" s="7" t="s">
        <v>56</v>
      </c>
      <c r="AA241" s="5">
        <v>11599702</v>
      </c>
      <c r="AB241" s="5" t="s">
        <v>3900</v>
      </c>
      <c r="AC241" s="5" t="s">
        <v>48</v>
      </c>
      <c r="AD241" s="5" t="s">
        <v>5530</v>
      </c>
      <c r="AE241" s="5" t="str">
        <f t="shared" ca="1" si="30"/>
        <v>NO PRAZO</v>
      </c>
      <c r="AF241" s="51"/>
    </row>
    <row r="242" spans="1:32" ht="30" customHeight="1" x14ac:dyDescent="0.25">
      <c r="A242" s="5" t="s">
        <v>1030</v>
      </c>
      <c r="B242" s="5" t="s">
        <v>10</v>
      </c>
      <c r="C242" s="5" t="s">
        <v>5864</v>
      </c>
      <c r="D242" s="7" t="s">
        <v>1009</v>
      </c>
      <c r="E242" s="7" t="s">
        <v>256</v>
      </c>
      <c r="F242" s="7" t="s">
        <v>257</v>
      </c>
      <c r="G242" s="7" t="s">
        <v>1009</v>
      </c>
      <c r="H242" s="7" t="s">
        <v>1009</v>
      </c>
      <c r="I242" s="12" t="s">
        <v>5183</v>
      </c>
      <c r="J242" s="12" t="s">
        <v>5183</v>
      </c>
      <c r="K242" s="5" t="s">
        <v>10</v>
      </c>
      <c r="L242" s="5" t="s">
        <v>10</v>
      </c>
      <c r="M242" s="5" t="s">
        <v>10</v>
      </c>
      <c r="N242" s="5" t="s">
        <v>45</v>
      </c>
      <c r="O242" s="80" t="s">
        <v>56</v>
      </c>
      <c r="P242" s="101">
        <v>46080</v>
      </c>
      <c r="Q242" s="100">
        <f t="shared" si="31"/>
        <v>46445</v>
      </c>
      <c r="R242" s="5" t="s">
        <v>2204</v>
      </c>
      <c r="S242" s="5" t="s">
        <v>4981</v>
      </c>
      <c r="T242" s="7">
        <v>5.3E-3</v>
      </c>
      <c r="U242" s="7" t="s">
        <v>10</v>
      </c>
      <c r="V242" s="7">
        <f t="shared" si="32"/>
        <v>5.3E-3</v>
      </c>
      <c r="W242" s="5" t="s">
        <v>10</v>
      </c>
      <c r="X242" s="5" t="s">
        <v>1012</v>
      </c>
      <c r="Y242" s="48" t="str">
        <f t="shared" si="33"/>
        <v>A DEFINIR</v>
      </c>
      <c r="Z242" s="7" t="s">
        <v>56</v>
      </c>
      <c r="AA242" s="5">
        <v>11599703</v>
      </c>
      <c r="AB242" s="5" t="s">
        <v>3901</v>
      </c>
      <c r="AC242" s="5" t="s">
        <v>48</v>
      </c>
      <c r="AD242" s="5" t="s">
        <v>5530</v>
      </c>
      <c r="AE242" s="5" t="str">
        <f t="shared" ca="1" si="30"/>
        <v>NO PRAZO</v>
      </c>
      <c r="AF242" s="49"/>
    </row>
    <row r="243" spans="1:32" ht="30" customHeight="1" x14ac:dyDescent="0.25">
      <c r="A243" s="5" t="s">
        <v>1031</v>
      </c>
      <c r="B243" s="5" t="s">
        <v>10</v>
      </c>
      <c r="C243" s="5" t="s">
        <v>5864</v>
      </c>
      <c r="D243" s="7" t="s">
        <v>1009</v>
      </c>
      <c r="E243" s="7" t="s">
        <v>256</v>
      </c>
      <c r="F243" s="7" t="s">
        <v>257</v>
      </c>
      <c r="G243" s="7" t="s">
        <v>1009</v>
      </c>
      <c r="H243" s="7" t="s">
        <v>1009</v>
      </c>
      <c r="I243" s="7" t="s">
        <v>5184</v>
      </c>
      <c r="J243" s="7" t="s">
        <v>5184</v>
      </c>
      <c r="K243" s="5" t="s">
        <v>10</v>
      </c>
      <c r="L243" s="5" t="s">
        <v>10</v>
      </c>
      <c r="M243" s="5" t="s">
        <v>10</v>
      </c>
      <c r="N243" s="5" t="s">
        <v>45</v>
      </c>
      <c r="O243" s="80" t="s">
        <v>56</v>
      </c>
      <c r="P243" s="101">
        <v>46080</v>
      </c>
      <c r="Q243" s="100">
        <f t="shared" si="31"/>
        <v>46445</v>
      </c>
      <c r="R243" s="5" t="s">
        <v>2205</v>
      </c>
      <c r="S243" s="5" t="s">
        <v>4982</v>
      </c>
      <c r="T243" s="7">
        <v>7.3000000000000001E-3</v>
      </c>
      <c r="U243" s="7" t="s">
        <v>10</v>
      </c>
      <c r="V243" s="7">
        <f t="shared" si="32"/>
        <v>7.3000000000000001E-3</v>
      </c>
      <c r="W243" s="5" t="s">
        <v>10</v>
      </c>
      <c r="X243" s="5" t="s">
        <v>1012</v>
      </c>
      <c r="Y243" s="48" t="str">
        <f t="shared" si="33"/>
        <v>A DEFINIR</v>
      </c>
      <c r="Z243" s="7" t="s">
        <v>56</v>
      </c>
      <c r="AA243" s="5">
        <v>11599704</v>
      </c>
      <c r="AB243" s="5" t="s">
        <v>3902</v>
      </c>
      <c r="AC243" s="5" t="s">
        <v>48</v>
      </c>
      <c r="AD243" s="5" t="s">
        <v>5530</v>
      </c>
      <c r="AE243" s="5" t="str">
        <f t="shared" ca="1" si="30"/>
        <v>NO PRAZO</v>
      </c>
      <c r="AF243" s="49"/>
    </row>
    <row r="244" spans="1:32" ht="30" customHeight="1" x14ac:dyDescent="0.25">
      <c r="A244" s="5" t="s">
        <v>1032</v>
      </c>
      <c r="B244" s="5" t="s">
        <v>10</v>
      </c>
      <c r="C244" s="5" t="s">
        <v>5864</v>
      </c>
      <c r="D244" s="7" t="s">
        <v>1009</v>
      </c>
      <c r="E244" s="7" t="s">
        <v>256</v>
      </c>
      <c r="F244" s="7" t="s">
        <v>257</v>
      </c>
      <c r="G244" s="7" t="s">
        <v>1009</v>
      </c>
      <c r="H244" s="7" t="s">
        <v>1009</v>
      </c>
      <c r="I244" s="7" t="s">
        <v>1033</v>
      </c>
      <c r="J244" s="7" t="s">
        <v>1033</v>
      </c>
      <c r="K244" s="5" t="s">
        <v>10</v>
      </c>
      <c r="L244" s="5" t="s">
        <v>10</v>
      </c>
      <c r="M244" s="5" t="s">
        <v>10</v>
      </c>
      <c r="N244" s="5" t="s">
        <v>45</v>
      </c>
      <c r="O244" s="80" t="s">
        <v>56</v>
      </c>
      <c r="P244" s="101">
        <v>46002</v>
      </c>
      <c r="Q244" s="100">
        <f t="shared" si="31"/>
        <v>46367</v>
      </c>
      <c r="R244" s="7" t="s">
        <v>1871</v>
      </c>
      <c r="S244" s="7" t="s">
        <v>4333</v>
      </c>
      <c r="T244" s="7">
        <v>0.33500000000000002</v>
      </c>
      <c r="U244" s="7" t="s">
        <v>10</v>
      </c>
      <c r="V244" s="7">
        <f t="shared" si="32"/>
        <v>0.33500000000000002</v>
      </c>
      <c r="W244" s="5" t="s">
        <v>10</v>
      </c>
      <c r="X244" s="5" t="s">
        <v>330</v>
      </c>
      <c r="Y244" s="48" t="str">
        <f t="shared" si="33"/>
        <v>A DEFINIR</v>
      </c>
      <c r="Z244" s="7" t="s">
        <v>56</v>
      </c>
      <c r="AA244" s="5">
        <v>11599705</v>
      </c>
      <c r="AB244" s="5" t="s">
        <v>3903</v>
      </c>
      <c r="AC244" s="5" t="s">
        <v>48</v>
      </c>
      <c r="AD244" s="5" t="s">
        <v>5530</v>
      </c>
      <c r="AE244" s="5" t="str">
        <f t="shared" ca="1" si="30"/>
        <v>NO PRAZO</v>
      </c>
      <c r="AF244" s="51"/>
    </row>
    <row r="245" spans="1:32" ht="30" customHeight="1" x14ac:dyDescent="0.25">
      <c r="A245" s="5" t="s">
        <v>1034</v>
      </c>
      <c r="B245" s="5" t="s">
        <v>10</v>
      </c>
      <c r="C245" s="5" t="s">
        <v>5864</v>
      </c>
      <c r="D245" s="7" t="s">
        <v>1009</v>
      </c>
      <c r="E245" s="7" t="s">
        <v>256</v>
      </c>
      <c r="F245" s="7" t="s">
        <v>257</v>
      </c>
      <c r="G245" s="7" t="s">
        <v>1009</v>
      </c>
      <c r="H245" s="7" t="s">
        <v>1009</v>
      </c>
      <c r="I245" s="7" t="s">
        <v>1035</v>
      </c>
      <c r="J245" s="7" t="s">
        <v>1035</v>
      </c>
      <c r="K245" s="5" t="s">
        <v>10</v>
      </c>
      <c r="L245" s="5" t="s">
        <v>10</v>
      </c>
      <c r="M245" s="5" t="s">
        <v>10</v>
      </c>
      <c r="N245" s="5" t="s">
        <v>45</v>
      </c>
      <c r="O245" s="80" t="s">
        <v>56</v>
      </c>
      <c r="P245" s="101">
        <v>46002</v>
      </c>
      <c r="Q245" s="100">
        <f t="shared" si="31"/>
        <v>46367</v>
      </c>
      <c r="R245" s="5" t="s">
        <v>1872</v>
      </c>
      <c r="S245" s="5" t="s">
        <v>4334</v>
      </c>
      <c r="T245" s="7">
        <v>0.10299999999999999</v>
      </c>
      <c r="U245" s="7" t="s">
        <v>10</v>
      </c>
      <c r="V245" s="7">
        <f t="shared" si="32"/>
        <v>0.10299999999999999</v>
      </c>
      <c r="W245" s="5" t="s">
        <v>10</v>
      </c>
      <c r="X245" s="5" t="s">
        <v>330</v>
      </c>
      <c r="Y245" s="48" t="str">
        <f t="shared" si="33"/>
        <v>A DEFINIR</v>
      </c>
      <c r="Z245" s="7" t="s">
        <v>56</v>
      </c>
      <c r="AA245" s="5">
        <v>11599706</v>
      </c>
      <c r="AB245" s="5" t="s">
        <v>3904</v>
      </c>
      <c r="AC245" s="5" t="s">
        <v>48</v>
      </c>
      <c r="AD245" s="5" t="s">
        <v>5530</v>
      </c>
      <c r="AE245" s="5" t="str">
        <f t="shared" ca="1" si="30"/>
        <v>NO PRAZO</v>
      </c>
      <c r="AF245" s="51"/>
    </row>
    <row r="246" spans="1:32" ht="30" customHeight="1" x14ac:dyDescent="0.25">
      <c r="A246" s="5" t="s">
        <v>1036</v>
      </c>
      <c r="B246" s="5" t="s">
        <v>10</v>
      </c>
      <c r="C246" s="5" t="s">
        <v>5864</v>
      </c>
      <c r="D246" s="7" t="s">
        <v>1009</v>
      </c>
      <c r="E246" s="7" t="s">
        <v>256</v>
      </c>
      <c r="F246" s="7" t="s">
        <v>257</v>
      </c>
      <c r="G246" s="7" t="s">
        <v>1009</v>
      </c>
      <c r="H246" s="7" t="s">
        <v>1009</v>
      </c>
      <c r="I246" s="7" t="s">
        <v>1037</v>
      </c>
      <c r="J246" s="7" t="s">
        <v>1037</v>
      </c>
      <c r="K246" s="5" t="s">
        <v>10</v>
      </c>
      <c r="L246" s="5" t="s">
        <v>10</v>
      </c>
      <c r="M246" s="5" t="s">
        <v>10</v>
      </c>
      <c r="N246" s="5" t="s">
        <v>45</v>
      </c>
      <c r="O246" s="80" t="s">
        <v>56</v>
      </c>
      <c r="P246" s="101">
        <v>46002</v>
      </c>
      <c r="Q246" s="100">
        <f t="shared" si="31"/>
        <v>46367</v>
      </c>
      <c r="R246" s="5" t="s">
        <v>1874</v>
      </c>
      <c r="S246" s="5" t="s">
        <v>4335</v>
      </c>
      <c r="T246" s="7">
        <v>0.12</v>
      </c>
      <c r="U246" s="7" t="s">
        <v>10</v>
      </c>
      <c r="V246" s="7">
        <f t="shared" si="32"/>
        <v>0.12</v>
      </c>
      <c r="W246" s="5" t="s">
        <v>10</v>
      </c>
      <c r="X246" s="5" t="s">
        <v>330</v>
      </c>
      <c r="Y246" s="48" t="str">
        <f t="shared" si="33"/>
        <v>A DEFINIR</v>
      </c>
      <c r="Z246" s="7" t="s">
        <v>56</v>
      </c>
      <c r="AA246" s="5">
        <v>11599707</v>
      </c>
      <c r="AB246" s="5" t="s">
        <v>3905</v>
      </c>
      <c r="AC246" s="5" t="s">
        <v>48</v>
      </c>
      <c r="AD246" s="5" t="s">
        <v>5530</v>
      </c>
      <c r="AE246" s="5" t="str">
        <f t="shared" ca="1" si="30"/>
        <v>NO PRAZO</v>
      </c>
      <c r="AF246" s="51"/>
    </row>
    <row r="247" spans="1:32" ht="30" customHeight="1" x14ac:dyDescent="0.25">
      <c r="A247" s="5" t="s">
        <v>1038</v>
      </c>
      <c r="B247" s="5" t="s">
        <v>10</v>
      </c>
      <c r="C247" s="5" t="s">
        <v>5864</v>
      </c>
      <c r="D247" s="7" t="s">
        <v>1009</v>
      </c>
      <c r="E247" s="7" t="s">
        <v>256</v>
      </c>
      <c r="F247" s="7" t="s">
        <v>257</v>
      </c>
      <c r="G247" s="7" t="s">
        <v>1009</v>
      </c>
      <c r="H247" s="7" t="s">
        <v>1009</v>
      </c>
      <c r="I247" s="7" t="s">
        <v>1037</v>
      </c>
      <c r="J247" s="7" t="s">
        <v>1037</v>
      </c>
      <c r="K247" s="5" t="s">
        <v>10</v>
      </c>
      <c r="L247" s="5" t="s">
        <v>10</v>
      </c>
      <c r="M247" s="5" t="s">
        <v>10</v>
      </c>
      <c r="N247" s="5" t="s">
        <v>45</v>
      </c>
      <c r="O247" s="80" t="s">
        <v>56</v>
      </c>
      <c r="P247" s="101">
        <v>46002</v>
      </c>
      <c r="Q247" s="100">
        <f t="shared" si="31"/>
        <v>46367</v>
      </c>
      <c r="R247" s="5" t="s">
        <v>1873</v>
      </c>
      <c r="S247" s="5" t="s">
        <v>4336</v>
      </c>
      <c r="T247" s="7">
        <v>0.25</v>
      </c>
      <c r="U247" s="7" t="s">
        <v>10</v>
      </c>
      <c r="V247" s="7">
        <f t="shared" si="32"/>
        <v>0.25</v>
      </c>
      <c r="W247" s="5" t="s">
        <v>10</v>
      </c>
      <c r="X247" s="5" t="s">
        <v>330</v>
      </c>
      <c r="Y247" s="48" t="str">
        <f t="shared" si="33"/>
        <v>A DEFINIR</v>
      </c>
      <c r="Z247" s="7" t="s">
        <v>56</v>
      </c>
      <c r="AA247" s="5">
        <v>11599708</v>
      </c>
      <c r="AB247" s="5" t="s">
        <v>3906</v>
      </c>
      <c r="AC247" s="5" t="s">
        <v>48</v>
      </c>
      <c r="AD247" s="5" t="s">
        <v>5530</v>
      </c>
      <c r="AE247" s="5" t="str">
        <f t="shared" ca="1" si="30"/>
        <v>NO PRAZO</v>
      </c>
      <c r="AF247" s="51"/>
    </row>
    <row r="248" spans="1:32" ht="30" customHeight="1" x14ac:dyDescent="0.25">
      <c r="A248" s="5" t="s">
        <v>1039</v>
      </c>
      <c r="B248" s="5" t="s">
        <v>10</v>
      </c>
      <c r="C248" s="5" t="s">
        <v>5864</v>
      </c>
      <c r="D248" s="7" t="s">
        <v>1009</v>
      </c>
      <c r="E248" s="7" t="s">
        <v>256</v>
      </c>
      <c r="F248" s="7" t="s">
        <v>257</v>
      </c>
      <c r="G248" s="7" t="s">
        <v>1009</v>
      </c>
      <c r="H248" s="7" t="s">
        <v>1009</v>
      </c>
      <c r="I248" s="12" t="s">
        <v>1026</v>
      </c>
      <c r="J248" s="12" t="s">
        <v>1026</v>
      </c>
      <c r="K248" s="5" t="s">
        <v>10</v>
      </c>
      <c r="L248" s="5" t="s">
        <v>10</v>
      </c>
      <c r="M248" s="5" t="s">
        <v>10</v>
      </c>
      <c r="N248" s="5" t="s">
        <v>45</v>
      </c>
      <c r="O248" s="80" t="s">
        <v>56</v>
      </c>
      <c r="P248" s="101">
        <v>46002</v>
      </c>
      <c r="Q248" s="100">
        <f t="shared" si="31"/>
        <v>46367</v>
      </c>
      <c r="R248" s="7" t="s">
        <v>1875</v>
      </c>
      <c r="S248" s="7" t="s">
        <v>4337</v>
      </c>
      <c r="T248" s="7">
        <v>0.33</v>
      </c>
      <c r="U248" s="7" t="s">
        <v>10</v>
      </c>
      <c r="V248" s="7">
        <f t="shared" si="32"/>
        <v>0.33</v>
      </c>
      <c r="W248" s="5" t="s">
        <v>10</v>
      </c>
      <c r="X248" s="5" t="s">
        <v>330</v>
      </c>
      <c r="Y248" s="48" t="str">
        <f t="shared" si="33"/>
        <v>A DEFINIR</v>
      </c>
      <c r="Z248" s="7" t="s">
        <v>56</v>
      </c>
      <c r="AA248" s="5">
        <v>11599709</v>
      </c>
      <c r="AB248" s="5" t="s">
        <v>3907</v>
      </c>
      <c r="AC248" s="5" t="s">
        <v>48</v>
      </c>
      <c r="AD248" s="5" t="s">
        <v>5530</v>
      </c>
      <c r="AE248" s="5" t="str">
        <f t="shared" ref="AE248:AE315" ca="1" si="34">IFERROR(IF(OR(AND(YEAR(Q248)=YEAR(TODAY()),MONTH(Q248)&gt;MONTH(TODAY())),(YEAR(Q248)&gt;YEAR(TODAY()))),$AK$4,IF(AND(YEAR(Q248)=YEAR(TODAY()),MONTH(Q248)=MONTH(TODAY())),$AK$5,IF(Q248="",$AK$6,$AK$7))),"-")</f>
        <v>NO PRAZO</v>
      </c>
      <c r="AF248" s="51"/>
    </row>
    <row r="249" spans="1:32" ht="30" customHeight="1" x14ac:dyDescent="0.25">
      <c r="A249" s="5" t="s">
        <v>1040</v>
      </c>
      <c r="B249" s="5" t="s">
        <v>10</v>
      </c>
      <c r="C249" s="5" t="s">
        <v>5864</v>
      </c>
      <c r="D249" s="7" t="s">
        <v>1009</v>
      </c>
      <c r="E249" s="7" t="s">
        <v>256</v>
      </c>
      <c r="F249" s="7" t="s">
        <v>257</v>
      </c>
      <c r="G249" s="7" t="s">
        <v>1009</v>
      </c>
      <c r="H249" s="7" t="s">
        <v>1009</v>
      </c>
      <c r="I249" s="7" t="s">
        <v>4394</v>
      </c>
      <c r="J249" s="7" t="s">
        <v>4394</v>
      </c>
      <c r="K249" s="5" t="s">
        <v>10</v>
      </c>
      <c r="L249" s="5" t="s">
        <v>10</v>
      </c>
      <c r="M249" s="5" t="s">
        <v>10</v>
      </c>
      <c r="N249" s="5" t="s">
        <v>45</v>
      </c>
      <c r="O249" s="80" t="s">
        <v>56</v>
      </c>
      <c r="P249" s="101">
        <v>46002</v>
      </c>
      <c r="Q249" s="100">
        <f t="shared" si="31"/>
        <v>46367</v>
      </c>
      <c r="R249" s="5" t="s">
        <v>1876</v>
      </c>
      <c r="S249" s="5" t="s">
        <v>4338</v>
      </c>
      <c r="T249" s="7">
        <v>0.39</v>
      </c>
      <c r="U249" s="7" t="s">
        <v>10</v>
      </c>
      <c r="V249" s="7">
        <f t="shared" si="32"/>
        <v>0.39</v>
      </c>
      <c r="W249" s="5" t="s">
        <v>10</v>
      </c>
      <c r="X249" s="5" t="s">
        <v>330</v>
      </c>
      <c r="Y249" s="48" t="str">
        <f t="shared" si="33"/>
        <v>A DEFINIR</v>
      </c>
      <c r="Z249" s="7" t="s">
        <v>56</v>
      </c>
      <c r="AA249" s="5">
        <v>11599710</v>
      </c>
      <c r="AB249" s="5" t="s">
        <v>3908</v>
      </c>
      <c r="AC249" s="5" t="s">
        <v>48</v>
      </c>
      <c r="AD249" s="5" t="s">
        <v>5530</v>
      </c>
      <c r="AE249" s="5" t="str">
        <f t="shared" ca="1" si="34"/>
        <v>NO PRAZO</v>
      </c>
      <c r="AF249" s="51"/>
    </row>
    <row r="250" spans="1:32" ht="30" customHeight="1" x14ac:dyDescent="0.25">
      <c r="A250" s="5" t="s">
        <v>4317</v>
      </c>
      <c r="B250" s="5" t="s">
        <v>10</v>
      </c>
      <c r="C250" s="5" t="s">
        <v>5864</v>
      </c>
      <c r="D250" s="7" t="s">
        <v>1009</v>
      </c>
      <c r="E250" s="7" t="s">
        <v>256</v>
      </c>
      <c r="F250" s="7" t="s">
        <v>257</v>
      </c>
      <c r="G250" s="7" t="s">
        <v>1009</v>
      </c>
      <c r="H250" s="7" t="s">
        <v>1009</v>
      </c>
      <c r="I250" s="7" t="s">
        <v>4318</v>
      </c>
      <c r="J250" s="7" t="s">
        <v>4318</v>
      </c>
      <c r="K250" s="5" t="s">
        <v>10</v>
      </c>
      <c r="L250" s="5" t="s">
        <v>10</v>
      </c>
      <c r="M250" s="5" t="s">
        <v>10</v>
      </c>
      <c r="N250" s="5" t="s">
        <v>45</v>
      </c>
      <c r="O250" s="80" t="s">
        <v>56</v>
      </c>
      <c r="P250" s="101">
        <v>46002</v>
      </c>
      <c r="Q250" s="100">
        <f t="shared" si="31"/>
        <v>46367</v>
      </c>
      <c r="R250" s="5" t="s">
        <v>4319</v>
      </c>
      <c r="S250" s="5" t="s">
        <v>4320</v>
      </c>
      <c r="T250" s="7">
        <v>0.26200000000000001</v>
      </c>
      <c r="U250" s="7" t="s">
        <v>10</v>
      </c>
      <c r="V250" s="7">
        <f t="shared" si="32"/>
        <v>0.26200000000000001</v>
      </c>
      <c r="W250" s="5" t="s">
        <v>10</v>
      </c>
      <c r="X250" s="5" t="s">
        <v>330</v>
      </c>
      <c r="Y250" s="48" t="str">
        <f t="shared" si="33"/>
        <v>A DEFINIR</v>
      </c>
      <c r="Z250" s="7" t="s">
        <v>56</v>
      </c>
      <c r="AA250" s="5">
        <v>11607339</v>
      </c>
      <c r="AB250" s="5" t="s">
        <v>4548</v>
      </c>
      <c r="AC250" s="5" t="s">
        <v>48</v>
      </c>
      <c r="AD250" s="5" t="s">
        <v>5530</v>
      </c>
      <c r="AE250" s="5" t="str">
        <f t="shared" ca="1" si="34"/>
        <v>NO PRAZO</v>
      </c>
      <c r="AF250" s="51"/>
    </row>
    <row r="251" spans="1:32" ht="30" customHeight="1" x14ac:dyDescent="0.25">
      <c r="A251" s="5" t="s">
        <v>1041</v>
      </c>
      <c r="B251" s="5" t="s">
        <v>10</v>
      </c>
      <c r="C251" s="5" t="s">
        <v>5864</v>
      </c>
      <c r="D251" s="7" t="s">
        <v>1009</v>
      </c>
      <c r="E251" s="7" t="s">
        <v>256</v>
      </c>
      <c r="F251" s="7" t="s">
        <v>257</v>
      </c>
      <c r="G251" s="7" t="s">
        <v>1009</v>
      </c>
      <c r="H251" s="7" t="s">
        <v>1009</v>
      </c>
      <c r="I251" s="7" t="s">
        <v>1042</v>
      </c>
      <c r="J251" s="7" t="s">
        <v>1042</v>
      </c>
      <c r="K251" s="5" t="s">
        <v>10</v>
      </c>
      <c r="L251" s="5" t="s">
        <v>10</v>
      </c>
      <c r="M251" s="5" t="s">
        <v>10</v>
      </c>
      <c r="N251" s="5" t="s">
        <v>45</v>
      </c>
      <c r="O251" s="80" t="s">
        <v>56</v>
      </c>
      <c r="P251" s="101">
        <v>45918</v>
      </c>
      <c r="Q251" s="100">
        <f t="shared" si="31"/>
        <v>46283</v>
      </c>
      <c r="R251" s="5" t="s">
        <v>1043</v>
      </c>
      <c r="S251" s="5" t="s">
        <v>3380</v>
      </c>
      <c r="T251" s="7">
        <v>3.4000000000000002E-2</v>
      </c>
      <c r="U251" s="7" t="s">
        <v>10</v>
      </c>
      <c r="V251" s="7">
        <f t="shared" si="32"/>
        <v>3.4000000000000002E-2</v>
      </c>
      <c r="W251" s="5" t="s">
        <v>10</v>
      </c>
      <c r="X251" s="5" t="s">
        <v>330</v>
      </c>
      <c r="Y251" s="48" t="str">
        <f t="shared" si="33"/>
        <v>A DEFINIR</v>
      </c>
      <c r="Z251" s="7" t="s">
        <v>56</v>
      </c>
      <c r="AA251" s="5">
        <v>11538787</v>
      </c>
      <c r="AB251" s="5" t="s">
        <v>3298</v>
      </c>
      <c r="AC251" s="5" t="s">
        <v>48</v>
      </c>
      <c r="AD251" s="5" t="s">
        <v>5530</v>
      </c>
      <c r="AE251" s="5" t="str">
        <f t="shared" ca="1" si="34"/>
        <v>NO PRAZO</v>
      </c>
      <c r="AF251" s="49"/>
    </row>
    <row r="252" spans="1:32" ht="30" customHeight="1" x14ac:dyDescent="0.25">
      <c r="A252" s="5" t="s">
        <v>1044</v>
      </c>
      <c r="B252" s="5" t="s">
        <v>10</v>
      </c>
      <c r="C252" s="5" t="s">
        <v>5864</v>
      </c>
      <c r="D252" s="7" t="s">
        <v>1009</v>
      </c>
      <c r="E252" s="7" t="s">
        <v>256</v>
      </c>
      <c r="F252" s="7" t="s">
        <v>257</v>
      </c>
      <c r="G252" s="7" t="s">
        <v>1009</v>
      </c>
      <c r="H252" s="7" t="s">
        <v>1009</v>
      </c>
      <c r="I252" s="12" t="s">
        <v>1045</v>
      </c>
      <c r="J252" s="12" t="s">
        <v>1045</v>
      </c>
      <c r="K252" s="5" t="s">
        <v>10</v>
      </c>
      <c r="L252" s="5" t="s">
        <v>45</v>
      </c>
      <c r="M252" s="5" t="s">
        <v>10</v>
      </c>
      <c r="N252" s="5" t="s">
        <v>10</v>
      </c>
      <c r="O252" s="46" t="s">
        <v>46</v>
      </c>
      <c r="P252" s="101">
        <v>46132</v>
      </c>
      <c r="Q252" s="100">
        <f t="shared" si="31"/>
        <v>46497</v>
      </c>
      <c r="R252" s="5" t="s">
        <v>2121</v>
      </c>
      <c r="S252" s="5" t="s">
        <v>5326</v>
      </c>
      <c r="T252" s="7">
        <v>0.13700000000000001</v>
      </c>
      <c r="U252" s="7"/>
      <c r="V252" s="7">
        <f t="shared" si="32"/>
        <v>0.13700000000000001</v>
      </c>
      <c r="W252" s="5" t="s">
        <v>10</v>
      </c>
      <c r="X252" s="5" t="s">
        <v>330</v>
      </c>
      <c r="Y252" s="48" t="str">
        <f t="shared" si="33"/>
        <v>A DEFINIR</v>
      </c>
      <c r="Z252" s="7" t="s">
        <v>56</v>
      </c>
      <c r="AA252" s="5">
        <v>11599758</v>
      </c>
      <c r="AB252" s="5" t="s">
        <v>2782</v>
      </c>
      <c r="AC252" s="5" t="s">
        <v>48</v>
      </c>
      <c r="AD252" s="5" t="s">
        <v>5530</v>
      </c>
      <c r="AE252" s="5" t="str">
        <f t="shared" ca="1" si="34"/>
        <v>NO PRAZO</v>
      </c>
      <c r="AF252" s="49"/>
    </row>
    <row r="253" spans="1:32" ht="30" customHeight="1" x14ac:dyDescent="0.25">
      <c r="A253" s="5" t="s">
        <v>1046</v>
      </c>
      <c r="B253" s="5" t="s">
        <v>10</v>
      </c>
      <c r="C253" s="5" t="s">
        <v>5864</v>
      </c>
      <c r="D253" s="7" t="s">
        <v>1009</v>
      </c>
      <c r="E253" s="7" t="s">
        <v>256</v>
      </c>
      <c r="F253" s="7" t="s">
        <v>257</v>
      </c>
      <c r="G253" s="7" t="s">
        <v>1009</v>
      </c>
      <c r="H253" s="7" t="s">
        <v>1009</v>
      </c>
      <c r="I253" s="7" t="s">
        <v>1047</v>
      </c>
      <c r="J253" s="7" t="s">
        <v>1047</v>
      </c>
      <c r="K253" s="5" t="s">
        <v>10</v>
      </c>
      <c r="L253" s="5" t="s">
        <v>45</v>
      </c>
      <c r="M253" s="5" t="s">
        <v>10</v>
      </c>
      <c r="N253" s="5" t="s">
        <v>10</v>
      </c>
      <c r="O253" s="46" t="s">
        <v>46</v>
      </c>
      <c r="P253" s="101">
        <v>46002</v>
      </c>
      <c r="Q253" s="100">
        <f t="shared" si="31"/>
        <v>46367</v>
      </c>
      <c r="R253" s="5" t="s">
        <v>1865</v>
      </c>
      <c r="S253" s="5" t="s">
        <v>4339</v>
      </c>
      <c r="T253" s="7">
        <v>0.1</v>
      </c>
      <c r="U253" s="7" t="s">
        <v>10</v>
      </c>
      <c r="V253" s="7">
        <f t="shared" si="32"/>
        <v>0.1</v>
      </c>
      <c r="W253" s="5" t="s">
        <v>10</v>
      </c>
      <c r="X253" s="5" t="s">
        <v>330</v>
      </c>
      <c r="Y253" s="48" t="str">
        <f t="shared" si="33"/>
        <v>A DEFINIR</v>
      </c>
      <c r="Z253" s="7" t="s">
        <v>56</v>
      </c>
      <c r="AA253" s="5">
        <v>11599759</v>
      </c>
      <c r="AB253" s="5" t="s">
        <v>3909</v>
      </c>
      <c r="AC253" s="5" t="s">
        <v>48</v>
      </c>
      <c r="AD253" s="5" t="s">
        <v>5530</v>
      </c>
      <c r="AE253" s="5" t="str">
        <f t="shared" ca="1" si="34"/>
        <v>NO PRAZO</v>
      </c>
      <c r="AF253" s="51"/>
    </row>
    <row r="254" spans="1:32" ht="30" customHeight="1" x14ac:dyDescent="0.25">
      <c r="A254" s="5" t="s">
        <v>1048</v>
      </c>
      <c r="B254" s="5" t="s">
        <v>10</v>
      </c>
      <c r="C254" s="5" t="s">
        <v>5864</v>
      </c>
      <c r="D254" s="7" t="s">
        <v>1009</v>
      </c>
      <c r="E254" s="7" t="s">
        <v>256</v>
      </c>
      <c r="F254" s="7" t="s">
        <v>257</v>
      </c>
      <c r="G254" s="7" t="s">
        <v>1009</v>
      </c>
      <c r="H254" s="7" t="s">
        <v>1009</v>
      </c>
      <c r="I254" s="7" t="s">
        <v>1049</v>
      </c>
      <c r="J254" s="7" t="s">
        <v>1049</v>
      </c>
      <c r="K254" s="5" t="s">
        <v>10</v>
      </c>
      <c r="L254" s="5" t="s">
        <v>45</v>
      </c>
      <c r="M254" s="5" t="s">
        <v>10</v>
      </c>
      <c r="N254" s="5" t="s">
        <v>10</v>
      </c>
      <c r="O254" s="46" t="s">
        <v>46</v>
      </c>
      <c r="P254" s="101">
        <v>46132</v>
      </c>
      <c r="Q254" s="100">
        <f t="shared" si="31"/>
        <v>46497</v>
      </c>
      <c r="R254" s="5" t="s">
        <v>2122</v>
      </c>
      <c r="S254" s="5" t="s">
        <v>5327</v>
      </c>
      <c r="T254" s="7">
        <v>4.7E-2</v>
      </c>
      <c r="U254" s="7" t="s">
        <v>10</v>
      </c>
      <c r="V254" s="7">
        <f t="shared" si="32"/>
        <v>4.7E-2</v>
      </c>
      <c r="W254" s="5" t="s">
        <v>10</v>
      </c>
      <c r="X254" s="5" t="s">
        <v>330</v>
      </c>
      <c r="Y254" s="48" t="str">
        <f t="shared" si="33"/>
        <v>A DEFINIR</v>
      </c>
      <c r="Z254" s="7" t="s">
        <v>56</v>
      </c>
      <c r="AA254" s="5">
        <v>11599803</v>
      </c>
      <c r="AB254" s="5" t="s">
        <v>2783</v>
      </c>
      <c r="AC254" s="5" t="s">
        <v>48</v>
      </c>
      <c r="AD254" s="5" t="s">
        <v>5530</v>
      </c>
      <c r="AE254" s="5" t="str">
        <f t="shared" ca="1" si="34"/>
        <v>NO PRAZO</v>
      </c>
      <c r="AF254" s="49"/>
    </row>
    <row r="255" spans="1:32" ht="30" customHeight="1" x14ac:dyDescent="0.25">
      <c r="A255" s="5" t="s">
        <v>4321</v>
      </c>
      <c r="B255" s="5" t="s">
        <v>10</v>
      </c>
      <c r="C255" s="5" t="s">
        <v>5864</v>
      </c>
      <c r="D255" s="7" t="s">
        <v>1009</v>
      </c>
      <c r="E255" s="7" t="s">
        <v>256</v>
      </c>
      <c r="F255" s="7" t="s">
        <v>257</v>
      </c>
      <c r="G255" s="7" t="s">
        <v>1009</v>
      </c>
      <c r="H255" s="7" t="s">
        <v>1009</v>
      </c>
      <c r="I255" s="7" t="s">
        <v>4322</v>
      </c>
      <c r="J255" s="7" t="s">
        <v>4322</v>
      </c>
      <c r="K255" s="5" t="s">
        <v>10</v>
      </c>
      <c r="L255" s="5" t="s">
        <v>45</v>
      </c>
      <c r="M255" s="5" t="s">
        <v>10</v>
      </c>
      <c r="N255" s="5" t="s">
        <v>10</v>
      </c>
      <c r="O255" s="46" t="s">
        <v>46</v>
      </c>
      <c r="P255" s="101">
        <v>46002</v>
      </c>
      <c r="Q255" s="100">
        <f t="shared" si="31"/>
        <v>46367</v>
      </c>
      <c r="R255" s="5" t="s">
        <v>1862</v>
      </c>
      <c r="S255" s="5" t="s">
        <v>4340</v>
      </c>
      <c r="T255" s="7">
        <v>0.184</v>
      </c>
      <c r="U255" s="7" t="s">
        <v>10</v>
      </c>
      <c r="V255" s="7">
        <f t="shared" si="32"/>
        <v>0.184</v>
      </c>
      <c r="W255" s="5" t="s">
        <v>10</v>
      </c>
      <c r="X255" s="5" t="s">
        <v>330</v>
      </c>
      <c r="Y255" s="48" t="str">
        <f t="shared" si="33"/>
        <v>A DEFINIR</v>
      </c>
      <c r="Z255" s="7" t="s">
        <v>56</v>
      </c>
      <c r="AA255" s="5">
        <v>11599804</v>
      </c>
      <c r="AB255" s="5" t="s">
        <v>4549</v>
      </c>
      <c r="AC255" s="5" t="s">
        <v>48</v>
      </c>
      <c r="AD255" s="5" t="s">
        <v>5530</v>
      </c>
      <c r="AE255" s="5" t="str">
        <f t="shared" ca="1" si="34"/>
        <v>NO PRAZO</v>
      </c>
      <c r="AF255" s="51"/>
    </row>
    <row r="256" spans="1:32" ht="30" customHeight="1" x14ac:dyDescent="0.25">
      <c r="A256" s="5" t="s">
        <v>1050</v>
      </c>
      <c r="B256" s="5" t="s">
        <v>10</v>
      </c>
      <c r="C256" s="5" t="s">
        <v>5864</v>
      </c>
      <c r="D256" s="7" t="s">
        <v>1009</v>
      </c>
      <c r="E256" s="7" t="s">
        <v>256</v>
      </c>
      <c r="F256" s="7" t="s">
        <v>257</v>
      </c>
      <c r="G256" s="7" t="s">
        <v>1009</v>
      </c>
      <c r="H256" s="7" t="s">
        <v>1009</v>
      </c>
      <c r="I256" s="7" t="s">
        <v>1051</v>
      </c>
      <c r="J256" s="7" t="s">
        <v>1051</v>
      </c>
      <c r="K256" s="5" t="s">
        <v>10</v>
      </c>
      <c r="L256" s="5" t="s">
        <v>45</v>
      </c>
      <c r="M256" s="5" t="s">
        <v>10</v>
      </c>
      <c r="N256" s="5" t="s">
        <v>10</v>
      </c>
      <c r="O256" s="46" t="s">
        <v>46</v>
      </c>
      <c r="P256" s="101">
        <v>46132</v>
      </c>
      <c r="Q256" s="100">
        <f t="shared" si="31"/>
        <v>46497</v>
      </c>
      <c r="R256" s="5" t="s">
        <v>2123</v>
      </c>
      <c r="S256" s="5" t="s">
        <v>5328</v>
      </c>
      <c r="T256" s="7">
        <v>2.9000000000000001E-2</v>
      </c>
      <c r="U256" s="7" t="s">
        <v>10</v>
      </c>
      <c r="V256" s="7">
        <f t="shared" si="32"/>
        <v>2.9000000000000001E-2</v>
      </c>
      <c r="W256" s="5" t="s">
        <v>10</v>
      </c>
      <c r="X256" s="5" t="s">
        <v>330</v>
      </c>
      <c r="Y256" s="48" t="str">
        <f t="shared" si="33"/>
        <v>A DEFINIR</v>
      </c>
      <c r="Z256" s="7" t="s">
        <v>56</v>
      </c>
      <c r="AA256" s="5">
        <v>11599805</v>
      </c>
      <c r="AB256" s="5" t="s">
        <v>2784</v>
      </c>
      <c r="AC256" s="5" t="s">
        <v>48</v>
      </c>
      <c r="AD256" s="5" t="s">
        <v>5530</v>
      </c>
      <c r="AE256" s="5" t="str">
        <f t="shared" ca="1" si="34"/>
        <v>NO PRAZO</v>
      </c>
      <c r="AF256" s="49"/>
    </row>
    <row r="257" spans="1:32" ht="30" customHeight="1" x14ac:dyDescent="0.25">
      <c r="A257" s="5" t="s">
        <v>1052</v>
      </c>
      <c r="B257" s="5" t="s">
        <v>10</v>
      </c>
      <c r="C257" s="5" t="s">
        <v>5864</v>
      </c>
      <c r="D257" s="7" t="s">
        <v>1009</v>
      </c>
      <c r="E257" s="7" t="s">
        <v>256</v>
      </c>
      <c r="F257" s="7" t="s">
        <v>257</v>
      </c>
      <c r="G257" s="7" t="s">
        <v>1009</v>
      </c>
      <c r="H257" s="7" t="s">
        <v>1009</v>
      </c>
      <c r="I257" s="7" t="s">
        <v>1024</v>
      </c>
      <c r="J257" s="7" t="s">
        <v>1024</v>
      </c>
      <c r="K257" s="5" t="s">
        <v>10</v>
      </c>
      <c r="L257" s="5" t="s">
        <v>45</v>
      </c>
      <c r="M257" s="5" t="s">
        <v>10</v>
      </c>
      <c r="N257" s="5" t="s">
        <v>10</v>
      </c>
      <c r="O257" s="46" t="s">
        <v>46</v>
      </c>
      <c r="P257" s="101">
        <v>46002</v>
      </c>
      <c r="Q257" s="100">
        <f t="shared" si="31"/>
        <v>46367</v>
      </c>
      <c r="R257" s="5" t="s">
        <v>1873</v>
      </c>
      <c r="S257" s="5" t="s">
        <v>4341</v>
      </c>
      <c r="T257" s="7">
        <v>0.106</v>
      </c>
      <c r="U257" s="7" t="s">
        <v>10</v>
      </c>
      <c r="V257" s="7">
        <f t="shared" si="32"/>
        <v>0.106</v>
      </c>
      <c r="W257" s="5" t="s">
        <v>10</v>
      </c>
      <c r="X257" s="5" t="s">
        <v>330</v>
      </c>
      <c r="Y257" s="48" t="str">
        <f t="shared" si="33"/>
        <v>A DEFINIR</v>
      </c>
      <c r="Z257" s="7" t="s">
        <v>56</v>
      </c>
      <c r="AA257" s="5">
        <v>11602443</v>
      </c>
      <c r="AB257" s="5" t="s">
        <v>3910</v>
      </c>
      <c r="AC257" s="5" t="s">
        <v>48</v>
      </c>
      <c r="AD257" s="5" t="s">
        <v>5530</v>
      </c>
      <c r="AE257" s="5" t="str">
        <f t="shared" ca="1" si="34"/>
        <v>NO PRAZO</v>
      </c>
      <c r="AF257" s="51"/>
    </row>
    <row r="258" spans="1:32" ht="30" customHeight="1" x14ac:dyDescent="0.25">
      <c r="A258" s="5" t="s">
        <v>1053</v>
      </c>
      <c r="B258" s="5" t="s">
        <v>10</v>
      </c>
      <c r="C258" s="5" t="s">
        <v>5864</v>
      </c>
      <c r="D258" s="7" t="s">
        <v>1009</v>
      </c>
      <c r="E258" s="7" t="s">
        <v>256</v>
      </c>
      <c r="F258" s="7" t="s">
        <v>257</v>
      </c>
      <c r="G258" s="7" t="s">
        <v>1009</v>
      </c>
      <c r="H258" s="7" t="s">
        <v>1009</v>
      </c>
      <c r="I258" s="7" t="s">
        <v>1024</v>
      </c>
      <c r="J258" s="7" t="s">
        <v>1024</v>
      </c>
      <c r="K258" s="5" t="s">
        <v>10</v>
      </c>
      <c r="L258" s="5" t="s">
        <v>45</v>
      </c>
      <c r="M258" s="5" t="s">
        <v>10</v>
      </c>
      <c r="N258" s="5" t="s">
        <v>10</v>
      </c>
      <c r="O258" s="46" t="s">
        <v>46</v>
      </c>
      <c r="P258" s="101">
        <v>46002</v>
      </c>
      <c r="Q258" s="100">
        <f t="shared" si="31"/>
        <v>46367</v>
      </c>
      <c r="R258" s="5" t="s">
        <v>1861</v>
      </c>
      <c r="S258" s="5" t="s">
        <v>4342</v>
      </c>
      <c r="T258" s="7">
        <v>0.14799999999999999</v>
      </c>
      <c r="U258" s="7" t="s">
        <v>10</v>
      </c>
      <c r="V258" s="7">
        <f t="shared" si="32"/>
        <v>0.14799999999999999</v>
      </c>
      <c r="W258" s="5" t="s">
        <v>10</v>
      </c>
      <c r="X258" s="5" t="s">
        <v>330</v>
      </c>
      <c r="Y258" s="48" t="str">
        <f t="shared" si="33"/>
        <v>A DEFINIR</v>
      </c>
      <c r="Z258" s="7" t="s">
        <v>56</v>
      </c>
      <c r="AA258" s="5">
        <v>11602444</v>
      </c>
      <c r="AB258" s="5" t="s">
        <v>3911</v>
      </c>
      <c r="AC258" s="5" t="s">
        <v>48</v>
      </c>
      <c r="AD258" s="5" t="s">
        <v>5530</v>
      </c>
      <c r="AE258" s="5" t="str">
        <f t="shared" ca="1" si="34"/>
        <v>NO PRAZO</v>
      </c>
      <c r="AF258" s="51"/>
    </row>
    <row r="259" spans="1:32" ht="30" customHeight="1" x14ac:dyDescent="0.25">
      <c r="A259" s="5" t="s">
        <v>1054</v>
      </c>
      <c r="B259" s="5" t="s">
        <v>10</v>
      </c>
      <c r="C259" s="5" t="s">
        <v>5864</v>
      </c>
      <c r="D259" s="7" t="s">
        <v>1009</v>
      </c>
      <c r="E259" s="7" t="s">
        <v>256</v>
      </c>
      <c r="F259" s="7" t="s">
        <v>257</v>
      </c>
      <c r="G259" s="7" t="s">
        <v>1009</v>
      </c>
      <c r="H259" s="7" t="s">
        <v>1009</v>
      </c>
      <c r="I259" s="7" t="s">
        <v>1024</v>
      </c>
      <c r="J259" s="7" t="s">
        <v>1024</v>
      </c>
      <c r="K259" s="5" t="s">
        <v>10</v>
      </c>
      <c r="L259" s="5" t="s">
        <v>45</v>
      </c>
      <c r="M259" s="5" t="s">
        <v>10</v>
      </c>
      <c r="N259" s="5" t="s">
        <v>10</v>
      </c>
      <c r="O259" s="46" t="s">
        <v>46</v>
      </c>
      <c r="P259" s="101">
        <v>46002</v>
      </c>
      <c r="Q259" s="100">
        <f t="shared" si="31"/>
        <v>46367</v>
      </c>
      <c r="R259" s="5" t="s">
        <v>1864</v>
      </c>
      <c r="S259" s="5" t="s">
        <v>4343</v>
      </c>
      <c r="T259" s="7">
        <v>0.108</v>
      </c>
      <c r="U259" s="7" t="s">
        <v>10</v>
      </c>
      <c r="V259" s="7">
        <f t="shared" si="32"/>
        <v>0.108</v>
      </c>
      <c r="W259" s="5" t="s">
        <v>10</v>
      </c>
      <c r="X259" s="5" t="s">
        <v>330</v>
      </c>
      <c r="Y259" s="48" t="str">
        <f t="shared" si="33"/>
        <v>A DEFINIR</v>
      </c>
      <c r="Z259" s="7" t="s">
        <v>56</v>
      </c>
      <c r="AA259" s="5">
        <v>11602445</v>
      </c>
      <c r="AB259" s="5" t="s">
        <v>3912</v>
      </c>
      <c r="AC259" s="5" t="s">
        <v>48</v>
      </c>
      <c r="AD259" s="5" t="s">
        <v>5530</v>
      </c>
      <c r="AE259" s="5" t="str">
        <f t="shared" ca="1" si="34"/>
        <v>NO PRAZO</v>
      </c>
      <c r="AF259" s="51"/>
    </row>
    <row r="260" spans="1:32" ht="30" customHeight="1" x14ac:dyDescent="0.25">
      <c r="A260" s="5" t="s">
        <v>1055</v>
      </c>
      <c r="B260" s="5" t="s">
        <v>10</v>
      </c>
      <c r="C260" s="5" t="s">
        <v>5864</v>
      </c>
      <c r="D260" s="7" t="s">
        <v>1009</v>
      </c>
      <c r="E260" s="7" t="s">
        <v>256</v>
      </c>
      <c r="F260" s="7" t="s">
        <v>257</v>
      </c>
      <c r="G260" s="7" t="s">
        <v>1009</v>
      </c>
      <c r="H260" s="7" t="s">
        <v>1009</v>
      </c>
      <c r="I260" s="7" t="s">
        <v>1056</v>
      </c>
      <c r="J260" s="7" t="s">
        <v>1056</v>
      </c>
      <c r="K260" s="5" t="s">
        <v>10</v>
      </c>
      <c r="L260" s="5" t="s">
        <v>45</v>
      </c>
      <c r="M260" s="5" t="s">
        <v>10</v>
      </c>
      <c r="N260" s="5" t="s">
        <v>10</v>
      </c>
      <c r="O260" s="46" t="s">
        <v>46</v>
      </c>
      <c r="P260" s="101">
        <v>46132</v>
      </c>
      <c r="Q260" s="100">
        <f t="shared" si="31"/>
        <v>46497</v>
      </c>
      <c r="R260" s="5" t="s">
        <v>2124</v>
      </c>
      <c r="S260" s="5" t="s">
        <v>5329</v>
      </c>
      <c r="T260" s="7">
        <v>2.7E-2</v>
      </c>
      <c r="U260" s="7" t="s">
        <v>10</v>
      </c>
      <c r="V260" s="7">
        <f t="shared" si="32"/>
        <v>2.7E-2</v>
      </c>
      <c r="W260" s="5" t="s">
        <v>10</v>
      </c>
      <c r="X260" s="5" t="s">
        <v>330</v>
      </c>
      <c r="Y260" s="48" t="str">
        <f t="shared" si="33"/>
        <v>A DEFINIR</v>
      </c>
      <c r="Z260" s="7" t="s">
        <v>56</v>
      </c>
      <c r="AA260" s="5">
        <v>11603534</v>
      </c>
      <c r="AB260" s="5" t="s">
        <v>2785</v>
      </c>
      <c r="AC260" s="5" t="s">
        <v>48</v>
      </c>
      <c r="AD260" s="5" t="s">
        <v>5530</v>
      </c>
      <c r="AE260" s="5" t="str">
        <f t="shared" ca="1" si="34"/>
        <v>NO PRAZO</v>
      </c>
      <c r="AF260" s="49"/>
    </row>
    <row r="261" spans="1:32" ht="30" customHeight="1" x14ac:dyDescent="0.25">
      <c r="A261" s="5" t="s">
        <v>1057</v>
      </c>
      <c r="B261" s="5" t="s">
        <v>10</v>
      </c>
      <c r="C261" s="5" t="s">
        <v>5864</v>
      </c>
      <c r="D261" s="7" t="s">
        <v>1009</v>
      </c>
      <c r="E261" s="7" t="s">
        <v>256</v>
      </c>
      <c r="F261" s="7" t="s">
        <v>257</v>
      </c>
      <c r="G261" s="7" t="s">
        <v>1009</v>
      </c>
      <c r="H261" s="7" t="s">
        <v>1009</v>
      </c>
      <c r="I261" s="7" t="s">
        <v>1058</v>
      </c>
      <c r="J261" s="7" t="s">
        <v>1058</v>
      </c>
      <c r="K261" s="5" t="s">
        <v>10</v>
      </c>
      <c r="L261" s="5" t="s">
        <v>45</v>
      </c>
      <c r="M261" s="5" t="s">
        <v>10</v>
      </c>
      <c r="N261" s="5" t="s">
        <v>10</v>
      </c>
      <c r="O261" s="46" t="s">
        <v>46</v>
      </c>
      <c r="P261" s="101">
        <v>45863</v>
      </c>
      <c r="Q261" s="100">
        <f t="shared" si="31"/>
        <v>46228</v>
      </c>
      <c r="R261" s="5" t="s">
        <v>1059</v>
      </c>
      <c r="S261" s="5" t="s">
        <v>3157</v>
      </c>
      <c r="T261" s="7">
        <v>2.5000000000000001E-2</v>
      </c>
      <c r="U261" s="7"/>
      <c r="V261" s="7">
        <f t="shared" si="32"/>
        <v>2.5000000000000001E-2</v>
      </c>
      <c r="W261" s="5" t="s">
        <v>10</v>
      </c>
      <c r="X261" s="5" t="s">
        <v>330</v>
      </c>
      <c r="Y261" s="48" t="str">
        <f t="shared" si="33"/>
        <v>A DEFINIR</v>
      </c>
      <c r="Z261" s="7" t="s">
        <v>56</v>
      </c>
      <c r="AA261" s="5">
        <v>11604680</v>
      </c>
      <c r="AB261" s="5" t="s">
        <v>3009</v>
      </c>
      <c r="AC261" s="5" t="s">
        <v>48</v>
      </c>
      <c r="AD261" s="5" t="s">
        <v>5530</v>
      </c>
      <c r="AE261" s="5" t="s">
        <v>5906</v>
      </c>
      <c r="AF261" s="49"/>
    </row>
    <row r="262" spans="1:32" ht="30" customHeight="1" x14ac:dyDescent="0.25">
      <c r="A262" s="5" t="s">
        <v>4345</v>
      </c>
      <c r="B262" s="5" t="s">
        <v>10</v>
      </c>
      <c r="C262" s="5" t="s">
        <v>5864</v>
      </c>
      <c r="D262" s="7" t="s">
        <v>1009</v>
      </c>
      <c r="E262" s="7" t="s">
        <v>256</v>
      </c>
      <c r="F262" s="7" t="s">
        <v>257</v>
      </c>
      <c r="G262" s="7" t="s">
        <v>1009</v>
      </c>
      <c r="H262" s="7" t="s">
        <v>1009</v>
      </c>
      <c r="I262" s="118" t="s">
        <v>1058</v>
      </c>
      <c r="J262" s="7" t="s">
        <v>1058</v>
      </c>
      <c r="K262" s="5" t="s">
        <v>10</v>
      </c>
      <c r="L262" s="5" t="s">
        <v>45</v>
      </c>
      <c r="M262" s="5" t="s">
        <v>10</v>
      </c>
      <c r="N262" s="5" t="s">
        <v>10</v>
      </c>
      <c r="O262" s="46" t="s">
        <v>46</v>
      </c>
      <c r="P262" s="101">
        <v>46002</v>
      </c>
      <c r="Q262" s="100">
        <f t="shared" si="31"/>
        <v>46367</v>
      </c>
      <c r="R262" s="5" t="s">
        <v>4346</v>
      </c>
      <c r="S262" s="5" t="s">
        <v>4347</v>
      </c>
      <c r="T262" s="7">
        <v>0.22</v>
      </c>
      <c r="U262" s="7" t="s">
        <v>10</v>
      </c>
      <c r="V262" s="7">
        <f t="shared" si="32"/>
        <v>0.22</v>
      </c>
      <c r="W262" s="5" t="s">
        <v>10</v>
      </c>
      <c r="X262" s="5" t="s">
        <v>330</v>
      </c>
      <c r="Y262" s="48" t="str">
        <f t="shared" si="33"/>
        <v>A DEFINIR</v>
      </c>
      <c r="Z262" s="7" t="s">
        <v>56</v>
      </c>
      <c r="AA262" s="5">
        <v>11607340</v>
      </c>
      <c r="AB262" s="5" t="s">
        <v>4550</v>
      </c>
      <c r="AC262" s="5" t="s">
        <v>48</v>
      </c>
      <c r="AD262" s="5" t="s">
        <v>5530</v>
      </c>
      <c r="AE262" s="5" t="str">
        <f t="shared" ca="1" si="34"/>
        <v>NO PRAZO</v>
      </c>
      <c r="AF262" s="51"/>
    </row>
    <row r="263" spans="1:32" ht="30" customHeight="1" x14ac:dyDescent="0.25">
      <c r="A263" s="5" t="s">
        <v>1060</v>
      </c>
      <c r="B263" s="5" t="s">
        <v>10</v>
      </c>
      <c r="C263" s="5" t="s">
        <v>5864</v>
      </c>
      <c r="D263" s="7" t="s">
        <v>1061</v>
      </c>
      <c r="E263" s="7" t="s">
        <v>256</v>
      </c>
      <c r="F263" s="7" t="s">
        <v>257</v>
      </c>
      <c r="G263" s="7" t="s">
        <v>1061</v>
      </c>
      <c r="H263" s="7" t="s">
        <v>1061</v>
      </c>
      <c r="I263" s="7" t="s">
        <v>1062</v>
      </c>
      <c r="J263" s="7" t="s">
        <v>1063</v>
      </c>
      <c r="K263" s="5" t="s">
        <v>10</v>
      </c>
      <c r="L263" s="5" t="s">
        <v>10</v>
      </c>
      <c r="M263" s="5" t="s">
        <v>10</v>
      </c>
      <c r="N263" s="5" t="s">
        <v>45</v>
      </c>
      <c r="O263" s="80" t="s">
        <v>56</v>
      </c>
      <c r="P263" s="101">
        <v>45996</v>
      </c>
      <c r="Q263" s="100">
        <f t="shared" si="31"/>
        <v>46361</v>
      </c>
      <c r="R263" s="5" t="s">
        <v>1856</v>
      </c>
      <c r="S263" s="5" t="s">
        <v>4258</v>
      </c>
      <c r="T263" s="7">
        <v>0.42</v>
      </c>
      <c r="U263" s="7" t="s">
        <v>10</v>
      </c>
      <c r="V263" s="7">
        <f t="shared" si="32"/>
        <v>0.42</v>
      </c>
      <c r="W263" s="5" t="s">
        <v>10</v>
      </c>
      <c r="X263" s="5" t="s">
        <v>330</v>
      </c>
      <c r="Y263" s="48" t="str">
        <f t="shared" si="33"/>
        <v>A DEFINIR</v>
      </c>
      <c r="Z263" s="7" t="s">
        <v>56</v>
      </c>
      <c r="AA263" s="5">
        <v>11599711</v>
      </c>
      <c r="AB263" s="5" t="s">
        <v>3913</v>
      </c>
      <c r="AC263" s="5" t="s">
        <v>48</v>
      </c>
      <c r="AD263" s="5" t="s">
        <v>5530</v>
      </c>
      <c r="AE263" s="5" t="str">
        <f t="shared" ca="1" si="34"/>
        <v>NO PRAZO</v>
      </c>
      <c r="AF263" s="51"/>
    </row>
    <row r="264" spans="1:32" ht="30" customHeight="1" x14ac:dyDescent="0.25">
      <c r="A264" s="5" t="s">
        <v>1064</v>
      </c>
      <c r="B264" s="5" t="s">
        <v>10</v>
      </c>
      <c r="C264" s="5" t="s">
        <v>5864</v>
      </c>
      <c r="D264" s="7" t="s">
        <v>1065</v>
      </c>
      <c r="E264" s="7" t="s">
        <v>256</v>
      </c>
      <c r="F264" s="7" t="s">
        <v>257</v>
      </c>
      <c r="G264" s="7" t="s">
        <v>1066</v>
      </c>
      <c r="H264" s="7" t="s">
        <v>1067</v>
      </c>
      <c r="I264" s="7" t="s">
        <v>1068</v>
      </c>
      <c r="J264" s="7" t="s">
        <v>1069</v>
      </c>
      <c r="K264" s="5" t="s">
        <v>10</v>
      </c>
      <c r="L264" s="5" t="s">
        <v>45</v>
      </c>
      <c r="M264" s="5" t="s">
        <v>10</v>
      </c>
      <c r="N264" s="5" t="s">
        <v>10</v>
      </c>
      <c r="O264" s="46" t="s">
        <v>46</v>
      </c>
      <c r="P264" s="101">
        <v>46136</v>
      </c>
      <c r="Q264" s="100">
        <f t="shared" si="31"/>
        <v>46501</v>
      </c>
      <c r="R264" s="5" t="s">
        <v>2341</v>
      </c>
      <c r="S264" s="5" t="s">
        <v>5527</v>
      </c>
      <c r="T264" s="7">
        <v>15</v>
      </c>
      <c r="U264" s="7" t="s">
        <v>10</v>
      </c>
      <c r="V264" s="7">
        <f t="shared" si="32"/>
        <v>15</v>
      </c>
      <c r="W264" s="5">
        <v>30</v>
      </c>
      <c r="X264" s="5" t="s">
        <v>253</v>
      </c>
      <c r="Y264" s="48" t="str">
        <f t="shared" si="33"/>
        <v>APROVADO</v>
      </c>
      <c r="Z264" s="7" t="s">
        <v>56</v>
      </c>
      <c r="AA264" s="5">
        <v>11604046</v>
      </c>
      <c r="AB264" s="5" t="s">
        <v>2848</v>
      </c>
      <c r="AC264" s="5" t="s">
        <v>48</v>
      </c>
      <c r="AD264" s="5" t="s">
        <v>5530</v>
      </c>
      <c r="AE264" s="5" t="str">
        <f t="shared" ca="1" si="34"/>
        <v>NO PRAZO</v>
      </c>
      <c r="AF264" s="51"/>
    </row>
    <row r="265" spans="1:32" ht="30" customHeight="1" x14ac:dyDescent="0.25">
      <c r="A265" s="5" t="s">
        <v>1070</v>
      </c>
      <c r="B265" s="5" t="s">
        <v>10</v>
      </c>
      <c r="C265" s="5" t="s">
        <v>5864</v>
      </c>
      <c r="D265" s="7" t="s">
        <v>1065</v>
      </c>
      <c r="E265" s="7" t="s">
        <v>256</v>
      </c>
      <c r="F265" s="7" t="s">
        <v>317</v>
      </c>
      <c r="G265" s="7" t="s">
        <v>1066</v>
      </c>
      <c r="H265" s="7" t="s">
        <v>1067</v>
      </c>
      <c r="I265" s="62" t="s">
        <v>1071</v>
      </c>
      <c r="J265" s="62" t="s">
        <v>1072</v>
      </c>
      <c r="K265" s="5" t="s">
        <v>10</v>
      </c>
      <c r="L265" s="5" t="s">
        <v>45</v>
      </c>
      <c r="M265" s="5" t="s">
        <v>10</v>
      </c>
      <c r="N265" s="5" t="s">
        <v>10</v>
      </c>
      <c r="O265" s="46" t="s">
        <v>46</v>
      </c>
      <c r="P265" s="101">
        <v>46128</v>
      </c>
      <c r="Q265" s="100">
        <f t="shared" si="31"/>
        <v>46493</v>
      </c>
      <c r="R265" s="63" t="s">
        <v>2117</v>
      </c>
      <c r="S265" s="63" t="s">
        <v>5266</v>
      </c>
      <c r="T265" s="7">
        <v>0.59</v>
      </c>
      <c r="U265" s="7" t="s">
        <v>10</v>
      </c>
      <c r="V265" s="7">
        <f t="shared" si="32"/>
        <v>0.59</v>
      </c>
      <c r="W265" s="5" t="s">
        <v>10</v>
      </c>
      <c r="X265" s="5" t="s">
        <v>764</v>
      </c>
      <c r="Y265" s="48" t="str">
        <f t="shared" si="33"/>
        <v>A DEFINIR</v>
      </c>
      <c r="Z265" s="7" t="s">
        <v>56</v>
      </c>
      <c r="AA265" s="5">
        <v>11599848</v>
      </c>
      <c r="AB265" s="5" t="s">
        <v>2816</v>
      </c>
      <c r="AC265" s="5" t="s">
        <v>48</v>
      </c>
      <c r="AD265" s="5" t="s">
        <v>5530</v>
      </c>
      <c r="AE265" s="5" t="str">
        <f t="shared" ca="1" si="34"/>
        <v>NO PRAZO</v>
      </c>
      <c r="AF265" s="51"/>
    </row>
    <row r="266" spans="1:32" ht="30" customHeight="1" x14ac:dyDescent="0.25">
      <c r="A266" s="5" t="s">
        <v>1073</v>
      </c>
      <c r="B266" s="5" t="s">
        <v>10</v>
      </c>
      <c r="C266" s="5" t="s">
        <v>5864</v>
      </c>
      <c r="D266" s="7" t="s">
        <v>1065</v>
      </c>
      <c r="E266" s="7" t="s">
        <v>256</v>
      </c>
      <c r="F266" s="7" t="s">
        <v>317</v>
      </c>
      <c r="G266" s="7" t="s">
        <v>1066</v>
      </c>
      <c r="H266" s="7" t="s">
        <v>1067</v>
      </c>
      <c r="I266" s="62" t="s">
        <v>1071</v>
      </c>
      <c r="J266" s="62" t="s">
        <v>1072</v>
      </c>
      <c r="K266" s="5" t="s">
        <v>10</v>
      </c>
      <c r="L266" s="5" t="s">
        <v>45</v>
      </c>
      <c r="M266" s="5" t="s">
        <v>10</v>
      </c>
      <c r="N266" s="5" t="s">
        <v>10</v>
      </c>
      <c r="O266" s="46" t="s">
        <v>46</v>
      </c>
      <c r="P266" s="101">
        <v>46128</v>
      </c>
      <c r="Q266" s="100">
        <f t="shared" si="31"/>
        <v>46493</v>
      </c>
      <c r="R266" s="63" t="s">
        <v>2118</v>
      </c>
      <c r="S266" s="63" t="s">
        <v>5267</v>
      </c>
      <c r="T266" s="7">
        <v>0.6</v>
      </c>
      <c r="U266" s="7" t="s">
        <v>10</v>
      </c>
      <c r="V266" s="7">
        <f t="shared" si="32"/>
        <v>0.6</v>
      </c>
      <c r="W266" s="5" t="s">
        <v>10</v>
      </c>
      <c r="X266" s="5" t="s">
        <v>764</v>
      </c>
      <c r="Y266" s="48" t="str">
        <f t="shared" si="33"/>
        <v>A DEFINIR</v>
      </c>
      <c r="Z266" s="7" t="s">
        <v>56</v>
      </c>
      <c r="AA266" s="5">
        <v>11599849</v>
      </c>
      <c r="AB266" s="5" t="s">
        <v>2817</v>
      </c>
      <c r="AC266" s="5" t="s">
        <v>48</v>
      </c>
      <c r="AD266" s="5" t="s">
        <v>5530</v>
      </c>
      <c r="AE266" s="5" t="str">
        <f t="shared" ca="1" si="34"/>
        <v>NO PRAZO</v>
      </c>
      <c r="AF266" s="51"/>
    </row>
    <row r="267" spans="1:32" ht="30" customHeight="1" x14ac:dyDescent="0.25">
      <c r="A267" s="9" t="s">
        <v>3235</v>
      </c>
      <c r="B267" s="5" t="s">
        <v>10</v>
      </c>
      <c r="C267" s="5" t="s">
        <v>5864</v>
      </c>
      <c r="D267" s="61" t="s">
        <v>1074</v>
      </c>
      <c r="E267" s="7" t="s">
        <v>256</v>
      </c>
      <c r="F267" s="7" t="s">
        <v>312</v>
      </c>
      <c r="G267" s="61" t="s">
        <v>1074</v>
      </c>
      <c r="H267" s="61" t="s">
        <v>1074</v>
      </c>
      <c r="I267" s="62" t="s">
        <v>1075</v>
      </c>
      <c r="J267" s="62" t="s">
        <v>1076</v>
      </c>
      <c r="K267" s="5" t="s">
        <v>10</v>
      </c>
      <c r="L267" s="5" t="s">
        <v>10</v>
      </c>
      <c r="M267" s="5" t="s">
        <v>10</v>
      </c>
      <c r="N267" s="5" t="s">
        <v>45</v>
      </c>
      <c r="O267" s="80" t="s">
        <v>56</v>
      </c>
      <c r="P267" s="101">
        <v>45967</v>
      </c>
      <c r="Q267" s="100">
        <f t="shared" si="31"/>
        <v>46332</v>
      </c>
      <c r="R267" s="63" t="s">
        <v>1746</v>
      </c>
      <c r="S267" s="63" t="s">
        <v>3777</v>
      </c>
      <c r="T267" s="7">
        <v>0.25</v>
      </c>
      <c r="U267" s="7" t="s">
        <v>10</v>
      </c>
      <c r="V267" s="7">
        <f t="shared" si="32"/>
        <v>0.25</v>
      </c>
      <c r="W267" s="5" t="s">
        <v>10</v>
      </c>
      <c r="X267" s="5" t="s">
        <v>55</v>
      </c>
      <c r="Y267" s="48" t="str">
        <f t="shared" si="33"/>
        <v>A DEFINIR</v>
      </c>
      <c r="Z267" s="7" t="s">
        <v>56</v>
      </c>
      <c r="AA267" s="5">
        <v>11599868</v>
      </c>
      <c r="AB267" s="5" t="s">
        <v>3914</v>
      </c>
      <c r="AC267" s="5" t="s">
        <v>48</v>
      </c>
      <c r="AD267" s="5" t="s">
        <v>5530</v>
      </c>
      <c r="AE267" s="5" t="str">
        <f t="shared" ca="1" si="34"/>
        <v>NO PRAZO</v>
      </c>
      <c r="AF267" s="49"/>
    </row>
    <row r="268" spans="1:32" ht="30" customHeight="1" x14ac:dyDescent="0.25">
      <c r="A268" s="5" t="s">
        <v>5098</v>
      </c>
      <c r="B268" s="5" t="s">
        <v>1692</v>
      </c>
      <c r="C268" s="5" t="s">
        <v>5864</v>
      </c>
      <c r="D268" s="7" t="s">
        <v>5223</v>
      </c>
      <c r="E268" s="7" t="s">
        <v>256</v>
      </c>
      <c r="F268" s="7" t="s">
        <v>257</v>
      </c>
      <c r="G268" s="7" t="s">
        <v>5223</v>
      </c>
      <c r="H268" s="7" t="s">
        <v>5223</v>
      </c>
      <c r="I268" s="55" t="s">
        <v>698</v>
      </c>
      <c r="J268" s="7" t="s">
        <v>699</v>
      </c>
      <c r="K268" s="5" t="s">
        <v>10</v>
      </c>
      <c r="L268" s="5" t="s">
        <v>10</v>
      </c>
      <c r="M268" s="5" t="s">
        <v>10</v>
      </c>
      <c r="N268" s="5" t="s">
        <v>45</v>
      </c>
      <c r="O268" s="80" t="s">
        <v>56</v>
      </c>
      <c r="P268" s="101">
        <v>46102</v>
      </c>
      <c r="Q268" s="100">
        <f t="shared" si="31"/>
        <v>46467</v>
      </c>
      <c r="R268" s="5" t="s">
        <v>2011</v>
      </c>
      <c r="S268" s="5" t="s">
        <v>5099</v>
      </c>
      <c r="T268" s="7">
        <v>3.0000000000000001E-3</v>
      </c>
      <c r="U268" s="7" t="s">
        <v>10</v>
      </c>
      <c r="V268" s="7">
        <f t="shared" si="32"/>
        <v>3.0000000000000001E-3</v>
      </c>
      <c r="W268" s="7" t="s">
        <v>673</v>
      </c>
      <c r="X268" s="7" t="s">
        <v>679</v>
      </c>
      <c r="Y268" s="48" t="str">
        <f t="shared" si="33"/>
        <v>APROVADO</v>
      </c>
      <c r="Z268" s="7" t="s">
        <v>56</v>
      </c>
      <c r="AA268" s="5">
        <v>11586893</v>
      </c>
      <c r="AB268" s="5" t="s">
        <v>2582</v>
      </c>
      <c r="AC268" s="5" t="s">
        <v>48</v>
      </c>
      <c r="AD268" s="5" t="s">
        <v>5530</v>
      </c>
      <c r="AE268" s="5" t="str">
        <f t="shared" ca="1" si="34"/>
        <v>NO PRAZO</v>
      </c>
      <c r="AF268" s="51"/>
    </row>
    <row r="269" spans="1:32" ht="30" customHeight="1" x14ac:dyDescent="0.25">
      <c r="A269" s="5" t="s">
        <v>1077</v>
      </c>
      <c r="B269" s="5" t="s">
        <v>10</v>
      </c>
      <c r="C269" s="5" t="s">
        <v>5863</v>
      </c>
      <c r="D269" s="7" t="s">
        <v>709</v>
      </c>
      <c r="E269" s="7" t="s">
        <v>311</v>
      </c>
      <c r="F269" s="7" t="s">
        <v>642</v>
      </c>
      <c r="G269" s="7" t="s">
        <v>1078</v>
      </c>
      <c r="H269" s="7" t="s">
        <v>1079</v>
      </c>
      <c r="I269" s="7" t="s">
        <v>715</v>
      </c>
      <c r="J269" s="7" t="s">
        <v>715</v>
      </c>
      <c r="K269" s="5" t="s">
        <v>10</v>
      </c>
      <c r="L269" s="5" t="s">
        <v>10</v>
      </c>
      <c r="M269" s="5" t="s">
        <v>10</v>
      </c>
      <c r="N269" s="5" t="s">
        <v>45</v>
      </c>
      <c r="O269" s="80" t="s">
        <v>56</v>
      </c>
      <c r="P269" s="101">
        <v>46129</v>
      </c>
      <c r="Q269" s="100">
        <f t="shared" si="31"/>
        <v>46494</v>
      </c>
      <c r="R269" s="5" t="s">
        <v>2102</v>
      </c>
      <c r="S269" s="5" t="s">
        <v>5364</v>
      </c>
      <c r="T269" s="7">
        <v>0.06</v>
      </c>
      <c r="U269" s="7" t="s">
        <v>10</v>
      </c>
      <c r="V269" s="7">
        <f t="shared" si="32"/>
        <v>0.06</v>
      </c>
      <c r="W269" s="5" t="s">
        <v>10</v>
      </c>
      <c r="X269" s="5" t="s">
        <v>47</v>
      </c>
      <c r="Y269" s="48" t="str">
        <f t="shared" si="33"/>
        <v>A DEFINIR</v>
      </c>
      <c r="Z269" s="7" t="s">
        <v>56</v>
      </c>
      <c r="AA269" s="5">
        <v>11606690</v>
      </c>
      <c r="AB269" s="5" t="s">
        <v>4136</v>
      </c>
      <c r="AC269" s="5" t="s">
        <v>48</v>
      </c>
      <c r="AD269" s="5" t="s">
        <v>5530</v>
      </c>
      <c r="AE269" s="5" t="str">
        <f t="shared" ca="1" si="34"/>
        <v>NO PRAZO</v>
      </c>
      <c r="AF269" s="53"/>
    </row>
    <row r="270" spans="1:32" ht="30" customHeight="1" x14ac:dyDescent="0.25">
      <c r="A270" s="5" t="s">
        <v>3018</v>
      </c>
      <c r="B270" s="5" t="s">
        <v>10</v>
      </c>
      <c r="C270" s="5" t="s">
        <v>5863</v>
      </c>
      <c r="D270" s="7" t="s">
        <v>2146</v>
      </c>
      <c r="E270" s="7" t="s">
        <v>68</v>
      </c>
      <c r="F270" s="7" t="s">
        <v>86</v>
      </c>
      <c r="G270" s="7" t="s">
        <v>10</v>
      </c>
      <c r="H270" s="7" t="s">
        <v>1079</v>
      </c>
      <c r="I270" s="7" t="s">
        <v>2147</v>
      </c>
      <c r="J270" s="7" t="s">
        <v>2147</v>
      </c>
      <c r="K270" s="5" t="s">
        <v>10</v>
      </c>
      <c r="L270" s="5" t="s">
        <v>10</v>
      </c>
      <c r="M270" s="5" t="s">
        <v>10</v>
      </c>
      <c r="N270" s="5" t="s">
        <v>45</v>
      </c>
      <c r="O270" s="46" t="s">
        <v>56</v>
      </c>
      <c r="P270" s="101">
        <v>46186</v>
      </c>
      <c r="Q270" s="100">
        <f t="shared" ref="Q270:Q334" si="35">IF(P270="","",P270+365)</f>
        <v>46551</v>
      </c>
      <c r="R270" s="7" t="s">
        <v>3019</v>
      </c>
      <c r="S270" s="7" t="s">
        <v>5640</v>
      </c>
      <c r="T270" s="7">
        <v>0.18</v>
      </c>
      <c r="U270" s="7" t="s">
        <v>10</v>
      </c>
      <c r="V270" s="7">
        <f t="shared" ref="V270:V334" si="36">IFERROR(IF(U270&gt;0,T270*100/U270,T270),T270)</f>
        <v>0.18</v>
      </c>
      <c r="W270" s="7" t="s">
        <v>10</v>
      </c>
      <c r="X270" s="7" t="s">
        <v>47</v>
      </c>
      <c r="Y270" s="48" t="str">
        <f t="shared" ref="Y270:Y334" si="37">IFERROR(IF(W270="-",$AL$6,CHOOSE(IF(T270="",1,2),$AL$7,IF(V270&gt;W270,$AL$5,$AL$4))),"-")</f>
        <v>A DEFINIR</v>
      </c>
      <c r="Z270" s="7" t="s">
        <v>56</v>
      </c>
      <c r="AA270" s="5">
        <v>11606718</v>
      </c>
      <c r="AB270" s="5" t="s">
        <v>4191</v>
      </c>
      <c r="AC270" s="5" t="s">
        <v>48</v>
      </c>
      <c r="AD270" s="5" t="s">
        <v>5632</v>
      </c>
      <c r="AE270" s="5" t="str">
        <f t="shared" ca="1" si="34"/>
        <v>NO PRAZO</v>
      </c>
      <c r="AF270" s="53"/>
    </row>
    <row r="271" spans="1:32" ht="30" customHeight="1" x14ac:dyDescent="0.25">
      <c r="A271" s="5" t="s">
        <v>5563</v>
      </c>
      <c r="B271" s="5" t="s">
        <v>3228</v>
      </c>
      <c r="C271" s="5" t="s">
        <v>5863</v>
      </c>
      <c r="D271" s="7" t="s">
        <v>709</v>
      </c>
      <c r="E271" s="7" t="s">
        <v>311</v>
      </c>
      <c r="F271" s="7" t="s">
        <v>642</v>
      </c>
      <c r="G271" s="7" t="s">
        <v>710</v>
      </c>
      <c r="H271" s="7" t="s">
        <v>710</v>
      </c>
      <c r="I271" s="7" t="s">
        <v>711</v>
      </c>
      <c r="J271" s="7" t="s">
        <v>711</v>
      </c>
      <c r="K271" s="5" t="s">
        <v>10</v>
      </c>
      <c r="L271" s="5" t="s">
        <v>10</v>
      </c>
      <c r="M271" s="5" t="s">
        <v>10</v>
      </c>
      <c r="N271" s="5" t="s">
        <v>45</v>
      </c>
      <c r="O271" s="80" t="s">
        <v>56</v>
      </c>
      <c r="P271" s="101">
        <v>46158</v>
      </c>
      <c r="Q271" s="100">
        <f t="shared" si="35"/>
        <v>46523</v>
      </c>
      <c r="R271" s="5" t="s">
        <v>2321</v>
      </c>
      <c r="S271" s="5" t="s">
        <v>5470</v>
      </c>
      <c r="T271" s="7">
        <v>6.5000000000000002E-2</v>
      </c>
      <c r="U271" s="7" t="s">
        <v>10</v>
      </c>
      <c r="V271" s="7">
        <f t="shared" si="36"/>
        <v>6.5000000000000002E-2</v>
      </c>
      <c r="W271" s="5" t="s">
        <v>10</v>
      </c>
      <c r="X271" s="5" t="s">
        <v>47</v>
      </c>
      <c r="Y271" s="48" t="str">
        <f t="shared" si="37"/>
        <v>A DEFINIR</v>
      </c>
      <c r="Z271" s="7" t="s">
        <v>56</v>
      </c>
      <c r="AA271" s="5">
        <v>11541246</v>
      </c>
      <c r="AB271" s="5" t="s">
        <v>2844</v>
      </c>
      <c r="AC271" s="5" t="s">
        <v>48</v>
      </c>
      <c r="AD271" s="5" t="s">
        <v>5530</v>
      </c>
      <c r="AE271" s="5" t="str">
        <f t="shared" ca="1" si="34"/>
        <v>NO PRAZO</v>
      </c>
      <c r="AF271" s="49"/>
    </row>
    <row r="272" spans="1:32" ht="30" customHeight="1" x14ac:dyDescent="0.25">
      <c r="A272" s="5" t="s">
        <v>2145</v>
      </c>
      <c r="B272" s="5" t="s">
        <v>10</v>
      </c>
      <c r="C272" s="5" t="s">
        <v>5863</v>
      </c>
      <c r="D272" s="7" t="s">
        <v>2146</v>
      </c>
      <c r="E272" s="7" t="s">
        <v>311</v>
      </c>
      <c r="F272" s="7" t="s">
        <v>642</v>
      </c>
      <c r="G272" s="7" t="s">
        <v>2129</v>
      </c>
      <c r="H272" s="7" t="s">
        <v>10</v>
      </c>
      <c r="I272" s="7" t="s">
        <v>2147</v>
      </c>
      <c r="J272" s="7" t="s">
        <v>2147</v>
      </c>
      <c r="K272" s="5" t="s">
        <v>10</v>
      </c>
      <c r="L272" s="5" t="s">
        <v>10</v>
      </c>
      <c r="M272" s="5" t="s">
        <v>10</v>
      </c>
      <c r="N272" s="5" t="s">
        <v>45</v>
      </c>
      <c r="O272" s="95" t="s">
        <v>56</v>
      </c>
      <c r="P272" s="101">
        <v>46128</v>
      </c>
      <c r="Q272" s="100">
        <f t="shared" si="35"/>
        <v>46493</v>
      </c>
      <c r="R272" s="5" t="s">
        <v>2166</v>
      </c>
      <c r="S272" s="5" t="s">
        <v>5275</v>
      </c>
      <c r="T272" s="7">
        <v>0.06</v>
      </c>
      <c r="U272" s="7"/>
      <c r="V272" s="7">
        <f t="shared" si="36"/>
        <v>0.06</v>
      </c>
      <c r="W272" s="5" t="s">
        <v>10</v>
      </c>
      <c r="X272" s="5" t="s">
        <v>47</v>
      </c>
      <c r="Y272" s="48" t="str">
        <f t="shared" si="37"/>
        <v>A DEFINIR</v>
      </c>
      <c r="Z272" s="7" t="s">
        <v>56</v>
      </c>
      <c r="AA272" s="5">
        <v>11606739</v>
      </c>
      <c r="AB272" s="5" t="s">
        <v>4213</v>
      </c>
      <c r="AC272" s="5" t="s">
        <v>48</v>
      </c>
      <c r="AD272" s="5" t="s">
        <v>5530</v>
      </c>
      <c r="AE272" s="5" t="str">
        <f t="shared" ca="1" si="34"/>
        <v>NO PRAZO</v>
      </c>
      <c r="AF272" s="49"/>
    </row>
    <row r="273" spans="1:32" ht="30" customHeight="1" x14ac:dyDescent="0.25">
      <c r="A273" s="9" t="s">
        <v>1080</v>
      </c>
      <c r="B273" s="5" t="s">
        <v>10</v>
      </c>
      <c r="C273" s="5" t="s">
        <v>5863</v>
      </c>
      <c r="D273" s="61" t="s">
        <v>1081</v>
      </c>
      <c r="E273" s="7" t="s">
        <v>40</v>
      </c>
      <c r="F273" s="7" t="s">
        <v>90</v>
      </c>
      <c r="G273" s="61" t="s">
        <v>1082</v>
      </c>
      <c r="H273" s="61" t="s">
        <v>1083</v>
      </c>
      <c r="I273" s="62" t="s">
        <v>715</v>
      </c>
      <c r="J273" s="62" t="s">
        <v>715</v>
      </c>
      <c r="K273" s="5" t="s">
        <v>10</v>
      </c>
      <c r="L273" s="5" t="s">
        <v>10</v>
      </c>
      <c r="M273" s="5" t="s">
        <v>10</v>
      </c>
      <c r="N273" s="5" t="s">
        <v>45</v>
      </c>
      <c r="O273" s="80" t="s">
        <v>56</v>
      </c>
      <c r="P273" s="99">
        <v>46089</v>
      </c>
      <c r="Q273" s="100">
        <f t="shared" si="35"/>
        <v>46454</v>
      </c>
      <c r="R273" s="63" t="s">
        <v>2033</v>
      </c>
      <c r="S273" s="63" t="s">
        <v>4997</v>
      </c>
      <c r="T273" s="7">
        <v>0.158</v>
      </c>
      <c r="U273" s="5" t="s">
        <v>10</v>
      </c>
      <c r="V273" s="7">
        <f t="shared" si="36"/>
        <v>0.158</v>
      </c>
      <c r="W273" s="5" t="s">
        <v>10</v>
      </c>
      <c r="X273" s="7" t="s">
        <v>47</v>
      </c>
      <c r="Y273" s="48" t="str">
        <f t="shared" si="37"/>
        <v>A DEFINIR</v>
      </c>
      <c r="Z273" s="7" t="s">
        <v>56</v>
      </c>
      <c r="AA273" s="5">
        <v>11600101</v>
      </c>
      <c r="AB273" s="5" t="s">
        <v>2620</v>
      </c>
      <c r="AC273" s="5" t="s">
        <v>48</v>
      </c>
      <c r="AD273" s="5" t="s">
        <v>5530</v>
      </c>
      <c r="AE273" s="5" t="str">
        <f t="shared" ca="1" si="34"/>
        <v>NO PRAZO</v>
      </c>
      <c r="AF273" s="89"/>
    </row>
    <row r="274" spans="1:32" ht="30" customHeight="1" x14ac:dyDescent="0.25">
      <c r="A274" s="9" t="s">
        <v>1084</v>
      </c>
      <c r="B274" s="5" t="s">
        <v>10</v>
      </c>
      <c r="C274" s="5" t="s">
        <v>5863</v>
      </c>
      <c r="D274" s="61" t="s">
        <v>1081</v>
      </c>
      <c r="E274" s="7" t="s">
        <v>40</v>
      </c>
      <c r="F274" s="7" t="s">
        <v>90</v>
      </c>
      <c r="G274" s="61" t="s">
        <v>1085</v>
      </c>
      <c r="H274" s="61" t="s">
        <v>1083</v>
      </c>
      <c r="I274" s="62" t="s">
        <v>715</v>
      </c>
      <c r="J274" s="62" t="s">
        <v>715</v>
      </c>
      <c r="K274" s="5" t="s">
        <v>10</v>
      </c>
      <c r="L274" s="5" t="s">
        <v>10</v>
      </c>
      <c r="M274" s="5" t="s">
        <v>10</v>
      </c>
      <c r="N274" s="5" t="s">
        <v>45</v>
      </c>
      <c r="O274" s="80" t="s">
        <v>56</v>
      </c>
      <c r="P274" s="99">
        <v>46089</v>
      </c>
      <c r="Q274" s="100">
        <f t="shared" si="35"/>
        <v>46454</v>
      </c>
      <c r="R274" s="63" t="s">
        <v>2034</v>
      </c>
      <c r="S274" s="63" t="s">
        <v>4998</v>
      </c>
      <c r="T274" s="7">
        <v>0.158</v>
      </c>
      <c r="U274" s="5" t="s">
        <v>10</v>
      </c>
      <c r="V274" s="7">
        <f t="shared" si="36"/>
        <v>0.158</v>
      </c>
      <c r="W274" s="5" t="s">
        <v>10</v>
      </c>
      <c r="X274" s="7" t="s">
        <v>47</v>
      </c>
      <c r="Y274" s="48" t="str">
        <f t="shared" si="37"/>
        <v>A DEFINIR</v>
      </c>
      <c r="Z274" s="7" t="s">
        <v>56</v>
      </c>
      <c r="AA274" s="5">
        <v>11600102</v>
      </c>
      <c r="AB274" s="5" t="s">
        <v>2621</v>
      </c>
      <c r="AC274" s="5" t="s">
        <v>48</v>
      </c>
      <c r="AD274" s="5" t="s">
        <v>5530</v>
      </c>
      <c r="AE274" s="5" t="str">
        <f t="shared" ca="1" si="34"/>
        <v>NO PRAZO</v>
      </c>
      <c r="AF274" s="89"/>
    </row>
    <row r="275" spans="1:32" ht="30" customHeight="1" x14ac:dyDescent="0.25">
      <c r="A275" s="9" t="s">
        <v>1086</v>
      </c>
      <c r="B275" s="5" t="s">
        <v>10</v>
      </c>
      <c r="C275" s="5" t="s">
        <v>5863</v>
      </c>
      <c r="D275" s="61" t="s">
        <v>1081</v>
      </c>
      <c r="E275" s="7" t="s">
        <v>40</v>
      </c>
      <c r="F275" s="7" t="s">
        <v>90</v>
      </c>
      <c r="G275" s="61" t="s">
        <v>1087</v>
      </c>
      <c r="H275" s="61" t="s">
        <v>1083</v>
      </c>
      <c r="I275" s="62" t="s">
        <v>715</v>
      </c>
      <c r="J275" s="62" t="s">
        <v>715</v>
      </c>
      <c r="K275" s="5" t="s">
        <v>10</v>
      </c>
      <c r="L275" s="5" t="s">
        <v>10</v>
      </c>
      <c r="M275" s="5" t="s">
        <v>10</v>
      </c>
      <c r="N275" s="5" t="s">
        <v>45</v>
      </c>
      <c r="O275" s="80" t="s">
        <v>56</v>
      </c>
      <c r="P275" s="99">
        <v>46089</v>
      </c>
      <c r="Q275" s="100">
        <f t="shared" si="35"/>
        <v>46454</v>
      </c>
      <c r="R275" s="63" t="s">
        <v>2035</v>
      </c>
      <c r="S275" s="63" t="s">
        <v>4999</v>
      </c>
      <c r="T275" s="7">
        <v>0.158</v>
      </c>
      <c r="U275" s="5" t="s">
        <v>10</v>
      </c>
      <c r="V275" s="7">
        <f t="shared" si="36"/>
        <v>0.158</v>
      </c>
      <c r="W275" s="5" t="s">
        <v>10</v>
      </c>
      <c r="X275" s="7" t="s">
        <v>47</v>
      </c>
      <c r="Y275" s="48" t="str">
        <f t="shared" si="37"/>
        <v>A DEFINIR</v>
      </c>
      <c r="Z275" s="7" t="s">
        <v>56</v>
      </c>
      <c r="AA275" s="5">
        <v>11600103</v>
      </c>
      <c r="AB275" s="5" t="s">
        <v>2622</v>
      </c>
      <c r="AC275" s="5" t="s">
        <v>48</v>
      </c>
      <c r="AD275" s="5" t="s">
        <v>5530</v>
      </c>
      <c r="AE275" s="5" t="str">
        <f t="shared" ca="1" si="34"/>
        <v>NO PRAZO</v>
      </c>
      <c r="AF275" s="89"/>
    </row>
    <row r="276" spans="1:32" ht="30" customHeight="1" x14ac:dyDescent="0.25">
      <c r="A276" s="9" t="s">
        <v>1088</v>
      </c>
      <c r="B276" s="5" t="s">
        <v>10</v>
      </c>
      <c r="C276" s="5" t="s">
        <v>5863</v>
      </c>
      <c r="D276" s="61" t="s">
        <v>1081</v>
      </c>
      <c r="E276" s="7" t="s">
        <v>40</v>
      </c>
      <c r="F276" s="7" t="s">
        <v>90</v>
      </c>
      <c r="G276" s="61" t="s">
        <v>1089</v>
      </c>
      <c r="H276" s="61" t="s">
        <v>1083</v>
      </c>
      <c r="I276" s="62" t="s">
        <v>715</v>
      </c>
      <c r="J276" s="62" t="s">
        <v>715</v>
      </c>
      <c r="K276" s="5" t="s">
        <v>10</v>
      </c>
      <c r="L276" s="5" t="s">
        <v>10</v>
      </c>
      <c r="M276" s="5" t="s">
        <v>10</v>
      </c>
      <c r="N276" s="5" t="s">
        <v>45</v>
      </c>
      <c r="O276" s="80" t="s">
        <v>56</v>
      </c>
      <c r="P276" s="99">
        <v>46089</v>
      </c>
      <c r="Q276" s="100">
        <f t="shared" si="35"/>
        <v>46454</v>
      </c>
      <c r="R276" s="63" t="s">
        <v>2036</v>
      </c>
      <c r="S276" s="63" t="s">
        <v>5168</v>
      </c>
      <c r="T276" s="7">
        <v>0.35799999999999998</v>
      </c>
      <c r="U276" s="5" t="s">
        <v>10</v>
      </c>
      <c r="V276" s="7">
        <f t="shared" si="36"/>
        <v>0.35799999999999998</v>
      </c>
      <c r="W276" s="5" t="s">
        <v>10</v>
      </c>
      <c r="X276" s="7" t="s">
        <v>47</v>
      </c>
      <c r="Y276" s="48" t="str">
        <f t="shared" si="37"/>
        <v>A DEFINIR</v>
      </c>
      <c r="Z276" s="7" t="s">
        <v>56</v>
      </c>
      <c r="AA276" s="5">
        <v>11600104</v>
      </c>
      <c r="AB276" s="5" t="s">
        <v>2623</v>
      </c>
      <c r="AC276" s="5" t="s">
        <v>48</v>
      </c>
      <c r="AD276" s="5" t="s">
        <v>5530</v>
      </c>
      <c r="AE276" s="5" t="str">
        <f t="shared" ca="1" si="34"/>
        <v>NO PRAZO</v>
      </c>
      <c r="AF276" s="89"/>
    </row>
    <row r="277" spans="1:32" ht="30" customHeight="1" x14ac:dyDescent="0.25">
      <c r="A277" s="9" t="s">
        <v>1090</v>
      </c>
      <c r="B277" s="5" t="s">
        <v>10</v>
      </c>
      <c r="C277" s="5" t="s">
        <v>5863</v>
      </c>
      <c r="D277" s="61" t="s">
        <v>1081</v>
      </c>
      <c r="E277" s="7" t="s">
        <v>40</v>
      </c>
      <c r="F277" s="7" t="s">
        <v>90</v>
      </c>
      <c r="G277" s="61" t="s">
        <v>1091</v>
      </c>
      <c r="H277" s="61" t="s">
        <v>1083</v>
      </c>
      <c r="I277" s="62" t="s">
        <v>715</v>
      </c>
      <c r="J277" s="62" t="s">
        <v>715</v>
      </c>
      <c r="K277" s="5" t="s">
        <v>10</v>
      </c>
      <c r="L277" s="5" t="s">
        <v>10</v>
      </c>
      <c r="M277" s="5" t="s">
        <v>10</v>
      </c>
      <c r="N277" s="5" t="s">
        <v>45</v>
      </c>
      <c r="O277" s="80" t="s">
        <v>56</v>
      </c>
      <c r="P277" s="99">
        <v>46089</v>
      </c>
      <c r="Q277" s="100">
        <f t="shared" si="35"/>
        <v>46454</v>
      </c>
      <c r="R277" s="63" t="s">
        <v>2037</v>
      </c>
      <c r="S277" s="63" t="s">
        <v>5001</v>
      </c>
      <c r="T277" s="7">
        <v>5.8999999999999997E-2</v>
      </c>
      <c r="U277" s="5" t="s">
        <v>10</v>
      </c>
      <c r="V277" s="7">
        <f t="shared" si="36"/>
        <v>5.8999999999999997E-2</v>
      </c>
      <c r="W277" s="5" t="s">
        <v>10</v>
      </c>
      <c r="X277" s="7" t="s">
        <v>47</v>
      </c>
      <c r="Y277" s="48" t="str">
        <f t="shared" si="37"/>
        <v>A DEFINIR</v>
      </c>
      <c r="Z277" s="7" t="s">
        <v>56</v>
      </c>
      <c r="AA277" s="5">
        <v>11600105</v>
      </c>
      <c r="AB277" s="5" t="s">
        <v>2624</v>
      </c>
      <c r="AC277" s="5" t="s">
        <v>48</v>
      </c>
      <c r="AD277" s="5" t="s">
        <v>5530</v>
      </c>
      <c r="AE277" s="5" t="str">
        <f t="shared" ca="1" si="34"/>
        <v>NO PRAZO</v>
      </c>
      <c r="AF277" s="89"/>
    </row>
    <row r="278" spans="1:32" ht="30" customHeight="1" x14ac:dyDescent="0.25">
      <c r="A278" s="9" t="s">
        <v>1092</v>
      </c>
      <c r="B278" s="5" t="s">
        <v>10</v>
      </c>
      <c r="C278" s="5" t="s">
        <v>5863</v>
      </c>
      <c r="D278" s="61" t="s">
        <v>1081</v>
      </c>
      <c r="E278" s="7" t="s">
        <v>40</v>
      </c>
      <c r="F278" s="7" t="s">
        <v>90</v>
      </c>
      <c r="G278" s="61" t="s">
        <v>1093</v>
      </c>
      <c r="H278" s="61" t="s">
        <v>1083</v>
      </c>
      <c r="I278" s="62" t="s">
        <v>715</v>
      </c>
      <c r="J278" s="62" t="s">
        <v>715</v>
      </c>
      <c r="K278" s="5" t="s">
        <v>10</v>
      </c>
      <c r="L278" s="5" t="s">
        <v>10</v>
      </c>
      <c r="M278" s="5" t="s">
        <v>10</v>
      </c>
      <c r="N278" s="5" t="s">
        <v>45</v>
      </c>
      <c r="O278" s="80" t="s">
        <v>56</v>
      </c>
      <c r="P278" s="99">
        <v>46089</v>
      </c>
      <c r="Q278" s="100">
        <f t="shared" si="35"/>
        <v>46454</v>
      </c>
      <c r="R278" s="63" t="s">
        <v>2038</v>
      </c>
      <c r="S278" s="63" t="s">
        <v>5002</v>
      </c>
      <c r="T278" s="7">
        <v>0.158</v>
      </c>
      <c r="U278" s="5" t="s">
        <v>10</v>
      </c>
      <c r="V278" s="7">
        <f t="shared" si="36"/>
        <v>0.158</v>
      </c>
      <c r="W278" s="5" t="s">
        <v>10</v>
      </c>
      <c r="X278" s="7" t="s">
        <v>47</v>
      </c>
      <c r="Y278" s="48" t="str">
        <f t="shared" si="37"/>
        <v>A DEFINIR</v>
      </c>
      <c r="Z278" s="7" t="s">
        <v>56</v>
      </c>
      <c r="AA278" s="5">
        <v>11600106</v>
      </c>
      <c r="AB278" s="5" t="s">
        <v>2625</v>
      </c>
      <c r="AC278" s="5" t="s">
        <v>48</v>
      </c>
      <c r="AD278" s="5" t="s">
        <v>5530</v>
      </c>
      <c r="AE278" s="5" t="str">
        <f t="shared" ca="1" si="34"/>
        <v>NO PRAZO</v>
      </c>
      <c r="AF278" s="89"/>
    </row>
    <row r="279" spans="1:32" ht="30" customHeight="1" x14ac:dyDescent="0.25">
      <c r="A279" s="5" t="s">
        <v>1094</v>
      </c>
      <c r="B279" s="5" t="s">
        <v>10</v>
      </c>
      <c r="C279" s="5" t="s">
        <v>5863</v>
      </c>
      <c r="D279" s="7" t="s">
        <v>712</v>
      </c>
      <c r="E279" s="7" t="s">
        <v>311</v>
      </c>
      <c r="F279" s="7" t="s">
        <v>642</v>
      </c>
      <c r="G279" s="7" t="s">
        <v>1078</v>
      </c>
      <c r="H279" s="7" t="s">
        <v>712</v>
      </c>
      <c r="I279" s="7" t="s">
        <v>715</v>
      </c>
      <c r="J279" s="7" t="s">
        <v>715</v>
      </c>
      <c r="K279" s="5" t="s">
        <v>10</v>
      </c>
      <c r="L279" s="5" t="s">
        <v>10</v>
      </c>
      <c r="M279" s="5" t="s">
        <v>10</v>
      </c>
      <c r="N279" s="5" t="s">
        <v>45</v>
      </c>
      <c r="O279" s="80" t="s">
        <v>56</v>
      </c>
      <c r="P279" s="101">
        <v>46128</v>
      </c>
      <c r="Q279" s="100">
        <f t="shared" si="35"/>
        <v>46493</v>
      </c>
      <c r="R279" s="5" t="s">
        <v>2103</v>
      </c>
      <c r="S279" s="5" t="s">
        <v>5365</v>
      </c>
      <c r="T279" s="7">
        <v>2.3E-2</v>
      </c>
      <c r="U279" s="7" t="s">
        <v>10</v>
      </c>
      <c r="V279" s="7">
        <f t="shared" si="36"/>
        <v>2.3E-2</v>
      </c>
      <c r="W279" s="5" t="s">
        <v>10</v>
      </c>
      <c r="X279" s="5" t="s">
        <v>47</v>
      </c>
      <c r="Y279" s="48" t="str">
        <f t="shared" si="37"/>
        <v>A DEFINIR</v>
      </c>
      <c r="Z279" s="7" t="s">
        <v>56</v>
      </c>
      <c r="AA279" s="5">
        <v>11541762</v>
      </c>
      <c r="AB279" s="5" t="s">
        <v>4137</v>
      </c>
      <c r="AC279" s="5" t="s">
        <v>48</v>
      </c>
      <c r="AD279" s="5" t="s">
        <v>5530</v>
      </c>
      <c r="AE279" s="5" t="str">
        <f t="shared" ca="1" si="34"/>
        <v>NO PRAZO</v>
      </c>
      <c r="AF279" s="53"/>
    </row>
    <row r="280" spans="1:32" ht="30" customHeight="1" x14ac:dyDescent="0.25">
      <c r="A280" s="5" t="s">
        <v>3229</v>
      </c>
      <c r="B280" s="5" t="s">
        <v>10</v>
      </c>
      <c r="C280" s="5" t="s">
        <v>5863</v>
      </c>
      <c r="D280" s="7" t="s">
        <v>712</v>
      </c>
      <c r="E280" s="7" t="s">
        <v>311</v>
      </c>
      <c r="F280" s="7" t="s">
        <v>642</v>
      </c>
      <c r="G280" s="7" t="s">
        <v>713</v>
      </c>
      <c r="H280" s="7" t="s">
        <v>714</v>
      </c>
      <c r="I280" s="7" t="s">
        <v>715</v>
      </c>
      <c r="J280" s="7" t="s">
        <v>715</v>
      </c>
      <c r="K280" s="5" t="s">
        <v>10</v>
      </c>
      <c r="L280" s="5" t="s">
        <v>10</v>
      </c>
      <c r="M280" s="5" t="s">
        <v>10</v>
      </c>
      <c r="N280" s="5" t="s">
        <v>45</v>
      </c>
      <c r="O280" s="46" t="s">
        <v>46</v>
      </c>
      <c r="P280" s="101">
        <v>46079</v>
      </c>
      <c r="Q280" s="100">
        <f t="shared" si="35"/>
        <v>46444</v>
      </c>
      <c r="R280" s="63" t="s">
        <v>2016</v>
      </c>
      <c r="S280" s="63" t="s">
        <v>4962</v>
      </c>
      <c r="T280" s="7">
        <v>4.9000000000000002E-2</v>
      </c>
      <c r="U280" s="7" t="s">
        <v>10</v>
      </c>
      <c r="V280" s="7">
        <f t="shared" si="36"/>
        <v>4.9000000000000002E-2</v>
      </c>
      <c r="W280" s="5" t="s">
        <v>10</v>
      </c>
      <c r="X280" s="5" t="s">
        <v>47</v>
      </c>
      <c r="Y280" s="48" t="str">
        <f t="shared" si="37"/>
        <v>A DEFINIR</v>
      </c>
      <c r="Z280" s="7" t="s">
        <v>56</v>
      </c>
      <c r="AA280" s="5">
        <v>11603770</v>
      </c>
      <c r="AB280" s="5" t="s">
        <v>2503</v>
      </c>
      <c r="AC280" s="5" t="s">
        <v>48</v>
      </c>
      <c r="AD280" s="5" t="s">
        <v>5530</v>
      </c>
      <c r="AE280" s="5" t="str">
        <f t="shared" ca="1" si="34"/>
        <v>NO PRAZO</v>
      </c>
      <c r="AF280" s="49"/>
    </row>
    <row r="281" spans="1:32" ht="30" customHeight="1" x14ac:dyDescent="0.25">
      <c r="A281" s="5" t="s">
        <v>3252</v>
      </c>
      <c r="B281" s="5" t="s">
        <v>10</v>
      </c>
      <c r="C281" s="5" t="s">
        <v>5863</v>
      </c>
      <c r="D281" s="7" t="s">
        <v>712</v>
      </c>
      <c r="E281" s="7" t="s">
        <v>68</v>
      </c>
      <c r="F281" s="7" t="s">
        <v>86</v>
      </c>
      <c r="G281" s="7" t="s">
        <v>10</v>
      </c>
      <c r="H281" s="7" t="s">
        <v>2494</v>
      </c>
      <c r="I281" s="7" t="s">
        <v>2147</v>
      </c>
      <c r="J281" s="7" t="s">
        <v>2147</v>
      </c>
      <c r="K281" s="5" t="s">
        <v>10</v>
      </c>
      <c r="L281" s="5" t="s">
        <v>45</v>
      </c>
      <c r="M281" s="5" t="s">
        <v>10</v>
      </c>
      <c r="N281" s="5" t="s">
        <v>10</v>
      </c>
      <c r="O281" s="46" t="s">
        <v>46</v>
      </c>
      <c r="P281" s="105">
        <v>46186</v>
      </c>
      <c r="Q281" s="100">
        <f t="shared" si="35"/>
        <v>46551</v>
      </c>
      <c r="R281" s="7" t="s">
        <v>2495</v>
      </c>
      <c r="S281" s="7" t="s">
        <v>5641</v>
      </c>
      <c r="T281" s="7">
        <v>0.28000000000000003</v>
      </c>
      <c r="U281" s="7"/>
      <c r="V281" s="7">
        <f t="shared" si="36"/>
        <v>0.28000000000000003</v>
      </c>
      <c r="W281" s="7" t="s">
        <v>10</v>
      </c>
      <c r="X281" s="7" t="s">
        <v>47</v>
      </c>
      <c r="Y281" s="48" t="str">
        <f t="shared" si="37"/>
        <v>A DEFINIR</v>
      </c>
      <c r="Z281" s="7" t="s">
        <v>56</v>
      </c>
      <c r="AA281" s="5">
        <v>11606719</v>
      </c>
      <c r="AB281" s="5" t="s">
        <v>4192</v>
      </c>
      <c r="AC281" s="5" t="s">
        <v>48</v>
      </c>
      <c r="AD281" s="5" t="s">
        <v>5632</v>
      </c>
      <c r="AE281" s="5" t="str">
        <f t="shared" ca="1" si="34"/>
        <v>NO PRAZO</v>
      </c>
      <c r="AF281" s="49"/>
    </row>
    <row r="282" spans="1:32" ht="30" customHeight="1" x14ac:dyDescent="0.25">
      <c r="A282" s="5" t="s">
        <v>5350</v>
      </c>
      <c r="B282" s="5" t="s">
        <v>10</v>
      </c>
      <c r="C282" s="5" t="s">
        <v>5863</v>
      </c>
      <c r="D282" s="7" t="s">
        <v>712</v>
      </c>
      <c r="E282" s="7" t="s">
        <v>311</v>
      </c>
      <c r="F282" s="7" t="s">
        <v>642</v>
      </c>
      <c r="G282" s="7" t="s">
        <v>2129</v>
      </c>
      <c r="H282" s="7" t="s">
        <v>10</v>
      </c>
      <c r="I282" s="7" t="s">
        <v>715</v>
      </c>
      <c r="J282" s="7" t="s">
        <v>715</v>
      </c>
      <c r="K282" s="5" t="s">
        <v>10</v>
      </c>
      <c r="L282" s="5" t="s">
        <v>10</v>
      </c>
      <c r="M282" s="5" t="s">
        <v>10</v>
      </c>
      <c r="N282" s="5" t="s">
        <v>45</v>
      </c>
      <c r="O282" s="95" t="s">
        <v>56</v>
      </c>
      <c r="P282" s="101">
        <v>46128</v>
      </c>
      <c r="Q282" s="100">
        <f t="shared" si="35"/>
        <v>46493</v>
      </c>
      <c r="R282" s="5" t="s">
        <v>2153</v>
      </c>
      <c r="S282" s="5" t="s">
        <v>5276</v>
      </c>
      <c r="T282" s="7">
        <v>8.1000000000000003E-2</v>
      </c>
      <c r="U282" s="7"/>
      <c r="V282" s="7">
        <f t="shared" si="36"/>
        <v>8.1000000000000003E-2</v>
      </c>
      <c r="W282" s="5" t="s">
        <v>10</v>
      </c>
      <c r="X282" s="5" t="s">
        <v>47</v>
      </c>
      <c r="Y282" s="48" t="str">
        <f t="shared" si="37"/>
        <v>A DEFINIR</v>
      </c>
      <c r="Z282" s="7" t="s">
        <v>56</v>
      </c>
      <c r="AA282" s="5">
        <v>11606725</v>
      </c>
      <c r="AB282" s="5" t="s">
        <v>4199</v>
      </c>
      <c r="AC282" s="5" t="s">
        <v>48</v>
      </c>
      <c r="AD282" s="5" t="s">
        <v>5530</v>
      </c>
      <c r="AE282" s="5" t="str">
        <f t="shared" ca="1" si="34"/>
        <v>NO PRAZO</v>
      </c>
      <c r="AF282" s="49"/>
    </row>
    <row r="283" spans="1:32" ht="30" customHeight="1" x14ac:dyDescent="0.25">
      <c r="A283" s="9" t="s">
        <v>1095</v>
      </c>
      <c r="B283" s="5" t="s">
        <v>10</v>
      </c>
      <c r="C283" s="5" t="s">
        <v>5863</v>
      </c>
      <c r="D283" s="61" t="s">
        <v>712</v>
      </c>
      <c r="E283" s="7" t="s">
        <v>40</v>
      </c>
      <c r="F283" s="7" t="s">
        <v>90</v>
      </c>
      <c r="G283" s="61" t="s">
        <v>1082</v>
      </c>
      <c r="H283" s="61" t="s">
        <v>1083</v>
      </c>
      <c r="I283" s="62" t="s">
        <v>715</v>
      </c>
      <c r="J283" s="62" t="s">
        <v>715</v>
      </c>
      <c r="K283" s="5" t="s">
        <v>10</v>
      </c>
      <c r="L283" s="5" t="s">
        <v>10</v>
      </c>
      <c r="M283" s="5" t="s">
        <v>10</v>
      </c>
      <c r="N283" s="5" t="s">
        <v>45</v>
      </c>
      <c r="O283" s="80" t="s">
        <v>56</v>
      </c>
      <c r="P283" s="99">
        <v>46089</v>
      </c>
      <c r="Q283" s="100">
        <f t="shared" si="35"/>
        <v>46454</v>
      </c>
      <c r="R283" s="63" t="s">
        <v>2039</v>
      </c>
      <c r="S283" s="63" t="s">
        <v>5003</v>
      </c>
      <c r="T283" s="7">
        <v>0.36199999999999999</v>
      </c>
      <c r="U283" s="5" t="s">
        <v>10</v>
      </c>
      <c r="V283" s="7">
        <f t="shared" si="36"/>
        <v>0.36199999999999999</v>
      </c>
      <c r="W283" s="5" t="s">
        <v>10</v>
      </c>
      <c r="X283" s="7" t="s">
        <v>1096</v>
      </c>
      <c r="Y283" s="48" t="str">
        <f t="shared" si="37"/>
        <v>A DEFINIR</v>
      </c>
      <c r="Z283" s="7" t="s">
        <v>56</v>
      </c>
      <c r="AA283" s="5">
        <v>11600095</v>
      </c>
      <c r="AB283" s="5" t="s">
        <v>2626</v>
      </c>
      <c r="AC283" s="5" t="s">
        <v>48</v>
      </c>
      <c r="AD283" s="5" t="s">
        <v>5530</v>
      </c>
      <c r="AE283" s="5" t="str">
        <f t="shared" ca="1" si="34"/>
        <v>NO PRAZO</v>
      </c>
      <c r="AF283" s="89"/>
    </row>
    <row r="284" spans="1:32" ht="30" customHeight="1" x14ac:dyDescent="0.25">
      <c r="A284" s="9" t="s">
        <v>1097</v>
      </c>
      <c r="B284" s="5" t="s">
        <v>10</v>
      </c>
      <c r="C284" s="5" t="s">
        <v>5863</v>
      </c>
      <c r="D284" s="61" t="s">
        <v>712</v>
      </c>
      <c r="E284" s="7" t="s">
        <v>40</v>
      </c>
      <c r="F284" s="7" t="s">
        <v>90</v>
      </c>
      <c r="G284" s="61" t="s">
        <v>1085</v>
      </c>
      <c r="H284" s="61" t="s">
        <v>1083</v>
      </c>
      <c r="I284" s="62" t="s">
        <v>715</v>
      </c>
      <c r="J284" s="62" t="s">
        <v>715</v>
      </c>
      <c r="K284" s="5" t="s">
        <v>10</v>
      </c>
      <c r="L284" s="5" t="s">
        <v>10</v>
      </c>
      <c r="M284" s="5" t="s">
        <v>10</v>
      </c>
      <c r="N284" s="5" t="s">
        <v>45</v>
      </c>
      <c r="O284" s="80" t="s">
        <v>56</v>
      </c>
      <c r="P284" s="99">
        <v>46089</v>
      </c>
      <c r="Q284" s="100">
        <f t="shared" si="35"/>
        <v>46454</v>
      </c>
      <c r="R284" s="63" t="s">
        <v>2040</v>
      </c>
      <c r="S284" s="63" t="s">
        <v>5004</v>
      </c>
      <c r="T284" s="7">
        <v>0.183</v>
      </c>
      <c r="U284" s="5" t="s">
        <v>10</v>
      </c>
      <c r="V284" s="7">
        <f t="shared" si="36"/>
        <v>0.183</v>
      </c>
      <c r="W284" s="5" t="s">
        <v>10</v>
      </c>
      <c r="X284" s="7" t="s">
        <v>1096</v>
      </c>
      <c r="Y284" s="48" t="str">
        <f t="shared" si="37"/>
        <v>A DEFINIR</v>
      </c>
      <c r="Z284" s="7" t="s">
        <v>56</v>
      </c>
      <c r="AA284" s="5">
        <v>11600096</v>
      </c>
      <c r="AB284" s="5" t="s">
        <v>2627</v>
      </c>
      <c r="AC284" s="5" t="s">
        <v>48</v>
      </c>
      <c r="AD284" s="5" t="s">
        <v>5530</v>
      </c>
      <c r="AE284" s="5" t="str">
        <f t="shared" ca="1" si="34"/>
        <v>NO PRAZO</v>
      </c>
      <c r="AF284" s="89"/>
    </row>
    <row r="285" spans="1:32" ht="30" customHeight="1" x14ac:dyDescent="0.25">
      <c r="A285" s="9" t="s">
        <v>1098</v>
      </c>
      <c r="B285" s="5" t="s">
        <v>10</v>
      </c>
      <c r="C285" s="5" t="s">
        <v>5863</v>
      </c>
      <c r="D285" s="61" t="s">
        <v>712</v>
      </c>
      <c r="E285" s="7" t="s">
        <v>40</v>
      </c>
      <c r="F285" s="7" t="s">
        <v>90</v>
      </c>
      <c r="G285" s="61" t="s">
        <v>1087</v>
      </c>
      <c r="H285" s="61" t="s">
        <v>1083</v>
      </c>
      <c r="I285" s="62" t="s">
        <v>715</v>
      </c>
      <c r="J285" s="62" t="s">
        <v>715</v>
      </c>
      <c r="K285" s="5" t="s">
        <v>10</v>
      </c>
      <c r="L285" s="5" t="s">
        <v>10</v>
      </c>
      <c r="M285" s="5" t="s">
        <v>10</v>
      </c>
      <c r="N285" s="5" t="s">
        <v>45</v>
      </c>
      <c r="O285" s="80" t="s">
        <v>56</v>
      </c>
      <c r="P285" s="99">
        <v>46089</v>
      </c>
      <c r="Q285" s="100">
        <f t="shared" si="35"/>
        <v>46454</v>
      </c>
      <c r="R285" s="63" t="s">
        <v>2067</v>
      </c>
      <c r="S285" s="63" t="s">
        <v>5005</v>
      </c>
      <c r="T285" s="7">
        <v>0.29899999999999999</v>
      </c>
      <c r="U285" s="5" t="s">
        <v>10</v>
      </c>
      <c r="V285" s="7">
        <f t="shared" si="36"/>
        <v>0.29899999999999999</v>
      </c>
      <c r="W285" s="5" t="s">
        <v>10</v>
      </c>
      <c r="X285" s="7" t="s">
        <v>1096</v>
      </c>
      <c r="Y285" s="48" t="str">
        <f t="shared" si="37"/>
        <v>A DEFINIR</v>
      </c>
      <c r="Z285" s="7" t="s">
        <v>56</v>
      </c>
      <c r="AA285" s="5">
        <v>11600097</v>
      </c>
      <c r="AB285" s="5" t="s">
        <v>2628</v>
      </c>
      <c r="AC285" s="5" t="s">
        <v>48</v>
      </c>
      <c r="AD285" s="5" t="s">
        <v>5530</v>
      </c>
      <c r="AE285" s="5" t="str">
        <f t="shared" ca="1" si="34"/>
        <v>NO PRAZO</v>
      </c>
      <c r="AF285" s="89"/>
    </row>
    <row r="286" spans="1:32" ht="30" customHeight="1" x14ac:dyDescent="0.25">
      <c r="A286" s="9" t="s">
        <v>1099</v>
      </c>
      <c r="B286" s="5" t="s">
        <v>10</v>
      </c>
      <c r="C286" s="5" t="s">
        <v>5863</v>
      </c>
      <c r="D286" s="61" t="s">
        <v>712</v>
      </c>
      <c r="E286" s="7" t="s">
        <v>40</v>
      </c>
      <c r="F286" s="7" t="s">
        <v>90</v>
      </c>
      <c r="G286" s="61" t="s">
        <v>1089</v>
      </c>
      <c r="H286" s="61" t="s">
        <v>1083</v>
      </c>
      <c r="I286" s="62" t="s">
        <v>715</v>
      </c>
      <c r="J286" s="62" t="s">
        <v>715</v>
      </c>
      <c r="K286" s="5" t="s">
        <v>10</v>
      </c>
      <c r="L286" s="5" t="s">
        <v>10</v>
      </c>
      <c r="M286" s="5" t="s">
        <v>10</v>
      </c>
      <c r="N286" s="5" t="s">
        <v>45</v>
      </c>
      <c r="O286" s="80" t="s">
        <v>56</v>
      </c>
      <c r="P286" s="99">
        <v>46089</v>
      </c>
      <c r="Q286" s="100">
        <f t="shared" si="35"/>
        <v>46454</v>
      </c>
      <c r="R286" s="63" t="s">
        <v>2041</v>
      </c>
      <c r="S286" s="63" t="s">
        <v>5006</v>
      </c>
      <c r="T286" s="7">
        <v>8.2000000000000003E-2</v>
      </c>
      <c r="U286" s="5" t="s">
        <v>10</v>
      </c>
      <c r="V286" s="7">
        <f t="shared" si="36"/>
        <v>8.2000000000000003E-2</v>
      </c>
      <c r="W286" s="5" t="s">
        <v>10</v>
      </c>
      <c r="X286" s="7" t="s">
        <v>1096</v>
      </c>
      <c r="Y286" s="48" t="str">
        <f t="shared" si="37"/>
        <v>A DEFINIR</v>
      </c>
      <c r="Z286" s="7" t="s">
        <v>56</v>
      </c>
      <c r="AA286" s="5">
        <v>11600098</v>
      </c>
      <c r="AB286" s="5" t="s">
        <v>2629</v>
      </c>
      <c r="AC286" s="5" t="s">
        <v>48</v>
      </c>
      <c r="AD286" s="5" t="s">
        <v>5530</v>
      </c>
      <c r="AE286" s="5" t="str">
        <f t="shared" ca="1" si="34"/>
        <v>NO PRAZO</v>
      </c>
      <c r="AF286" s="89"/>
    </row>
    <row r="287" spans="1:32" ht="30" customHeight="1" x14ac:dyDescent="0.25">
      <c r="A287" s="9" t="s">
        <v>1100</v>
      </c>
      <c r="B287" s="5" t="s">
        <v>10</v>
      </c>
      <c r="C287" s="5" t="s">
        <v>5863</v>
      </c>
      <c r="D287" s="61" t="s">
        <v>712</v>
      </c>
      <c r="E287" s="7" t="s">
        <v>40</v>
      </c>
      <c r="F287" s="7" t="s">
        <v>90</v>
      </c>
      <c r="G287" s="61" t="s">
        <v>1091</v>
      </c>
      <c r="H287" s="61" t="s">
        <v>1083</v>
      </c>
      <c r="I287" s="62" t="s">
        <v>715</v>
      </c>
      <c r="J287" s="62" t="s">
        <v>715</v>
      </c>
      <c r="K287" s="5" t="s">
        <v>10</v>
      </c>
      <c r="L287" s="5" t="s">
        <v>10</v>
      </c>
      <c r="M287" s="5" t="s">
        <v>10</v>
      </c>
      <c r="N287" s="5" t="s">
        <v>45</v>
      </c>
      <c r="O287" s="80" t="s">
        <v>56</v>
      </c>
      <c r="P287" s="99">
        <v>46089</v>
      </c>
      <c r="Q287" s="100">
        <f t="shared" si="35"/>
        <v>46454</v>
      </c>
      <c r="R287" s="63" t="s">
        <v>2042</v>
      </c>
      <c r="S287" s="63" t="s">
        <v>5007</v>
      </c>
      <c r="T287" s="7">
        <v>0.18099999999999999</v>
      </c>
      <c r="U287" s="5" t="s">
        <v>10</v>
      </c>
      <c r="V287" s="7">
        <f t="shared" si="36"/>
        <v>0.18099999999999999</v>
      </c>
      <c r="W287" s="5" t="s">
        <v>10</v>
      </c>
      <c r="X287" s="7" t="s">
        <v>1096</v>
      </c>
      <c r="Y287" s="48" t="str">
        <f t="shared" si="37"/>
        <v>A DEFINIR</v>
      </c>
      <c r="Z287" s="7" t="s">
        <v>56</v>
      </c>
      <c r="AA287" s="5">
        <v>11600099</v>
      </c>
      <c r="AB287" s="5" t="s">
        <v>2630</v>
      </c>
      <c r="AC287" s="5" t="s">
        <v>48</v>
      </c>
      <c r="AD287" s="5" t="s">
        <v>5530</v>
      </c>
      <c r="AE287" s="5" t="str">
        <f t="shared" ca="1" si="34"/>
        <v>NO PRAZO</v>
      </c>
      <c r="AF287" s="89"/>
    </row>
    <row r="288" spans="1:32" ht="30" customHeight="1" x14ac:dyDescent="0.25">
      <c r="A288" s="9" t="s">
        <v>1101</v>
      </c>
      <c r="B288" s="5" t="s">
        <v>10</v>
      </c>
      <c r="C288" s="5" t="s">
        <v>5863</v>
      </c>
      <c r="D288" s="61" t="s">
        <v>712</v>
      </c>
      <c r="E288" s="7" t="s">
        <v>40</v>
      </c>
      <c r="F288" s="7" t="s">
        <v>90</v>
      </c>
      <c r="G288" s="61" t="s">
        <v>1093</v>
      </c>
      <c r="H288" s="61" t="s">
        <v>1083</v>
      </c>
      <c r="I288" s="62" t="s">
        <v>715</v>
      </c>
      <c r="J288" s="62" t="s">
        <v>715</v>
      </c>
      <c r="K288" s="5" t="s">
        <v>10</v>
      </c>
      <c r="L288" s="5" t="s">
        <v>10</v>
      </c>
      <c r="M288" s="5" t="s">
        <v>10</v>
      </c>
      <c r="N288" s="5" t="s">
        <v>45</v>
      </c>
      <c r="O288" s="80" t="s">
        <v>56</v>
      </c>
      <c r="P288" s="99">
        <v>46089</v>
      </c>
      <c r="Q288" s="100">
        <f t="shared" si="35"/>
        <v>46454</v>
      </c>
      <c r="R288" s="63" t="s">
        <v>2043</v>
      </c>
      <c r="S288" s="63" t="s">
        <v>5008</v>
      </c>
      <c r="T288" s="7">
        <v>0.13200000000000001</v>
      </c>
      <c r="U288" s="5" t="s">
        <v>10</v>
      </c>
      <c r="V288" s="7">
        <f t="shared" si="36"/>
        <v>0.13200000000000001</v>
      </c>
      <c r="W288" s="5" t="s">
        <v>10</v>
      </c>
      <c r="X288" s="7" t="s">
        <v>1096</v>
      </c>
      <c r="Y288" s="48" t="str">
        <f t="shared" si="37"/>
        <v>A DEFINIR</v>
      </c>
      <c r="Z288" s="7" t="s">
        <v>56</v>
      </c>
      <c r="AA288" s="5">
        <v>11600100</v>
      </c>
      <c r="AB288" s="5" t="s">
        <v>2631</v>
      </c>
      <c r="AC288" s="5" t="s">
        <v>48</v>
      </c>
      <c r="AD288" s="5" t="s">
        <v>5530</v>
      </c>
      <c r="AE288" s="5" t="str">
        <f t="shared" ca="1" si="34"/>
        <v>NO PRAZO</v>
      </c>
      <c r="AF288" s="89"/>
    </row>
    <row r="289" spans="1:32" ht="30" customHeight="1" x14ac:dyDescent="0.25">
      <c r="A289" s="5" t="s">
        <v>5564</v>
      </c>
      <c r="B289" s="5" t="s">
        <v>1102</v>
      </c>
      <c r="C289" s="5" t="s">
        <v>5863</v>
      </c>
      <c r="D289" s="7" t="s">
        <v>712</v>
      </c>
      <c r="E289" s="7" t="s">
        <v>311</v>
      </c>
      <c r="F289" s="7" t="s">
        <v>642</v>
      </c>
      <c r="G289" s="7" t="s">
        <v>710</v>
      </c>
      <c r="H289" s="55" t="s">
        <v>710</v>
      </c>
      <c r="I289" s="7" t="s">
        <v>711</v>
      </c>
      <c r="J289" s="7" t="s">
        <v>711</v>
      </c>
      <c r="K289" s="5" t="s">
        <v>10</v>
      </c>
      <c r="L289" s="5" t="s">
        <v>10</v>
      </c>
      <c r="M289" s="5" t="s">
        <v>10</v>
      </c>
      <c r="N289" s="5" t="s">
        <v>45</v>
      </c>
      <c r="O289" s="80" t="s">
        <v>56</v>
      </c>
      <c r="P289" s="101">
        <v>46158</v>
      </c>
      <c r="Q289" s="100">
        <f t="shared" si="35"/>
        <v>46523</v>
      </c>
      <c r="R289" s="5" t="s">
        <v>2322</v>
      </c>
      <c r="S289" s="5" t="s">
        <v>5479</v>
      </c>
      <c r="T289" s="7">
        <v>5.1999999999999998E-2</v>
      </c>
      <c r="U289" s="7" t="s">
        <v>10</v>
      </c>
      <c r="V289" s="7">
        <f t="shared" si="36"/>
        <v>5.1999999999999998E-2</v>
      </c>
      <c r="W289" s="5" t="s">
        <v>10</v>
      </c>
      <c r="X289" s="5" t="s">
        <v>47</v>
      </c>
      <c r="Y289" s="48" t="str">
        <f t="shared" si="37"/>
        <v>A DEFINIR</v>
      </c>
      <c r="Z289" s="7" t="s">
        <v>56</v>
      </c>
      <c r="AA289" s="5">
        <v>11540971</v>
      </c>
      <c r="AB289" s="5" t="s">
        <v>2849</v>
      </c>
      <c r="AC289" s="5" t="s">
        <v>48</v>
      </c>
      <c r="AD289" s="5" t="s">
        <v>5530</v>
      </c>
      <c r="AE289" s="5" t="str">
        <f t="shared" ca="1" si="34"/>
        <v>NO PRAZO</v>
      </c>
      <c r="AF289" s="49"/>
    </row>
    <row r="290" spans="1:32" ht="30" customHeight="1" x14ac:dyDescent="0.25">
      <c r="A290" s="5" t="s">
        <v>1103</v>
      </c>
      <c r="B290" s="5" t="s">
        <v>10</v>
      </c>
      <c r="C290" s="5" t="s">
        <v>5863</v>
      </c>
      <c r="D290" s="7" t="s">
        <v>1104</v>
      </c>
      <c r="E290" s="7" t="s">
        <v>256</v>
      </c>
      <c r="F290" s="7" t="s">
        <v>317</v>
      </c>
      <c r="G290" s="34" t="s">
        <v>1877</v>
      </c>
      <c r="H290" s="7" t="s">
        <v>1105</v>
      </c>
      <c r="I290" s="7" t="s">
        <v>1106</v>
      </c>
      <c r="J290" s="7" t="s">
        <v>1106</v>
      </c>
      <c r="K290" s="5" t="s">
        <v>10</v>
      </c>
      <c r="L290" s="5" t="s">
        <v>10</v>
      </c>
      <c r="M290" s="5" t="s">
        <v>10</v>
      </c>
      <c r="N290" s="5" t="s">
        <v>45</v>
      </c>
      <c r="O290" s="80" t="s">
        <v>56</v>
      </c>
      <c r="P290" s="101">
        <v>46028</v>
      </c>
      <c r="Q290" s="100">
        <f t="shared" si="35"/>
        <v>46393</v>
      </c>
      <c r="R290" s="90" t="s">
        <v>1859</v>
      </c>
      <c r="S290" s="90" t="s">
        <v>4424</v>
      </c>
      <c r="T290" s="7">
        <v>4.2000000000000003E-2</v>
      </c>
      <c r="U290" s="7" t="s">
        <v>10</v>
      </c>
      <c r="V290" s="7">
        <f t="shared" si="36"/>
        <v>4.2000000000000003E-2</v>
      </c>
      <c r="W290" s="7">
        <v>0.1</v>
      </c>
      <c r="X290" s="7" t="s">
        <v>1107</v>
      </c>
      <c r="Y290" s="48" t="str">
        <f t="shared" si="37"/>
        <v>APROVADO</v>
      </c>
      <c r="Z290" s="7" t="s">
        <v>56</v>
      </c>
      <c r="AA290" s="5">
        <v>11599712</v>
      </c>
      <c r="AB290" s="5" t="s">
        <v>3915</v>
      </c>
      <c r="AC290" s="5" t="s">
        <v>48</v>
      </c>
      <c r="AD290" s="5" t="s">
        <v>5530</v>
      </c>
      <c r="AE290" s="5" t="str">
        <f t="shared" ca="1" si="34"/>
        <v>NO PRAZO</v>
      </c>
      <c r="AF290" s="49"/>
    </row>
    <row r="291" spans="1:32" ht="30" customHeight="1" x14ac:dyDescent="0.25">
      <c r="A291" s="5" t="s">
        <v>1108</v>
      </c>
      <c r="B291" s="5" t="s">
        <v>10</v>
      </c>
      <c r="C291" s="5" t="s">
        <v>5863</v>
      </c>
      <c r="D291" s="7" t="s">
        <v>1104</v>
      </c>
      <c r="E291" s="7" t="s">
        <v>256</v>
      </c>
      <c r="F291" s="7" t="s">
        <v>317</v>
      </c>
      <c r="G291" s="34" t="s">
        <v>1877</v>
      </c>
      <c r="H291" s="7" t="s">
        <v>1105</v>
      </c>
      <c r="I291" s="7" t="s">
        <v>1106</v>
      </c>
      <c r="J291" s="7" t="s">
        <v>1109</v>
      </c>
      <c r="K291" s="5" t="s">
        <v>10</v>
      </c>
      <c r="L291" s="5" t="s">
        <v>45</v>
      </c>
      <c r="M291" s="5" t="s">
        <v>10</v>
      </c>
      <c r="N291" s="5" t="s">
        <v>10</v>
      </c>
      <c r="O291" s="46" t="s">
        <v>46</v>
      </c>
      <c r="P291" s="101">
        <v>46028</v>
      </c>
      <c r="Q291" s="100">
        <f t="shared" si="35"/>
        <v>46393</v>
      </c>
      <c r="R291" s="7" t="s">
        <v>1858</v>
      </c>
      <c r="S291" s="7" t="s">
        <v>4425</v>
      </c>
      <c r="T291" s="5">
        <v>4.2000000000000003E-2</v>
      </c>
      <c r="U291" s="7" t="s">
        <v>10</v>
      </c>
      <c r="V291" s="7">
        <f t="shared" si="36"/>
        <v>4.2000000000000003E-2</v>
      </c>
      <c r="W291" s="5">
        <v>0.1</v>
      </c>
      <c r="X291" s="5" t="s">
        <v>1107</v>
      </c>
      <c r="Y291" s="48" t="str">
        <f t="shared" si="37"/>
        <v>APROVADO</v>
      </c>
      <c r="Z291" s="7" t="s">
        <v>56</v>
      </c>
      <c r="AA291" s="5">
        <v>11599798</v>
      </c>
      <c r="AB291" s="5" t="s">
        <v>3916</v>
      </c>
      <c r="AC291" s="5" t="s">
        <v>48</v>
      </c>
      <c r="AD291" s="5" t="s">
        <v>5530</v>
      </c>
      <c r="AE291" s="5" t="str">
        <f t="shared" ca="1" si="34"/>
        <v>NO PRAZO</v>
      </c>
      <c r="AF291" s="49"/>
    </row>
    <row r="292" spans="1:32" ht="30" customHeight="1" x14ac:dyDescent="0.25">
      <c r="A292" s="5" t="s">
        <v>3734</v>
      </c>
      <c r="B292" s="130" t="s">
        <v>10</v>
      </c>
      <c r="C292" s="5" t="s">
        <v>5863</v>
      </c>
      <c r="D292" s="7" t="s">
        <v>3735</v>
      </c>
      <c r="E292" s="134" t="s">
        <v>50</v>
      </c>
      <c r="F292" s="134" t="s">
        <v>589</v>
      </c>
      <c r="G292" s="7" t="s">
        <v>3736</v>
      </c>
      <c r="H292" s="7" t="s">
        <v>10</v>
      </c>
      <c r="I292" s="7" t="s">
        <v>3737</v>
      </c>
      <c r="J292" s="7" t="s">
        <v>3737</v>
      </c>
      <c r="K292" s="7" t="s">
        <v>10</v>
      </c>
      <c r="L292" s="7" t="s">
        <v>10</v>
      </c>
      <c r="M292" s="7" t="s">
        <v>10</v>
      </c>
      <c r="N292" s="7" t="s">
        <v>45</v>
      </c>
      <c r="O292" s="119" t="s">
        <v>46</v>
      </c>
      <c r="P292" s="100">
        <v>45966</v>
      </c>
      <c r="Q292" s="100">
        <f t="shared" si="35"/>
        <v>46331</v>
      </c>
      <c r="R292" s="5" t="s">
        <v>273</v>
      </c>
      <c r="S292" s="7" t="s">
        <v>3738</v>
      </c>
      <c r="T292" s="7">
        <v>2.9000000000000001E-2</v>
      </c>
      <c r="U292" s="7"/>
      <c r="V292" s="7">
        <f t="shared" si="36"/>
        <v>2.9000000000000001E-2</v>
      </c>
      <c r="W292" s="5" t="s">
        <v>10</v>
      </c>
      <c r="X292" s="5" t="s">
        <v>679</v>
      </c>
      <c r="Y292" s="48" t="str">
        <f t="shared" si="37"/>
        <v>A DEFINIR</v>
      </c>
      <c r="Z292" s="7" t="s">
        <v>56</v>
      </c>
      <c r="AA292" s="5">
        <v>11606759</v>
      </c>
      <c r="AB292" s="5" t="s">
        <v>4232</v>
      </c>
      <c r="AC292" s="5" t="s">
        <v>48</v>
      </c>
      <c r="AD292" s="5" t="s">
        <v>5530</v>
      </c>
      <c r="AE292" s="5" t="str">
        <f t="shared" ca="1" si="34"/>
        <v>NO PRAZO</v>
      </c>
      <c r="AF292" s="51"/>
    </row>
    <row r="293" spans="1:32" ht="30" customHeight="1" x14ac:dyDescent="0.25">
      <c r="A293" s="5" t="s">
        <v>1113</v>
      </c>
      <c r="B293" s="5" t="s">
        <v>10</v>
      </c>
      <c r="C293" s="5" t="s">
        <v>5864</v>
      </c>
      <c r="D293" s="7" t="s">
        <v>1110</v>
      </c>
      <c r="E293" s="7" t="s">
        <v>256</v>
      </c>
      <c r="F293" s="7" t="s">
        <v>257</v>
      </c>
      <c r="G293" s="7" t="s">
        <v>1110</v>
      </c>
      <c r="H293" s="7" t="s">
        <v>1110</v>
      </c>
      <c r="I293" s="7" t="s">
        <v>1111</v>
      </c>
      <c r="J293" s="7" t="s">
        <v>3745</v>
      </c>
      <c r="K293" s="5" t="s">
        <v>10</v>
      </c>
      <c r="L293" s="5" t="s">
        <v>45</v>
      </c>
      <c r="M293" s="5" t="s">
        <v>10</v>
      </c>
      <c r="N293" s="5" t="s">
        <v>10</v>
      </c>
      <c r="O293" s="46" t="s">
        <v>46</v>
      </c>
      <c r="P293" s="101">
        <v>45874</v>
      </c>
      <c r="Q293" s="100">
        <f t="shared" si="35"/>
        <v>46239</v>
      </c>
      <c r="R293" s="5" t="s">
        <v>1114</v>
      </c>
      <c r="S293" s="5" t="s">
        <v>3083</v>
      </c>
      <c r="T293" s="7">
        <v>0.42</v>
      </c>
      <c r="U293" s="7" t="s">
        <v>10</v>
      </c>
      <c r="V293" s="7">
        <f t="shared" si="36"/>
        <v>0.42</v>
      </c>
      <c r="W293" s="5" t="s">
        <v>10</v>
      </c>
      <c r="X293" s="5" t="s">
        <v>1112</v>
      </c>
      <c r="Y293" s="48" t="str">
        <f t="shared" si="37"/>
        <v>A DEFINIR</v>
      </c>
      <c r="Z293" s="7" t="s">
        <v>56</v>
      </c>
      <c r="AA293" s="5">
        <v>11599755</v>
      </c>
      <c r="AB293" s="5" t="s">
        <v>3299</v>
      </c>
      <c r="AC293" s="5" t="s">
        <v>48</v>
      </c>
      <c r="AD293" s="5" t="s">
        <v>5530</v>
      </c>
      <c r="AE293" s="5" t="str">
        <f t="shared" ca="1" si="34"/>
        <v>CALIBRAR</v>
      </c>
      <c r="AF293" s="49"/>
    </row>
    <row r="294" spans="1:32" ht="30" customHeight="1" x14ac:dyDescent="0.25">
      <c r="A294" s="130" t="s">
        <v>3470</v>
      </c>
      <c r="B294" s="130" t="s">
        <v>10</v>
      </c>
      <c r="C294" s="5" t="s">
        <v>5864</v>
      </c>
      <c r="D294" s="134" t="s">
        <v>3471</v>
      </c>
      <c r="E294" s="134" t="s">
        <v>256</v>
      </c>
      <c r="F294" s="134" t="s">
        <v>317</v>
      </c>
      <c r="G294" s="134" t="s">
        <v>3471</v>
      </c>
      <c r="H294" s="134" t="s">
        <v>3471</v>
      </c>
      <c r="I294" s="134" t="s">
        <v>3472</v>
      </c>
      <c r="J294" s="7" t="s">
        <v>3502</v>
      </c>
      <c r="K294" s="7" t="s">
        <v>10</v>
      </c>
      <c r="L294" s="7" t="s">
        <v>45</v>
      </c>
      <c r="M294" s="7" t="s">
        <v>10</v>
      </c>
      <c r="N294" s="7" t="s">
        <v>10</v>
      </c>
      <c r="O294" s="119" t="s">
        <v>46</v>
      </c>
      <c r="P294" s="100">
        <v>45931</v>
      </c>
      <c r="Q294" s="100">
        <f t="shared" si="35"/>
        <v>46296</v>
      </c>
      <c r="R294" s="5" t="s">
        <v>273</v>
      </c>
      <c r="S294" s="7" t="s">
        <v>3473</v>
      </c>
      <c r="T294" s="7">
        <v>0.57299999999999995</v>
      </c>
      <c r="U294" s="7"/>
      <c r="V294" s="7">
        <f t="shared" si="36"/>
        <v>0.57299999999999995</v>
      </c>
      <c r="W294" s="5" t="s">
        <v>10</v>
      </c>
      <c r="X294" s="5" t="s">
        <v>875</v>
      </c>
      <c r="Y294" s="48" t="str">
        <f t="shared" si="37"/>
        <v>A DEFINIR</v>
      </c>
      <c r="Z294" s="7" t="s">
        <v>56</v>
      </c>
      <c r="AA294" s="5">
        <v>11606758</v>
      </c>
      <c r="AB294" s="5" t="s">
        <v>4231</v>
      </c>
      <c r="AC294" s="5" t="s">
        <v>48</v>
      </c>
      <c r="AD294" s="5" t="s">
        <v>5530</v>
      </c>
      <c r="AE294" s="5" t="str">
        <f t="shared" ca="1" si="34"/>
        <v>NO PRAZO</v>
      </c>
      <c r="AF294" s="51"/>
    </row>
    <row r="295" spans="1:32" ht="30" customHeight="1" x14ac:dyDescent="0.25">
      <c r="A295" s="130" t="s">
        <v>5911</v>
      </c>
      <c r="B295" s="130" t="s">
        <v>10</v>
      </c>
      <c r="C295" s="5" t="s">
        <v>5864</v>
      </c>
      <c r="D295" s="134" t="s">
        <v>3471</v>
      </c>
      <c r="E295" s="134" t="s">
        <v>256</v>
      </c>
      <c r="F295" s="134" t="s">
        <v>257</v>
      </c>
      <c r="G295" s="134" t="s">
        <v>3471</v>
      </c>
      <c r="H295" s="134" t="s">
        <v>3471</v>
      </c>
      <c r="I295" s="134" t="s">
        <v>3472</v>
      </c>
      <c r="J295" s="7" t="s">
        <v>3502</v>
      </c>
      <c r="K295" s="7" t="s">
        <v>10</v>
      </c>
      <c r="L295" s="7" t="s">
        <v>45</v>
      </c>
      <c r="M295" s="7" t="s">
        <v>10</v>
      </c>
      <c r="N295" s="7" t="s">
        <v>10</v>
      </c>
      <c r="O295" s="119" t="s">
        <v>46</v>
      </c>
      <c r="P295" s="100">
        <v>46217</v>
      </c>
      <c r="Q295" s="100">
        <f t="shared" ref="Q295:Q298" si="38">IF(P295="","",P295+365)</f>
        <v>46582</v>
      </c>
      <c r="R295" s="5" t="s">
        <v>273</v>
      </c>
      <c r="S295" s="7" t="s">
        <v>5918</v>
      </c>
      <c r="T295" s="7">
        <v>5.7000000000000002E-2</v>
      </c>
      <c r="U295" s="7"/>
      <c r="V295" s="7">
        <f t="shared" ref="V295:V298" si="39">IFERROR(IF(U295&gt;0,T295*100/U295,T295),T295)</f>
        <v>5.7000000000000002E-2</v>
      </c>
      <c r="W295" s="5" t="s">
        <v>10</v>
      </c>
      <c r="X295" s="5" t="s">
        <v>875</v>
      </c>
      <c r="Y295" s="48" t="str">
        <f t="shared" ref="Y295:Y298" si="40">IFERROR(IF(W295="-",$AL$6,CHOOSE(IF(T295="",1,2),$AL$7,IF(V295&gt;W295,$AL$5,$AL$4))),"-")</f>
        <v>A DEFINIR</v>
      </c>
      <c r="Z295" s="7" t="s">
        <v>56</v>
      </c>
      <c r="AA295" s="5" t="s">
        <v>4675</v>
      </c>
      <c r="AB295" s="5" t="s">
        <v>4675</v>
      </c>
      <c r="AC295" s="5" t="s">
        <v>48</v>
      </c>
      <c r="AD295" s="5" t="s">
        <v>5632</v>
      </c>
      <c r="AE295" s="5" t="str">
        <f t="shared" ref="AE295:AE298" ca="1" si="41">IFERROR(IF(OR(AND(YEAR(Q295)=YEAR(TODAY()),MONTH(Q295)&gt;MONTH(TODAY())),(YEAR(Q295)&gt;YEAR(TODAY()))),$AK$4,IF(AND(YEAR(Q295)=YEAR(TODAY()),MONTH(Q295)=MONTH(TODAY())),$AK$5,IF(Q295="",$AK$6,$AK$7))),"-")</f>
        <v>NO PRAZO</v>
      </c>
      <c r="AF295" s="51"/>
    </row>
    <row r="296" spans="1:32" ht="30" customHeight="1" x14ac:dyDescent="0.25">
      <c r="A296" s="130" t="s">
        <v>5912</v>
      </c>
      <c r="B296" s="130" t="s">
        <v>10</v>
      </c>
      <c r="C296" s="5" t="s">
        <v>5864</v>
      </c>
      <c r="D296" s="134" t="s">
        <v>3471</v>
      </c>
      <c r="E296" s="134" t="s">
        <v>256</v>
      </c>
      <c r="F296" s="134" t="s">
        <v>257</v>
      </c>
      <c r="G296" s="134" t="s">
        <v>3471</v>
      </c>
      <c r="H296" s="134" t="s">
        <v>3471</v>
      </c>
      <c r="I296" s="134" t="s">
        <v>3472</v>
      </c>
      <c r="J296" s="7" t="s">
        <v>3502</v>
      </c>
      <c r="K296" s="7" t="s">
        <v>10</v>
      </c>
      <c r="L296" s="7" t="s">
        <v>45</v>
      </c>
      <c r="M296" s="7" t="s">
        <v>10</v>
      </c>
      <c r="N296" s="7" t="s">
        <v>10</v>
      </c>
      <c r="O296" s="119" t="s">
        <v>46</v>
      </c>
      <c r="P296" s="100">
        <v>46217</v>
      </c>
      <c r="Q296" s="100">
        <f t="shared" si="38"/>
        <v>46582</v>
      </c>
      <c r="R296" s="5" t="s">
        <v>273</v>
      </c>
      <c r="S296" s="7" t="s">
        <v>5915</v>
      </c>
      <c r="T296" s="7">
        <v>0.08</v>
      </c>
      <c r="U296" s="7"/>
      <c r="V296" s="7">
        <f t="shared" si="39"/>
        <v>0.08</v>
      </c>
      <c r="W296" s="5" t="s">
        <v>10</v>
      </c>
      <c r="X296" s="5" t="s">
        <v>875</v>
      </c>
      <c r="Y296" s="48" t="str">
        <f t="shared" si="40"/>
        <v>A DEFINIR</v>
      </c>
      <c r="Z296" s="7" t="s">
        <v>56</v>
      </c>
      <c r="AA296" s="5" t="s">
        <v>4675</v>
      </c>
      <c r="AB296" s="5" t="s">
        <v>4675</v>
      </c>
      <c r="AC296" s="5" t="s">
        <v>48</v>
      </c>
      <c r="AD296" s="5" t="s">
        <v>5632</v>
      </c>
      <c r="AE296" s="5" t="str">
        <f t="shared" ca="1" si="41"/>
        <v>NO PRAZO</v>
      </c>
      <c r="AF296" s="51"/>
    </row>
    <row r="297" spans="1:32" ht="30" customHeight="1" x14ac:dyDescent="0.25">
      <c r="A297" s="130" t="s">
        <v>5913</v>
      </c>
      <c r="B297" s="130" t="s">
        <v>10</v>
      </c>
      <c r="C297" s="5" t="s">
        <v>5864</v>
      </c>
      <c r="D297" s="134" t="s">
        <v>3471</v>
      </c>
      <c r="E297" s="134" t="s">
        <v>256</v>
      </c>
      <c r="F297" s="134" t="s">
        <v>257</v>
      </c>
      <c r="G297" s="134" t="s">
        <v>3471</v>
      </c>
      <c r="H297" s="134" t="s">
        <v>3471</v>
      </c>
      <c r="I297" s="134" t="s">
        <v>3472</v>
      </c>
      <c r="J297" s="7" t="s">
        <v>3502</v>
      </c>
      <c r="K297" s="7" t="s">
        <v>10</v>
      </c>
      <c r="L297" s="7" t="s">
        <v>45</v>
      </c>
      <c r="M297" s="7" t="s">
        <v>10</v>
      </c>
      <c r="N297" s="7" t="s">
        <v>10</v>
      </c>
      <c r="O297" s="119" t="s">
        <v>46</v>
      </c>
      <c r="P297" s="100">
        <v>46217</v>
      </c>
      <c r="Q297" s="100">
        <f t="shared" si="38"/>
        <v>46582</v>
      </c>
      <c r="R297" s="5" t="s">
        <v>273</v>
      </c>
      <c r="S297" s="7" t="s">
        <v>5916</v>
      </c>
      <c r="T297" s="7">
        <v>6.2E-2</v>
      </c>
      <c r="U297" s="7"/>
      <c r="V297" s="7">
        <f t="shared" si="39"/>
        <v>6.2E-2</v>
      </c>
      <c r="W297" s="5" t="s">
        <v>10</v>
      </c>
      <c r="X297" s="5" t="s">
        <v>875</v>
      </c>
      <c r="Y297" s="48" t="str">
        <f t="shared" si="40"/>
        <v>A DEFINIR</v>
      </c>
      <c r="Z297" s="7" t="s">
        <v>56</v>
      </c>
      <c r="AA297" s="5" t="s">
        <v>4675</v>
      </c>
      <c r="AB297" s="5" t="s">
        <v>4675</v>
      </c>
      <c r="AC297" s="5" t="s">
        <v>48</v>
      </c>
      <c r="AD297" s="5" t="s">
        <v>5632</v>
      </c>
      <c r="AE297" s="5" t="str">
        <f t="shared" ca="1" si="41"/>
        <v>NO PRAZO</v>
      </c>
      <c r="AF297" s="51"/>
    </row>
    <row r="298" spans="1:32" ht="30" customHeight="1" x14ac:dyDescent="0.25">
      <c r="A298" s="130" t="s">
        <v>5914</v>
      </c>
      <c r="B298" s="130" t="s">
        <v>10</v>
      </c>
      <c r="C298" s="5" t="s">
        <v>5864</v>
      </c>
      <c r="D298" s="134" t="s">
        <v>3471</v>
      </c>
      <c r="E298" s="134" t="s">
        <v>256</v>
      </c>
      <c r="F298" s="134" t="s">
        <v>257</v>
      </c>
      <c r="G298" s="134" t="s">
        <v>3471</v>
      </c>
      <c r="H298" s="134" t="s">
        <v>3471</v>
      </c>
      <c r="I298" s="134" t="s">
        <v>3472</v>
      </c>
      <c r="J298" s="7" t="s">
        <v>3502</v>
      </c>
      <c r="K298" s="7" t="s">
        <v>10</v>
      </c>
      <c r="L298" s="7" t="s">
        <v>45</v>
      </c>
      <c r="M298" s="7" t="s">
        <v>10</v>
      </c>
      <c r="N298" s="7" t="s">
        <v>10</v>
      </c>
      <c r="O298" s="119" t="s">
        <v>46</v>
      </c>
      <c r="P298" s="100">
        <v>46217</v>
      </c>
      <c r="Q298" s="100">
        <f t="shared" si="38"/>
        <v>46582</v>
      </c>
      <c r="R298" s="5" t="s">
        <v>273</v>
      </c>
      <c r="S298" s="7" t="s">
        <v>5917</v>
      </c>
      <c r="T298" s="7">
        <v>7.0999999999999994E-2</v>
      </c>
      <c r="U298" s="7"/>
      <c r="V298" s="7">
        <f t="shared" si="39"/>
        <v>7.0999999999999994E-2</v>
      </c>
      <c r="W298" s="5" t="s">
        <v>10</v>
      </c>
      <c r="X298" s="5" t="s">
        <v>875</v>
      </c>
      <c r="Y298" s="48" t="str">
        <f t="shared" si="40"/>
        <v>A DEFINIR</v>
      </c>
      <c r="Z298" s="7" t="s">
        <v>56</v>
      </c>
      <c r="AA298" s="5" t="s">
        <v>4675</v>
      </c>
      <c r="AB298" s="5" t="s">
        <v>4675</v>
      </c>
      <c r="AC298" s="5" t="s">
        <v>48</v>
      </c>
      <c r="AD298" s="5" t="s">
        <v>5632</v>
      </c>
      <c r="AE298" s="5" t="str">
        <f t="shared" ca="1" si="41"/>
        <v>NO PRAZO</v>
      </c>
      <c r="AF298" s="51"/>
    </row>
    <row r="299" spans="1:32" ht="30" customHeight="1" x14ac:dyDescent="0.25">
      <c r="A299" s="5" t="s">
        <v>1115</v>
      </c>
      <c r="B299" s="5" t="s">
        <v>10</v>
      </c>
      <c r="C299" s="5" t="s">
        <v>5864</v>
      </c>
      <c r="D299" s="7" t="s">
        <v>1116</v>
      </c>
      <c r="E299" s="7" t="s">
        <v>256</v>
      </c>
      <c r="F299" s="7" t="s">
        <v>257</v>
      </c>
      <c r="G299" s="7" t="s">
        <v>1117</v>
      </c>
      <c r="H299" s="7" t="s">
        <v>1118</v>
      </c>
      <c r="I299" s="7" t="s">
        <v>701</v>
      </c>
      <c r="J299" s="7" t="s">
        <v>1119</v>
      </c>
      <c r="K299" s="5" t="s">
        <v>10</v>
      </c>
      <c r="L299" s="5" t="s">
        <v>10</v>
      </c>
      <c r="M299" s="5" t="s">
        <v>10</v>
      </c>
      <c r="N299" s="5" t="s">
        <v>45</v>
      </c>
      <c r="O299" s="80" t="s">
        <v>56</v>
      </c>
      <c r="P299" s="101">
        <v>46078</v>
      </c>
      <c r="Q299" s="100">
        <f t="shared" si="35"/>
        <v>46443</v>
      </c>
      <c r="R299" s="5" t="s">
        <v>2009</v>
      </c>
      <c r="S299" s="7" t="s">
        <v>4947</v>
      </c>
      <c r="T299" s="7">
        <v>1E-3</v>
      </c>
      <c r="U299" s="7" t="s">
        <v>10</v>
      </c>
      <c r="V299" s="7">
        <f t="shared" si="36"/>
        <v>1E-3</v>
      </c>
      <c r="W299" s="5" t="s">
        <v>10</v>
      </c>
      <c r="X299" s="5" t="s">
        <v>679</v>
      </c>
      <c r="Y299" s="48" t="str">
        <f t="shared" si="37"/>
        <v>A DEFINIR</v>
      </c>
      <c r="Z299" s="7" t="s">
        <v>56</v>
      </c>
      <c r="AA299" s="5">
        <v>11603773</v>
      </c>
      <c r="AB299" s="5" t="s">
        <v>2507</v>
      </c>
      <c r="AC299" s="5" t="s">
        <v>48</v>
      </c>
      <c r="AD299" s="5" t="s">
        <v>5530</v>
      </c>
      <c r="AE299" s="5" t="str">
        <f t="shared" ca="1" si="34"/>
        <v>NO PRAZO</v>
      </c>
      <c r="AF299" s="49"/>
    </row>
    <row r="300" spans="1:32" ht="30" customHeight="1" x14ac:dyDescent="0.25">
      <c r="A300" s="5" t="s">
        <v>1120</v>
      </c>
      <c r="B300" s="5" t="s">
        <v>10</v>
      </c>
      <c r="C300" s="5" t="s">
        <v>5864</v>
      </c>
      <c r="D300" s="7" t="s">
        <v>1121</v>
      </c>
      <c r="E300" s="7" t="s">
        <v>256</v>
      </c>
      <c r="F300" s="7" t="s">
        <v>257</v>
      </c>
      <c r="G300" s="7" t="s">
        <v>1121</v>
      </c>
      <c r="H300" s="7" t="s">
        <v>1121</v>
      </c>
      <c r="I300" s="7" t="s">
        <v>1122</v>
      </c>
      <c r="J300" s="7" t="s">
        <v>1123</v>
      </c>
      <c r="K300" s="5" t="s">
        <v>10</v>
      </c>
      <c r="L300" s="5" t="s">
        <v>10</v>
      </c>
      <c r="M300" s="5" t="s">
        <v>10</v>
      </c>
      <c r="N300" s="5" t="s">
        <v>45</v>
      </c>
      <c r="O300" s="80" t="s">
        <v>56</v>
      </c>
      <c r="P300" s="101">
        <v>45994</v>
      </c>
      <c r="Q300" s="100">
        <f t="shared" si="35"/>
        <v>46359</v>
      </c>
      <c r="R300" s="5" t="s">
        <v>1817</v>
      </c>
      <c r="S300" s="5" t="s">
        <v>4238</v>
      </c>
      <c r="T300" s="7">
        <v>4.1999999999999997E-3</v>
      </c>
      <c r="U300" s="7" t="s">
        <v>10</v>
      </c>
      <c r="V300" s="7">
        <f t="shared" si="36"/>
        <v>4.1999999999999997E-3</v>
      </c>
      <c r="W300" s="5" t="s">
        <v>10</v>
      </c>
      <c r="X300" s="5" t="s">
        <v>330</v>
      </c>
      <c r="Y300" s="48" t="str">
        <f t="shared" si="37"/>
        <v>A DEFINIR</v>
      </c>
      <c r="Z300" s="7" t="s">
        <v>56</v>
      </c>
      <c r="AA300" s="5">
        <v>11599713</v>
      </c>
      <c r="AB300" s="5" t="s">
        <v>3917</v>
      </c>
      <c r="AC300" s="5" t="s">
        <v>48</v>
      </c>
      <c r="AD300" s="5" t="s">
        <v>5530</v>
      </c>
      <c r="AE300" s="5" t="str">
        <f t="shared" ca="1" si="34"/>
        <v>NO PRAZO</v>
      </c>
      <c r="AF300" s="53"/>
    </row>
    <row r="301" spans="1:32" ht="30" customHeight="1" x14ac:dyDescent="0.25">
      <c r="A301" s="5" t="s">
        <v>1124</v>
      </c>
      <c r="B301" s="5" t="s">
        <v>10</v>
      </c>
      <c r="C301" s="5" t="s">
        <v>5864</v>
      </c>
      <c r="D301" s="7" t="s">
        <v>1121</v>
      </c>
      <c r="E301" s="7" t="s">
        <v>256</v>
      </c>
      <c r="F301" s="7" t="s">
        <v>257</v>
      </c>
      <c r="G301" s="7" t="s">
        <v>1121</v>
      </c>
      <c r="H301" s="7" t="s">
        <v>1121</v>
      </c>
      <c r="I301" s="7" t="s">
        <v>1122</v>
      </c>
      <c r="J301" s="7" t="s">
        <v>1123</v>
      </c>
      <c r="K301" s="5" t="s">
        <v>10</v>
      </c>
      <c r="L301" s="5" t="s">
        <v>45</v>
      </c>
      <c r="M301" s="5" t="s">
        <v>10</v>
      </c>
      <c r="N301" s="5" t="s">
        <v>10</v>
      </c>
      <c r="O301" s="46" t="s">
        <v>46</v>
      </c>
      <c r="P301" s="101">
        <v>45994</v>
      </c>
      <c r="Q301" s="100">
        <f t="shared" si="35"/>
        <v>46359</v>
      </c>
      <c r="R301" s="5" t="s">
        <v>1824</v>
      </c>
      <c r="S301" s="5" t="s">
        <v>4239</v>
      </c>
      <c r="T301" s="7">
        <v>4.1999999999999997E-3</v>
      </c>
      <c r="U301" s="7"/>
      <c r="V301" s="7">
        <f t="shared" si="36"/>
        <v>4.1999999999999997E-3</v>
      </c>
      <c r="W301" s="5" t="s">
        <v>10</v>
      </c>
      <c r="X301" s="5" t="s">
        <v>330</v>
      </c>
      <c r="Y301" s="48" t="str">
        <f t="shared" si="37"/>
        <v>A DEFINIR</v>
      </c>
      <c r="Z301" s="7" t="s">
        <v>56</v>
      </c>
      <c r="AA301" s="5">
        <v>11599752</v>
      </c>
      <c r="AB301" s="5" t="s">
        <v>3918</v>
      </c>
      <c r="AC301" s="5" t="s">
        <v>48</v>
      </c>
      <c r="AD301" s="5" t="s">
        <v>5530</v>
      </c>
      <c r="AE301" s="5" t="str">
        <f t="shared" ca="1" si="34"/>
        <v>NO PRAZO</v>
      </c>
      <c r="AF301" s="53"/>
    </row>
    <row r="302" spans="1:32" ht="30" customHeight="1" x14ac:dyDescent="0.25">
      <c r="A302" s="7" t="s">
        <v>1125</v>
      </c>
      <c r="B302" s="7" t="s">
        <v>10</v>
      </c>
      <c r="C302" s="5" t="s">
        <v>5864</v>
      </c>
      <c r="D302" s="7" t="s">
        <v>1126</v>
      </c>
      <c r="E302" s="7" t="s">
        <v>256</v>
      </c>
      <c r="F302" s="7" t="s">
        <v>257</v>
      </c>
      <c r="G302" s="7" t="s">
        <v>1126</v>
      </c>
      <c r="H302" s="7" t="s">
        <v>1126</v>
      </c>
      <c r="I302" s="7" t="s">
        <v>1127</v>
      </c>
      <c r="J302" s="7" t="s">
        <v>1128</v>
      </c>
      <c r="K302" s="5" t="s">
        <v>10</v>
      </c>
      <c r="L302" s="5" t="s">
        <v>45</v>
      </c>
      <c r="M302" s="5" t="s">
        <v>10</v>
      </c>
      <c r="N302" s="5" t="s">
        <v>10</v>
      </c>
      <c r="O302" s="46" t="s">
        <v>46</v>
      </c>
      <c r="P302" s="101">
        <v>45995</v>
      </c>
      <c r="Q302" s="100">
        <f t="shared" si="35"/>
        <v>46360</v>
      </c>
      <c r="R302" s="5" t="s">
        <v>2029</v>
      </c>
      <c r="S302" s="5" t="s">
        <v>4244</v>
      </c>
      <c r="T302" s="7">
        <v>0.20399999999999999</v>
      </c>
      <c r="U302" s="7"/>
      <c r="V302" s="7">
        <f t="shared" si="36"/>
        <v>0.20399999999999999</v>
      </c>
      <c r="W302" s="5" t="s">
        <v>10</v>
      </c>
      <c r="X302" s="5" t="s">
        <v>47</v>
      </c>
      <c r="Y302" s="48" t="str">
        <f t="shared" si="37"/>
        <v>A DEFINIR</v>
      </c>
      <c r="Z302" s="7" t="s">
        <v>56</v>
      </c>
      <c r="AA302" s="5">
        <v>11603020</v>
      </c>
      <c r="AB302" s="5" t="s">
        <v>2508</v>
      </c>
      <c r="AC302" s="5" t="s">
        <v>48</v>
      </c>
      <c r="AD302" s="5" t="s">
        <v>5530</v>
      </c>
      <c r="AE302" s="5" t="str">
        <f t="shared" ca="1" si="34"/>
        <v>NO PRAZO</v>
      </c>
      <c r="AF302" s="52"/>
    </row>
    <row r="303" spans="1:32" ht="30" customHeight="1" x14ac:dyDescent="0.25">
      <c r="A303" s="5" t="s">
        <v>1129</v>
      </c>
      <c r="B303" s="5" t="s">
        <v>10</v>
      </c>
      <c r="C303" s="5" t="s">
        <v>5864</v>
      </c>
      <c r="D303" s="7" t="s">
        <v>3075</v>
      </c>
      <c r="E303" s="7" t="s">
        <v>256</v>
      </c>
      <c r="F303" s="7" t="s">
        <v>257</v>
      </c>
      <c r="G303" s="7" t="s">
        <v>1130</v>
      </c>
      <c r="H303" s="7" t="s">
        <v>3075</v>
      </c>
      <c r="I303" s="7" t="s">
        <v>1131</v>
      </c>
      <c r="J303" s="7" t="s">
        <v>4995</v>
      </c>
      <c r="K303" s="5" t="s">
        <v>10</v>
      </c>
      <c r="L303" s="5" t="s">
        <v>45</v>
      </c>
      <c r="M303" s="5" t="s">
        <v>10</v>
      </c>
      <c r="N303" s="5" t="s">
        <v>10</v>
      </c>
      <c r="O303" s="46" t="s">
        <v>46</v>
      </c>
      <c r="P303" s="101">
        <v>46077</v>
      </c>
      <c r="Q303" s="100">
        <f t="shared" si="35"/>
        <v>46442</v>
      </c>
      <c r="R303" s="5" t="s">
        <v>2018</v>
      </c>
      <c r="S303" s="5" t="s">
        <v>4937</v>
      </c>
      <c r="T303" s="7">
        <v>1.4200000000000001E-2</v>
      </c>
      <c r="U303" s="7" t="s">
        <v>10</v>
      </c>
      <c r="V303" s="7">
        <f t="shared" si="36"/>
        <v>1.4200000000000001E-2</v>
      </c>
      <c r="W303" s="5" t="s">
        <v>10</v>
      </c>
      <c r="X303" s="5" t="s">
        <v>330</v>
      </c>
      <c r="Y303" s="48" t="str">
        <f t="shared" si="37"/>
        <v>A DEFINIR</v>
      </c>
      <c r="Z303" s="7" t="s">
        <v>56</v>
      </c>
      <c r="AA303" s="5">
        <v>11599714</v>
      </c>
      <c r="AB303" s="5" t="s">
        <v>3919</v>
      </c>
      <c r="AC303" s="5" t="s">
        <v>48</v>
      </c>
      <c r="AD303" s="5" t="s">
        <v>5530</v>
      </c>
      <c r="AE303" s="5" t="str">
        <f t="shared" ca="1" si="34"/>
        <v>NO PRAZO</v>
      </c>
      <c r="AF303" s="53"/>
    </row>
    <row r="304" spans="1:32" ht="30" customHeight="1" x14ac:dyDescent="0.25">
      <c r="A304" s="5" t="s">
        <v>1133</v>
      </c>
      <c r="B304" s="5" t="s">
        <v>10</v>
      </c>
      <c r="C304" s="5" t="s">
        <v>5864</v>
      </c>
      <c r="D304" s="7" t="s">
        <v>5855</v>
      </c>
      <c r="E304" s="7" t="s">
        <v>256</v>
      </c>
      <c r="F304" s="7" t="s">
        <v>257</v>
      </c>
      <c r="G304" s="7" t="s">
        <v>1130</v>
      </c>
      <c r="H304" s="7" t="s">
        <v>10</v>
      </c>
      <c r="I304" s="7" t="s">
        <v>1134</v>
      </c>
      <c r="J304" s="7" t="s">
        <v>1135</v>
      </c>
      <c r="K304" s="5" t="s">
        <v>10</v>
      </c>
      <c r="L304" s="5" t="s">
        <v>45</v>
      </c>
      <c r="M304" s="5" t="s">
        <v>10</v>
      </c>
      <c r="N304" s="5" t="s">
        <v>10</v>
      </c>
      <c r="O304" s="46" t="s">
        <v>46</v>
      </c>
      <c r="P304" s="101">
        <v>45994</v>
      </c>
      <c r="Q304" s="100">
        <f t="shared" si="35"/>
        <v>46359</v>
      </c>
      <c r="R304" s="5" t="s">
        <v>1825</v>
      </c>
      <c r="S304" s="5" t="s">
        <v>4240</v>
      </c>
      <c r="T304" s="7">
        <v>4.1999999999999997E-3</v>
      </c>
      <c r="U304" s="7" t="s">
        <v>10</v>
      </c>
      <c r="V304" s="7">
        <f t="shared" si="36"/>
        <v>4.1999999999999997E-3</v>
      </c>
      <c r="W304" s="5" t="s">
        <v>10</v>
      </c>
      <c r="X304" s="5" t="s">
        <v>330</v>
      </c>
      <c r="Y304" s="48" t="str">
        <f t="shared" si="37"/>
        <v>A DEFINIR</v>
      </c>
      <c r="Z304" s="7" t="s">
        <v>56</v>
      </c>
      <c r="AA304" s="5">
        <v>11599715</v>
      </c>
      <c r="AB304" s="5" t="s">
        <v>3920</v>
      </c>
      <c r="AC304" s="5" t="s">
        <v>48</v>
      </c>
      <c r="AD304" s="5" t="s">
        <v>5530</v>
      </c>
      <c r="AE304" s="5" t="str">
        <f t="shared" ca="1" si="34"/>
        <v>NO PRAZO</v>
      </c>
      <c r="AF304" s="53"/>
    </row>
    <row r="305" spans="1:32" ht="30" customHeight="1" x14ac:dyDescent="0.25">
      <c r="A305" s="5" t="s">
        <v>1137</v>
      </c>
      <c r="B305" s="5" t="s">
        <v>10</v>
      </c>
      <c r="C305" s="5" t="s">
        <v>5863</v>
      </c>
      <c r="D305" s="7" t="s">
        <v>3075</v>
      </c>
      <c r="E305" s="7" t="s">
        <v>256</v>
      </c>
      <c r="F305" s="7" t="s">
        <v>257</v>
      </c>
      <c r="G305" s="5" t="s">
        <v>256</v>
      </c>
      <c r="H305" s="7" t="s">
        <v>1136</v>
      </c>
      <c r="I305" s="7" t="s">
        <v>1131</v>
      </c>
      <c r="J305" s="7" t="s">
        <v>1132</v>
      </c>
      <c r="K305" s="7" t="s">
        <v>10</v>
      </c>
      <c r="L305" s="7" t="s">
        <v>45</v>
      </c>
      <c r="M305" s="7" t="s">
        <v>10</v>
      </c>
      <c r="N305" s="7" t="s">
        <v>10</v>
      </c>
      <c r="O305" s="46" t="s">
        <v>46</v>
      </c>
      <c r="P305" s="101">
        <v>46205</v>
      </c>
      <c r="Q305" s="100">
        <f t="shared" si="35"/>
        <v>46570</v>
      </c>
      <c r="R305" s="5" t="s">
        <v>2963</v>
      </c>
      <c r="S305" s="5" t="s">
        <v>5736</v>
      </c>
      <c r="T305" s="5">
        <v>4.1999999999999997E-3</v>
      </c>
      <c r="U305" s="7" t="s">
        <v>10</v>
      </c>
      <c r="V305" s="7">
        <f t="shared" si="36"/>
        <v>4.1999999999999997E-3</v>
      </c>
      <c r="W305" s="7" t="s">
        <v>10</v>
      </c>
      <c r="X305" s="7" t="s">
        <v>330</v>
      </c>
      <c r="Y305" s="48" t="str">
        <f t="shared" si="37"/>
        <v>A DEFINIR</v>
      </c>
      <c r="Z305" s="7" t="s">
        <v>56</v>
      </c>
      <c r="AA305" s="5">
        <v>11599786</v>
      </c>
      <c r="AB305" s="5" t="s">
        <v>2957</v>
      </c>
      <c r="AC305" s="5" t="s">
        <v>48</v>
      </c>
      <c r="AD305" s="5" t="s">
        <v>5632</v>
      </c>
      <c r="AE305" s="5" t="str">
        <f t="shared" ca="1" si="34"/>
        <v>NO PRAZO</v>
      </c>
      <c r="AF305" s="51"/>
    </row>
    <row r="306" spans="1:32" ht="30" customHeight="1" x14ac:dyDescent="0.25">
      <c r="A306" s="5" t="s">
        <v>1138</v>
      </c>
      <c r="B306" s="5" t="s">
        <v>10</v>
      </c>
      <c r="C306" s="5" t="s">
        <v>5864</v>
      </c>
      <c r="D306" s="7" t="s">
        <v>3075</v>
      </c>
      <c r="E306" s="7" t="s">
        <v>256</v>
      </c>
      <c r="F306" s="7" t="s">
        <v>257</v>
      </c>
      <c r="G306" s="5" t="s">
        <v>256</v>
      </c>
      <c r="H306" s="7" t="s">
        <v>1136</v>
      </c>
      <c r="I306" s="7" t="s">
        <v>1131</v>
      </c>
      <c r="J306" s="7" t="s">
        <v>1132</v>
      </c>
      <c r="K306" s="7" t="s">
        <v>10</v>
      </c>
      <c r="L306" s="7" t="s">
        <v>45</v>
      </c>
      <c r="M306" s="7" t="s">
        <v>10</v>
      </c>
      <c r="N306" s="7" t="s">
        <v>10</v>
      </c>
      <c r="O306" s="46" t="s">
        <v>46</v>
      </c>
      <c r="P306" s="101">
        <v>45994</v>
      </c>
      <c r="Q306" s="100">
        <f t="shared" si="35"/>
        <v>46359</v>
      </c>
      <c r="R306" s="5" t="s">
        <v>1826</v>
      </c>
      <c r="S306" s="5" t="s">
        <v>4241</v>
      </c>
      <c r="T306" s="5">
        <v>4.1999999999999997E-3</v>
      </c>
      <c r="U306" s="7" t="s">
        <v>10</v>
      </c>
      <c r="V306" s="7">
        <f t="shared" si="36"/>
        <v>4.1999999999999997E-3</v>
      </c>
      <c r="W306" s="7" t="s">
        <v>10</v>
      </c>
      <c r="X306" s="7" t="s">
        <v>330</v>
      </c>
      <c r="Y306" s="48" t="str">
        <f t="shared" si="37"/>
        <v>A DEFINIR</v>
      </c>
      <c r="Z306" s="7" t="s">
        <v>56</v>
      </c>
      <c r="AA306" s="5">
        <v>11599787</v>
      </c>
      <c r="AB306" s="5" t="s">
        <v>3921</v>
      </c>
      <c r="AC306" s="5" t="s">
        <v>48</v>
      </c>
      <c r="AD306" s="5" t="s">
        <v>5530</v>
      </c>
      <c r="AE306" s="5" t="str">
        <f t="shared" ca="1" si="34"/>
        <v>NO PRAZO</v>
      </c>
      <c r="AF306" s="53"/>
    </row>
    <row r="307" spans="1:32" ht="30" customHeight="1" x14ac:dyDescent="0.25">
      <c r="A307" s="5" t="s">
        <v>1139</v>
      </c>
      <c r="B307" s="5" t="s">
        <v>10</v>
      </c>
      <c r="C307" s="5" t="s">
        <v>5864</v>
      </c>
      <c r="D307" s="7" t="s">
        <v>3075</v>
      </c>
      <c r="E307" s="7" t="s">
        <v>256</v>
      </c>
      <c r="F307" s="7" t="s">
        <v>257</v>
      </c>
      <c r="G307" s="7" t="s">
        <v>1130</v>
      </c>
      <c r="H307" s="7" t="s">
        <v>676</v>
      </c>
      <c r="I307" s="7" t="s">
        <v>1131</v>
      </c>
      <c r="J307" s="7" t="s">
        <v>1132</v>
      </c>
      <c r="K307" s="5" t="s">
        <v>10</v>
      </c>
      <c r="L307" s="5" t="s">
        <v>45</v>
      </c>
      <c r="M307" s="5" t="s">
        <v>10</v>
      </c>
      <c r="N307" s="5" t="s">
        <v>10</v>
      </c>
      <c r="O307" s="46" t="s">
        <v>46</v>
      </c>
      <c r="P307" s="101">
        <v>46230</v>
      </c>
      <c r="Q307" s="100">
        <f t="shared" si="35"/>
        <v>46595</v>
      </c>
      <c r="R307" s="63" t="s">
        <v>4938</v>
      </c>
      <c r="S307" s="63" t="s">
        <v>5929</v>
      </c>
      <c r="T307" s="7">
        <v>1.4200000000000001E-2</v>
      </c>
      <c r="U307" s="7" t="s">
        <v>10</v>
      </c>
      <c r="V307" s="7">
        <f t="shared" si="36"/>
        <v>1.4200000000000001E-2</v>
      </c>
      <c r="W307" s="5" t="s">
        <v>10</v>
      </c>
      <c r="X307" s="5" t="s">
        <v>330</v>
      </c>
      <c r="Y307" s="48" t="str">
        <f t="shared" si="37"/>
        <v>A DEFINIR</v>
      </c>
      <c r="Z307" s="7" t="s">
        <v>56</v>
      </c>
      <c r="AA307" s="5">
        <v>11586896</v>
      </c>
      <c r="AB307" s="5" t="s">
        <v>2509</v>
      </c>
      <c r="AC307" s="5" t="s">
        <v>48</v>
      </c>
      <c r="AD307" s="5" t="s">
        <v>5632</v>
      </c>
      <c r="AE307" s="5" t="str">
        <f t="shared" ca="1" si="34"/>
        <v>NO PRAZO</v>
      </c>
      <c r="AF307" s="49"/>
    </row>
    <row r="308" spans="1:32" ht="30" customHeight="1" x14ac:dyDescent="0.25">
      <c r="A308" s="5" t="s">
        <v>5931</v>
      </c>
      <c r="B308" s="5" t="s">
        <v>10</v>
      </c>
      <c r="C308" s="5" t="s">
        <v>5864</v>
      </c>
      <c r="D308" s="7" t="s">
        <v>3075</v>
      </c>
      <c r="E308" s="7" t="s">
        <v>256</v>
      </c>
      <c r="F308" s="7" t="s">
        <v>257</v>
      </c>
      <c r="G308" s="5" t="s">
        <v>256</v>
      </c>
      <c r="H308" s="7" t="s">
        <v>1136</v>
      </c>
      <c r="I308" s="7" t="s">
        <v>1131</v>
      </c>
      <c r="J308" s="7" t="s">
        <v>1132</v>
      </c>
      <c r="K308" s="7" t="s">
        <v>10</v>
      </c>
      <c r="L308" s="7" t="s">
        <v>45</v>
      </c>
      <c r="M308" s="7" t="s">
        <v>10</v>
      </c>
      <c r="N308" s="7" t="s">
        <v>10</v>
      </c>
      <c r="O308" s="46" t="s">
        <v>46</v>
      </c>
      <c r="P308" s="101">
        <v>46230</v>
      </c>
      <c r="Q308" s="100">
        <f t="shared" ref="Q308" si="42">IF(P308="","",P308+365)</f>
        <v>46595</v>
      </c>
      <c r="R308" s="5" t="s">
        <v>273</v>
      </c>
      <c r="S308" s="5" t="s">
        <v>5932</v>
      </c>
      <c r="T308" s="5">
        <v>4.1999999999999997E-3</v>
      </c>
      <c r="U308" s="7"/>
      <c r="V308" s="7">
        <f t="shared" ref="V308" si="43">IFERROR(IF(U308&gt;0,T308*100/U308,T308),T308)</f>
        <v>4.1999999999999997E-3</v>
      </c>
      <c r="W308" s="7" t="s">
        <v>10</v>
      </c>
      <c r="X308" s="7" t="s">
        <v>330</v>
      </c>
      <c r="Y308" s="48" t="str">
        <f t="shared" ref="Y308" si="44">IFERROR(IF(W308="-",$AL$6,CHOOSE(IF(T308="",1,2),$AL$7,IF(V308&gt;W308,$AL$5,$AL$4))),"-")</f>
        <v>A DEFINIR</v>
      </c>
      <c r="Z308" s="7" t="s">
        <v>56</v>
      </c>
      <c r="AA308" s="5">
        <v>11599790</v>
      </c>
      <c r="AB308" s="5" t="s">
        <v>2935</v>
      </c>
      <c r="AC308" s="5" t="s">
        <v>48</v>
      </c>
      <c r="AD308" s="5" t="s">
        <v>5632</v>
      </c>
      <c r="AE308" s="5" t="str">
        <f t="shared" ca="1" si="34"/>
        <v>NO PRAZO</v>
      </c>
      <c r="AF308" s="49"/>
    </row>
    <row r="309" spans="1:32" ht="30" customHeight="1" x14ac:dyDescent="0.25">
      <c r="A309" s="5" t="s">
        <v>1140</v>
      </c>
      <c r="B309" s="5" t="s">
        <v>10</v>
      </c>
      <c r="C309" s="5" t="s">
        <v>5864</v>
      </c>
      <c r="D309" s="7" t="s">
        <v>3075</v>
      </c>
      <c r="E309" s="7" t="s">
        <v>256</v>
      </c>
      <c r="F309" s="7" t="s">
        <v>257</v>
      </c>
      <c r="G309" s="5" t="s">
        <v>256</v>
      </c>
      <c r="H309" s="7" t="s">
        <v>1136</v>
      </c>
      <c r="I309" s="7" t="s">
        <v>1131</v>
      </c>
      <c r="J309" s="7" t="s">
        <v>1132</v>
      </c>
      <c r="K309" s="7" t="s">
        <v>10</v>
      </c>
      <c r="L309" s="7" t="s">
        <v>45</v>
      </c>
      <c r="M309" s="7" t="s">
        <v>10</v>
      </c>
      <c r="N309" s="7" t="s">
        <v>10</v>
      </c>
      <c r="O309" s="46" t="s">
        <v>46</v>
      </c>
      <c r="P309" s="101">
        <v>45838</v>
      </c>
      <c r="Q309" s="100">
        <f t="shared" si="35"/>
        <v>46203</v>
      </c>
      <c r="R309" s="5" t="s">
        <v>1141</v>
      </c>
      <c r="S309" s="5" t="s">
        <v>2964</v>
      </c>
      <c r="T309" s="5">
        <v>4.1999999999999997E-3</v>
      </c>
      <c r="U309" s="7" t="s">
        <v>10</v>
      </c>
      <c r="V309" s="7">
        <f t="shared" si="36"/>
        <v>4.1999999999999997E-3</v>
      </c>
      <c r="W309" s="7" t="s">
        <v>10</v>
      </c>
      <c r="X309" s="7" t="s">
        <v>330</v>
      </c>
      <c r="Y309" s="48" t="str">
        <f t="shared" si="37"/>
        <v>A DEFINIR</v>
      </c>
      <c r="Z309" s="7" t="s">
        <v>56</v>
      </c>
      <c r="AA309" s="5">
        <v>11599790</v>
      </c>
      <c r="AB309" s="5" t="s">
        <v>2935</v>
      </c>
      <c r="AC309" s="5" t="s">
        <v>48</v>
      </c>
      <c r="AD309" s="5" t="s">
        <v>5530</v>
      </c>
      <c r="AE309" s="5" t="s">
        <v>5906</v>
      </c>
      <c r="AF309" s="49"/>
    </row>
    <row r="310" spans="1:32" ht="30" customHeight="1" x14ac:dyDescent="0.25">
      <c r="A310" s="5" t="s">
        <v>1142</v>
      </c>
      <c r="B310" s="5" t="s">
        <v>10</v>
      </c>
      <c r="C310" s="5" t="s">
        <v>5864</v>
      </c>
      <c r="D310" s="7" t="s">
        <v>1143</v>
      </c>
      <c r="E310" s="7" t="s">
        <v>256</v>
      </c>
      <c r="F310" s="7" t="s">
        <v>312</v>
      </c>
      <c r="G310" s="34" t="s">
        <v>1143</v>
      </c>
      <c r="H310" s="7" t="s">
        <v>1143</v>
      </c>
      <c r="I310" s="7" t="s">
        <v>1144</v>
      </c>
      <c r="J310" s="7" t="s">
        <v>1145</v>
      </c>
      <c r="K310" s="5" t="s">
        <v>10</v>
      </c>
      <c r="L310" s="5" t="s">
        <v>10</v>
      </c>
      <c r="M310" s="5" t="s">
        <v>10</v>
      </c>
      <c r="N310" s="5" t="s">
        <v>45</v>
      </c>
      <c r="O310" s="80" t="s">
        <v>56</v>
      </c>
      <c r="P310" s="101">
        <v>46205</v>
      </c>
      <c r="Q310" s="100">
        <f t="shared" si="35"/>
        <v>46570</v>
      </c>
      <c r="R310" s="5" t="s">
        <v>2693</v>
      </c>
      <c r="S310" s="5" t="s">
        <v>5737</v>
      </c>
      <c r="T310" s="7">
        <v>3.3</v>
      </c>
      <c r="U310" s="7" t="s">
        <v>10</v>
      </c>
      <c r="V310" s="7">
        <f t="shared" si="36"/>
        <v>3.3</v>
      </c>
      <c r="W310" s="5" t="s">
        <v>10</v>
      </c>
      <c r="X310" s="5" t="s">
        <v>2032</v>
      </c>
      <c r="Y310" s="48" t="str">
        <f t="shared" si="37"/>
        <v>A DEFINIR</v>
      </c>
      <c r="Z310" s="7" t="s">
        <v>56</v>
      </c>
      <c r="AA310" s="5">
        <v>11599716</v>
      </c>
      <c r="AB310" s="5" t="s">
        <v>2931</v>
      </c>
      <c r="AC310" s="5" t="s">
        <v>48</v>
      </c>
      <c r="AD310" s="5" t="s">
        <v>5632</v>
      </c>
      <c r="AE310" s="5" t="str">
        <f t="shared" ca="1" si="34"/>
        <v>NO PRAZO</v>
      </c>
      <c r="AF310" s="51"/>
    </row>
    <row r="311" spans="1:32" ht="30" customHeight="1" x14ac:dyDescent="0.25">
      <c r="A311" s="9" t="s">
        <v>3771</v>
      </c>
      <c r="B311" s="9" t="s">
        <v>3233</v>
      </c>
      <c r="C311" s="5" t="s">
        <v>5863</v>
      </c>
      <c r="D311" s="61" t="s">
        <v>746</v>
      </c>
      <c r="E311" s="7" t="s">
        <v>640</v>
      </c>
      <c r="F311" s="7" t="s">
        <v>643</v>
      </c>
      <c r="G311" s="61" t="s">
        <v>746</v>
      </c>
      <c r="H311" s="61" t="s">
        <v>10</v>
      </c>
      <c r="I311" s="62" t="s">
        <v>3984</v>
      </c>
      <c r="J311" s="62" t="s">
        <v>3985</v>
      </c>
      <c r="K311" s="5" t="s">
        <v>10</v>
      </c>
      <c r="L311" s="5" t="s">
        <v>10</v>
      </c>
      <c r="M311" s="5" t="s">
        <v>10</v>
      </c>
      <c r="N311" s="5" t="s">
        <v>45</v>
      </c>
      <c r="O311" s="80" t="s">
        <v>56</v>
      </c>
      <c r="P311" s="99">
        <v>45966</v>
      </c>
      <c r="Q311" s="100">
        <f t="shared" si="35"/>
        <v>46331</v>
      </c>
      <c r="R311" s="63" t="s">
        <v>1803</v>
      </c>
      <c r="S311" s="63" t="s">
        <v>3768</v>
      </c>
      <c r="T311" s="7">
        <v>6.1999999999999998E-3</v>
      </c>
      <c r="U311" s="81"/>
      <c r="V311" s="7">
        <f t="shared" si="36"/>
        <v>6.1999999999999998E-3</v>
      </c>
      <c r="W311" s="5">
        <v>0.01</v>
      </c>
      <c r="X311" s="5" t="s">
        <v>747</v>
      </c>
      <c r="Y311" s="48" t="str">
        <f t="shared" si="37"/>
        <v>APROVADO</v>
      </c>
      <c r="Z311" s="7" t="s">
        <v>56</v>
      </c>
      <c r="AA311" s="5">
        <v>11601986</v>
      </c>
      <c r="AB311" s="5" t="s">
        <v>3809</v>
      </c>
      <c r="AC311" s="5" t="s">
        <v>48</v>
      </c>
      <c r="AD311" s="5" t="s">
        <v>5530</v>
      </c>
      <c r="AE311" s="5" t="str">
        <f t="shared" ca="1" si="34"/>
        <v>NO PRAZO</v>
      </c>
      <c r="AF311" s="51"/>
    </row>
    <row r="312" spans="1:32" ht="30" customHeight="1" x14ac:dyDescent="0.25">
      <c r="A312" s="5" t="s">
        <v>1883</v>
      </c>
      <c r="B312" s="5" t="s">
        <v>10</v>
      </c>
      <c r="C312" s="5" t="s">
        <v>5864</v>
      </c>
      <c r="D312" s="7" t="s">
        <v>3070</v>
      </c>
      <c r="E312" s="7" t="s">
        <v>256</v>
      </c>
      <c r="F312" s="7" t="s">
        <v>257</v>
      </c>
      <c r="G312" s="7" t="s">
        <v>3070</v>
      </c>
      <c r="H312" s="7" t="s">
        <v>3070</v>
      </c>
      <c r="I312" s="7" t="s">
        <v>1157</v>
      </c>
      <c r="J312" s="7" t="s">
        <v>1158</v>
      </c>
      <c r="K312" s="5" t="s">
        <v>10</v>
      </c>
      <c r="L312" s="5" t="s">
        <v>10</v>
      </c>
      <c r="M312" s="5" t="s">
        <v>10</v>
      </c>
      <c r="N312" s="5" t="s">
        <v>45</v>
      </c>
      <c r="O312" s="80" t="s">
        <v>56</v>
      </c>
      <c r="P312" s="101">
        <v>46203</v>
      </c>
      <c r="Q312" s="100">
        <f t="shared" si="35"/>
        <v>46568</v>
      </c>
      <c r="R312" s="7" t="s">
        <v>5044</v>
      </c>
      <c r="S312" s="7" t="s">
        <v>5706</v>
      </c>
      <c r="T312" s="7">
        <v>0.02</v>
      </c>
      <c r="U312" s="7"/>
      <c r="V312" s="7">
        <f t="shared" si="36"/>
        <v>0.02</v>
      </c>
      <c r="W312" s="5" t="s">
        <v>10</v>
      </c>
      <c r="X312" s="5" t="s">
        <v>330</v>
      </c>
      <c r="Y312" s="48" t="str">
        <f t="shared" si="37"/>
        <v>A DEFINIR</v>
      </c>
      <c r="Z312" s="7" t="s">
        <v>56</v>
      </c>
      <c r="AA312" s="5">
        <v>11599877</v>
      </c>
      <c r="AB312" s="5" t="s">
        <v>4138</v>
      </c>
      <c r="AC312" s="5" t="s">
        <v>48</v>
      </c>
      <c r="AD312" s="5" t="s">
        <v>5530</v>
      </c>
      <c r="AE312" s="5" t="str">
        <f t="shared" ca="1" si="34"/>
        <v>NO PRAZO</v>
      </c>
      <c r="AF312" s="53"/>
    </row>
    <row r="313" spans="1:32" ht="30" customHeight="1" x14ac:dyDescent="0.25">
      <c r="A313" s="5" t="s">
        <v>1147</v>
      </c>
      <c r="B313" s="5" t="s">
        <v>10</v>
      </c>
      <c r="C313" s="5" t="s">
        <v>5864</v>
      </c>
      <c r="D313" s="7" t="s">
        <v>1148</v>
      </c>
      <c r="E313" s="7" t="s">
        <v>256</v>
      </c>
      <c r="F313" s="7" t="s">
        <v>257</v>
      </c>
      <c r="G313" s="7" t="s">
        <v>1148</v>
      </c>
      <c r="H313" s="7" t="s">
        <v>1148</v>
      </c>
      <c r="I313" s="7" t="s">
        <v>1149</v>
      </c>
      <c r="J313" s="7" t="s">
        <v>1150</v>
      </c>
      <c r="K313" s="5" t="s">
        <v>10</v>
      </c>
      <c r="L313" s="5" t="s">
        <v>10</v>
      </c>
      <c r="M313" s="5" t="s">
        <v>10</v>
      </c>
      <c r="N313" s="5" t="s">
        <v>45</v>
      </c>
      <c r="O313" s="80" t="s">
        <v>56</v>
      </c>
      <c r="P313" s="101">
        <v>45996</v>
      </c>
      <c r="Q313" s="100">
        <f t="shared" si="35"/>
        <v>46361</v>
      </c>
      <c r="R313" s="7" t="s">
        <v>1827</v>
      </c>
      <c r="S313" s="7" t="s">
        <v>4259</v>
      </c>
      <c r="T313" s="7">
        <v>4.4999999999999998E-2</v>
      </c>
      <c r="U313" s="7" t="s">
        <v>10</v>
      </c>
      <c r="V313" s="7">
        <f t="shared" si="36"/>
        <v>4.4999999999999998E-2</v>
      </c>
      <c r="W313" s="5" t="s">
        <v>10</v>
      </c>
      <c r="X313" s="5" t="s">
        <v>330</v>
      </c>
      <c r="Y313" s="48" t="str">
        <f t="shared" si="37"/>
        <v>A DEFINIR</v>
      </c>
      <c r="Z313" s="7" t="s">
        <v>56</v>
      </c>
      <c r="AA313" s="5">
        <v>11599717</v>
      </c>
      <c r="AB313" s="5" t="s">
        <v>3922</v>
      </c>
      <c r="AC313" s="5" t="s">
        <v>48</v>
      </c>
      <c r="AD313" s="5" t="s">
        <v>5530</v>
      </c>
      <c r="AE313" s="5" t="str">
        <f t="shared" ca="1" si="34"/>
        <v>NO PRAZO</v>
      </c>
      <c r="AF313" s="51"/>
    </row>
    <row r="314" spans="1:32" ht="30" customHeight="1" x14ac:dyDescent="0.25">
      <c r="A314" s="5" t="s">
        <v>1151</v>
      </c>
      <c r="B314" s="5" t="s">
        <v>10</v>
      </c>
      <c r="C314" s="5" t="s">
        <v>5864</v>
      </c>
      <c r="D314" s="7" t="s">
        <v>1148</v>
      </c>
      <c r="E314" s="7" t="s">
        <v>256</v>
      </c>
      <c r="F314" s="7" t="s">
        <v>257</v>
      </c>
      <c r="G314" s="7" t="s">
        <v>1148</v>
      </c>
      <c r="H314" s="7" t="s">
        <v>1148</v>
      </c>
      <c r="I314" s="7" t="s">
        <v>1152</v>
      </c>
      <c r="J314" s="7" t="s">
        <v>1153</v>
      </c>
      <c r="K314" s="5" t="s">
        <v>10</v>
      </c>
      <c r="L314" s="5" t="s">
        <v>10</v>
      </c>
      <c r="M314" s="5" t="s">
        <v>10</v>
      </c>
      <c r="N314" s="5" t="s">
        <v>45</v>
      </c>
      <c r="O314" s="80" t="s">
        <v>56</v>
      </c>
      <c r="P314" s="101">
        <v>45996</v>
      </c>
      <c r="Q314" s="100">
        <f t="shared" si="35"/>
        <v>46361</v>
      </c>
      <c r="R314" s="7" t="s">
        <v>1828</v>
      </c>
      <c r="S314" s="7" t="s">
        <v>4260</v>
      </c>
      <c r="T314" s="7">
        <v>4.3999999999999997E-2</v>
      </c>
      <c r="U314" s="7" t="s">
        <v>10</v>
      </c>
      <c r="V314" s="7">
        <f t="shared" si="36"/>
        <v>4.3999999999999997E-2</v>
      </c>
      <c r="W314" s="5" t="s">
        <v>10</v>
      </c>
      <c r="X314" s="5" t="s">
        <v>330</v>
      </c>
      <c r="Y314" s="48" t="str">
        <f t="shared" si="37"/>
        <v>A DEFINIR</v>
      </c>
      <c r="Z314" s="7" t="s">
        <v>56</v>
      </c>
      <c r="AA314" s="5">
        <v>11599718</v>
      </c>
      <c r="AB314" s="5" t="s">
        <v>3923</v>
      </c>
      <c r="AC314" s="5" t="s">
        <v>48</v>
      </c>
      <c r="AD314" s="5" t="s">
        <v>5530</v>
      </c>
      <c r="AE314" s="5" t="str">
        <f t="shared" ca="1" si="34"/>
        <v>NO PRAZO</v>
      </c>
      <c r="AF314" s="51"/>
    </row>
    <row r="315" spans="1:32" ht="30" customHeight="1" x14ac:dyDescent="0.25">
      <c r="A315" s="5" t="s">
        <v>1154</v>
      </c>
      <c r="B315" s="5" t="s">
        <v>10</v>
      </c>
      <c r="C315" s="5" t="s">
        <v>5864</v>
      </c>
      <c r="D315" s="7" t="s">
        <v>1148</v>
      </c>
      <c r="E315" s="7" t="s">
        <v>256</v>
      </c>
      <c r="F315" s="7" t="s">
        <v>257</v>
      </c>
      <c r="G315" s="7" t="s">
        <v>1148</v>
      </c>
      <c r="H315" s="7" t="s">
        <v>1148</v>
      </c>
      <c r="I315" s="7" t="s">
        <v>1155</v>
      </c>
      <c r="J315" s="7" t="s">
        <v>1155</v>
      </c>
      <c r="K315" s="5" t="s">
        <v>10</v>
      </c>
      <c r="L315" s="5" t="s">
        <v>10</v>
      </c>
      <c r="M315" s="5" t="s">
        <v>10</v>
      </c>
      <c r="N315" s="5" t="s">
        <v>45</v>
      </c>
      <c r="O315" s="80" t="s">
        <v>56</v>
      </c>
      <c r="P315" s="101">
        <v>46092</v>
      </c>
      <c r="Q315" s="100">
        <f t="shared" si="35"/>
        <v>46457</v>
      </c>
      <c r="R315" s="7" t="s">
        <v>2044</v>
      </c>
      <c r="S315" s="63" t="s">
        <v>5045</v>
      </c>
      <c r="T315" s="7">
        <v>4.3999999999999997E-2</v>
      </c>
      <c r="U315" s="7" t="s">
        <v>10</v>
      </c>
      <c r="V315" s="7">
        <f t="shared" si="36"/>
        <v>4.3999999999999997E-2</v>
      </c>
      <c r="W315" s="5" t="s">
        <v>10</v>
      </c>
      <c r="X315" s="5" t="s">
        <v>898</v>
      </c>
      <c r="Y315" s="48" t="str">
        <f t="shared" si="37"/>
        <v>A DEFINIR</v>
      </c>
      <c r="Z315" s="7" t="s">
        <v>56</v>
      </c>
      <c r="AA315" s="5">
        <v>11599719</v>
      </c>
      <c r="AB315" s="5" t="s">
        <v>3924</v>
      </c>
      <c r="AC315" s="5" t="s">
        <v>48</v>
      </c>
      <c r="AD315" s="5" t="s">
        <v>5530</v>
      </c>
      <c r="AE315" s="5" t="str">
        <f t="shared" ca="1" si="34"/>
        <v>NO PRAZO</v>
      </c>
      <c r="AF315" s="53"/>
    </row>
    <row r="316" spans="1:32" ht="30" customHeight="1" x14ac:dyDescent="0.25">
      <c r="A316" s="5" t="s">
        <v>1166</v>
      </c>
      <c r="B316" s="5" t="s">
        <v>10</v>
      </c>
      <c r="C316" s="5" t="s">
        <v>5864</v>
      </c>
      <c r="D316" s="7" t="s">
        <v>1156</v>
      </c>
      <c r="E316" s="7" t="s">
        <v>256</v>
      </c>
      <c r="F316" s="7" t="s">
        <v>257</v>
      </c>
      <c r="G316" s="7" t="s">
        <v>1156</v>
      </c>
      <c r="H316" s="7" t="s">
        <v>1156</v>
      </c>
      <c r="I316" s="7" t="s">
        <v>1062</v>
      </c>
      <c r="J316" s="7" t="s">
        <v>1162</v>
      </c>
      <c r="K316" s="5" t="s">
        <v>10</v>
      </c>
      <c r="L316" s="5" t="s">
        <v>45</v>
      </c>
      <c r="M316" s="5" t="s">
        <v>10</v>
      </c>
      <c r="N316" s="5" t="s">
        <v>10</v>
      </c>
      <c r="O316" s="46" t="s">
        <v>46</v>
      </c>
      <c r="P316" s="101">
        <v>45793</v>
      </c>
      <c r="Q316" s="100">
        <f t="shared" si="35"/>
        <v>46158</v>
      </c>
      <c r="R316" s="63" t="s">
        <v>1167</v>
      </c>
      <c r="S316" s="63" t="s">
        <v>3058</v>
      </c>
      <c r="T316" s="7">
        <v>5.7999999999999996E-3</v>
      </c>
      <c r="U316" s="7"/>
      <c r="V316" s="7">
        <f t="shared" si="36"/>
        <v>5.7999999999999996E-3</v>
      </c>
      <c r="W316" s="5" t="s">
        <v>10</v>
      </c>
      <c r="X316" s="5" t="s">
        <v>330</v>
      </c>
      <c r="Y316" s="48" t="str">
        <f t="shared" si="37"/>
        <v>A DEFINIR</v>
      </c>
      <c r="Z316" s="7" t="s">
        <v>56</v>
      </c>
      <c r="AA316" s="5">
        <v>11599515</v>
      </c>
      <c r="AB316" s="5" t="s">
        <v>3925</v>
      </c>
      <c r="AC316" s="5" t="s">
        <v>48</v>
      </c>
      <c r="AD316" s="5" t="s">
        <v>5530</v>
      </c>
      <c r="AE316" s="5" t="s">
        <v>5906</v>
      </c>
      <c r="AF316" s="49"/>
    </row>
    <row r="317" spans="1:32" ht="30" customHeight="1" x14ac:dyDescent="0.25">
      <c r="A317" s="9" t="s">
        <v>5707</v>
      </c>
      <c r="B317" s="5" t="s">
        <v>10</v>
      </c>
      <c r="C317" s="5" t="s">
        <v>5864</v>
      </c>
      <c r="D317" s="61" t="s">
        <v>1146</v>
      </c>
      <c r="E317" s="7" t="s">
        <v>256</v>
      </c>
      <c r="F317" s="7" t="s">
        <v>257</v>
      </c>
      <c r="G317" s="61" t="s">
        <v>1159</v>
      </c>
      <c r="H317" s="61" t="s">
        <v>1164</v>
      </c>
      <c r="I317" s="7" t="s">
        <v>1062</v>
      </c>
      <c r="J317" s="7" t="s">
        <v>1162</v>
      </c>
      <c r="K317" s="5" t="s">
        <v>10</v>
      </c>
      <c r="L317" s="5" t="s">
        <v>10</v>
      </c>
      <c r="M317" s="5" t="s">
        <v>10</v>
      </c>
      <c r="N317" s="5" t="s">
        <v>45</v>
      </c>
      <c r="O317" s="80" t="s">
        <v>56</v>
      </c>
      <c r="P317" s="99">
        <v>46203</v>
      </c>
      <c r="Q317" s="100">
        <f t="shared" si="35"/>
        <v>46568</v>
      </c>
      <c r="R317" s="63" t="s">
        <v>5710</v>
      </c>
      <c r="S317" s="63" t="s">
        <v>5713</v>
      </c>
      <c r="T317" s="7">
        <v>5.8999999999999999E-3</v>
      </c>
      <c r="U317" s="7" t="s">
        <v>10</v>
      </c>
      <c r="V317" s="7">
        <f t="shared" si="36"/>
        <v>5.8999999999999999E-3</v>
      </c>
      <c r="W317" s="5" t="s">
        <v>10</v>
      </c>
      <c r="X317" s="5" t="s">
        <v>330</v>
      </c>
      <c r="Y317" s="48" t="str">
        <f t="shared" si="37"/>
        <v>A DEFINIR</v>
      </c>
      <c r="Z317" s="7" t="s">
        <v>56</v>
      </c>
      <c r="AA317" s="5">
        <v>11604059</v>
      </c>
      <c r="AB317" s="5" t="s">
        <v>2850</v>
      </c>
      <c r="AC317" s="5" t="s">
        <v>48</v>
      </c>
      <c r="AD317" s="5" t="s">
        <v>5632</v>
      </c>
      <c r="AE317" s="5" t="str">
        <f t="shared" ref="AE317:AE376" ca="1" si="45">IFERROR(IF(OR(AND(YEAR(Q317)=YEAR(TODAY()),MONTH(Q317)&gt;MONTH(TODAY())),(YEAR(Q317)&gt;YEAR(TODAY()))),$AK$4,IF(AND(YEAR(Q317)=YEAR(TODAY()),MONTH(Q317)=MONTH(TODAY())),$AK$5,IF(Q317="",$AK$6,$AK$7))),"-")</f>
        <v>NO PRAZO</v>
      </c>
      <c r="AF317" s="49"/>
    </row>
    <row r="318" spans="1:32" ht="30" customHeight="1" x14ac:dyDescent="0.25">
      <c r="A318" s="9" t="s">
        <v>5708</v>
      </c>
      <c r="B318" s="5" t="s">
        <v>10</v>
      </c>
      <c r="C318" s="5" t="s">
        <v>5864</v>
      </c>
      <c r="D318" s="61" t="s">
        <v>1146</v>
      </c>
      <c r="E318" s="7" t="s">
        <v>256</v>
      </c>
      <c r="F318" s="7" t="s">
        <v>257</v>
      </c>
      <c r="G318" s="61" t="s">
        <v>1159</v>
      </c>
      <c r="H318" s="61" t="s">
        <v>1164</v>
      </c>
      <c r="I318" s="7" t="s">
        <v>1062</v>
      </c>
      <c r="J318" s="7" t="s">
        <v>1162</v>
      </c>
      <c r="K318" s="5" t="s">
        <v>10</v>
      </c>
      <c r="L318" s="5" t="s">
        <v>10</v>
      </c>
      <c r="M318" s="5" t="s">
        <v>10</v>
      </c>
      <c r="N318" s="5" t="s">
        <v>45</v>
      </c>
      <c r="O318" s="80" t="s">
        <v>56</v>
      </c>
      <c r="P318" s="99">
        <v>46203</v>
      </c>
      <c r="Q318" s="100">
        <f t="shared" si="35"/>
        <v>46568</v>
      </c>
      <c r="R318" s="63" t="s">
        <v>5711</v>
      </c>
      <c r="S318" s="63" t="s">
        <v>5714</v>
      </c>
      <c r="T318" s="7">
        <v>5.8999999999999999E-3</v>
      </c>
      <c r="U318" s="7" t="s">
        <v>10</v>
      </c>
      <c r="V318" s="7">
        <f t="shared" si="36"/>
        <v>5.8999999999999999E-3</v>
      </c>
      <c r="W318" s="5" t="s">
        <v>10</v>
      </c>
      <c r="X318" s="5" t="s">
        <v>330</v>
      </c>
      <c r="Y318" s="48" t="str">
        <f t="shared" si="37"/>
        <v>A DEFINIR</v>
      </c>
      <c r="Z318" s="7" t="s">
        <v>56</v>
      </c>
      <c r="AA318" s="5">
        <v>11604059</v>
      </c>
      <c r="AB318" s="5" t="s">
        <v>2850</v>
      </c>
      <c r="AC318" s="5" t="s">
        <v>48</v>
      </c>
      <c r="AD318" s="5" t="s">
        <v>5632</v>
      </c>
      <c r="AE318" s="5" t="str">
        <f t="shared" ca="1" si="45"/>
        <v>NO PRAZO</v>
      </c>
      <c r="AF318" s="49"/>
    </row>
    <row r="319" spans="1:32" ht="30" customHeight="1" x14ac:dyDescent="0.25">
      <c r="A319" s="9" t="s">
        <v>5709</v>
      </c>
      <c r="B319" s="5" t="s">
        <v>10</v>
      </c>
      <c r="C319" s="5" t="s">
        <v>5864</v>
      </c>
      <c r="D319" s="61" t="s">
        <v>1146</v>
      </c>
      <c r="E319" s="7" t="s">
        <v>256</v>
      </c>
      <c r="F319" s="7" t="s">
        <v>257</v>
      </c>
      <c r="G319" s="61" t="s">
        <v>1159</v>
      </c>
      <c r="H319" s="61" t="s">
        <v>1164</v>
      </c>
      <c r="I319" s="7" t="s">
        <v>1062</v>
      </c>
      <c r="J319" s="7" t="s">
        <v>1162</v>
      </c>
      <c r="K319" s="5" t="s">
        <v>10</v>
      </c>
      <c r="L319" s="5" t="s">
        <v>10</v>
      </c>
      <c r="M319" s="5" t="s">
        <v>10</v>
      </c>
      <c r="N319" s="5" t="s">
        <v>45</v>
      </c>
      <c r="O319" s="80" t="s">
        <v>56</v>
      </c>
      <c r="P319" s="99">
        <v>46203</v>
      </c>
      <c r="Q319" s="100">
        <f t="shared" si="35"/>
        <v>46568</v>
      </c>
      <c r="R319" s="63" t="s">
        <v>5712</v>
      </c>
      <c r="S319" s="63" t="s">
        <v>5715</v>
      </c>
      <c r="T319" s="7">
        <v>5.8999999999999999E-3</v>
      </c>
      <c r="U319" s="7" t="s">
        <v>10</v>
      </c>
      <c r="V319" s="7">
        <f t="shared" si="36"/>
        <v>5.8999999999999999E-3</v>
      </c>
      <c r="W319" s="5" t="s">
        <v>10</v>
      </c>
      <c r="X319" s="5" t="s">
        <v>330</v>
      </c>
      <c r="Y319" s="48" t="str">
        <f t="shared" si="37"/>
        <v>A DEFINIR</v>
      </c>
      <c r="Z319" s="7" t="s">
        <v>56</v>
      </c>
      <c r="AA319" s="5">
        <v>11604059</v>
      </c>
      <c r="AB319" s="5" t="s">
        <v>2850</v>
      </c>
      <c r="AC319" s="5" t="s">
        <v>48</v>
      </c>
      <c r="AD319" s="5" t="s">
        <v>5632</v>
      </c>
      <c r="AE319" s="5" t="str">
        <f t="shared" ca="1" si="45"/>
        <v>NO PRAZO</v>
      </c>
      <c r="AF319" s="49"/>
    </row>
    <row r="320" spans="1:32" ht="30" customHeight="1" x14ac:dyDescent="0.25">
      <c r="A320" s="9" t="s">
        <v>1163</v>
      </c>
      <c r="B320" s="5" t="s">
        <v>10</v>
      </c>
      <c r="C320" s="5" t="s">
        <v>5864</v>
      </c>
      <c r="D320" s="61" t="s">
        <v>1146</v>
      </c>
      <c r="E320" s="7" t="s">
        <v>256</v>
      </c>
      <c r="F320" s="7" t="s">
        <v>257</v>
      </c>
      <c r="G320" s="61" t="s">
        <v>1159</v>
      </c>
      <c r="H320" s="61" t="s">
        <v>1164</v>
      </c>
      <c r="I320" s="7" t="s">
        <v>1160</v>
      </c>
      <c r="J320" s="7" t="s">
        <v>1162</v>
      </c>
      <c r="K320" s="5" t="s">
        <v>10</v>
      </c>
      <c r="L320" s="5" t="s">
        <v>10</v>
      </c>
      <c r="M320" s="5" t="s">
        <v>10</v>
      </c>
      <c r="N320" s="5" t="s">
        <v>45</v>
      </c>
      <c r="O320" s="80" t="s">
        <v>56</v>
      </c>
      <c r="P320" s="99">
        <v>45791</v>
      </c>
      <c r="Q320" s="100">
        <f t="shared" si="35"/>
        <v>46156</v>
      </c>
      <c r="R320" s="63" t="s">
        <v>1165</v>
      </c>
      <c r="S320" s="63" t="s">
        <v>2243</v>
      </c>
      <c r="T320" s="7">
        <v>0.02</v>
      </c>
      <c r="U320" s="7" t="s">
        <v>10</v>
      </c>
      <c r="V320" s="7">
        <f t="shared" si="36"/>
        <v>0.02</v>
      </c>
      <c r="W320" s="5" t="s">
        <v>10</v>
      </c>
      <c r="X320" s="5" t="s">
        <v>330</v>
      </c>
      <c r="Y320" s="48" t="str">
        <f t="shared" si="37"/>
        <v>A DEFINIR</v>
      </c>
      <c r="Z320" s="7" t="s">
        <v>56</v>
      </c>
      <c r="AA320" s="5">
        <v>11604059</v>
      </c>
      <c r="AB320" s="5" t="s">
        <v>2850</v>
      </c>
      <c r="AC320" s="5" t="s">
        <v>48</v>
      </c>
      <c r="AD320" s="5" t="s">
        <v>5530</v>
      </c>
      <c r="AE320" s="5" t="s">
        <v>5906</v>
      </c>
      <c r="AF320" s="49"/>
    </row>
    <row r="321" spans="1:32" ht="30" customHeight="1" x14ac:dyDescent="0.25">
      <c r="A321" s="5" t="s">
        <v>2247</v>
      </c>
      <c r="B321" s="5" t="s">
        <v>10</v>
      </c>
      <c r="C321" s="5" t="s">
        <v>5864</v>
      </c>
      <c r="D321" s="7" t="s">
        <v>1156</v>
      </c>
      <c r="E321" s="7" t="s">
        <v>256</v>
      </c>
      <c r="F321" s="7" t="s">
        <v>257</v>
      </c>
      <c r="G321" s="7" t="s">
        <v>1156</v>
      </c>
      <c r="H321" s="7" t="s">
        <v>1156</v>
      </c>
      <c r="I321" s="7" t="s">
        <v>1062</v>
      </c>
      <c r="J321" s="7" t="s">
        <v>1162</v>
      </c>
      <c r="K321" s="5" t="s">
        <v>10</v>
      </c>
      <c r="L321" s="5" t="s">
        <v>45</v>
      </c>
      <c r="M321" s="5" t="s">
        <v>10</v>
      </c>
      <c r="N321" s="5" t="s">
        <v>10</v>
      </c>
      <c r="O321" s="46" t="s">
        <v>46</v>
      </c>
      <c r="P321" s="101">
        <v>45967</v>
      </c>
      <c r="Q321" s="100">
        <f t="shared" si="35"/>
        <v>46332</v>
      </c>
      <c r="R321" s="63" t="s">
        <v>2248</v>
      </c>
      <c r="S321" s="63" t="s">
        <v>3779</v>
      </c>
      <c r="T321" s="7">
        <v>6.0000000000000001E-3</v>
      </c>
      <c r="U321" s="7" t="s">
        <v>10</v>
      </c>
      <c r="V321" s="7">
        <f t="shared" si="36"/>
        <v>6.0000000000000001E-3</v>
      </c>
      <c r="W321" s="5" t="s">
        <v>10</v>
      </c>
      <c r="X321" s="5" t="s">
        <v>330</v>
      </c>
      <c r="Y321" s="48" t="str">
        <f t="shared" si="37"/>
        <v>A DEFINIR</v>
      </c>
      <c r="Z321" s="7" t="s">
        <v>56</v>
      </c>
      <c r="AA321" s="5">
        <v>11604410</v>
      </c>
      <c r="AB321" s="5" t="s">
        <v>2510</v>
      </c>
      <c r="AC321" s="5" t="s">
        <v>48</v>
      </c>
      <c r="AD321" s="5" t="s">
        <v>5530</v>
      </c>
      <c r="AE321" s="5" t="str">
        <f t="shared" ca="1" si="45"/>
        <v>NO PRAZO</v>
      </c>
      <c r="AF321" s="49"/>
    </row>
    <row r="322" spans="1:32" ht="30" customHeight="1" x14ac:dyDescent="0.25">
      <c r="A322" s="5" t="s">
        <v>1168</v>
      </c>
      <c r="B322" s="5" t="s">
        <v>10</v>
      </c>
      <c r="C322" s="5" t="s">
        <v>5864</v>
      </c>
      <c r="D322" s="7" t="s">
        <v>1156</v>
      </c>
      <c r="E322" s="7" t="s">
        <v>256</v>
      </c>
      <c r="F322" s="7" t="s">
        <v>652</v>
      </c>
      <c r="G322" s="7" t="s">
        <v>1156</v>
      </c>
      <c r="H322" s="7" t="s">
        <v>1156</v>
      </c>
      <c r="I322" s="7" t="s">
        <v>1062</v>
      </c>
      <c r="J322" s="7" t="s">
        <v>1162</v>
      </c>
      <c r="K322" s="5" t="s">
        <v>10</v>
      </c>
      <c r="L322" s="5" t="s">
        <v>45</v>
      </c>
      <c r="M322" s="5" t="s">
        <v>10</v>
      </c>
      <c r="N322" s="5" t="s">
        <v>10</v>
      </c>
      <c r="O322" s="46" t="s">
        <v>46</v>
      </c>
      <c r="P322" s="101">
        <v>46102</v>
      </c>
      <c r="Q322" s="100">
        <f t="shared" si="35"/>
        <v>46467</v>
      </c>
      <c r="R322" s="63" t="s">
        <v>2045</v>
      </c>
      <c r="S322" s="63" t="s">
        <v>5100</v>
      </c>
      <c r="T322" s="7">
        <v>1.4E-2</v>
      </c>
      <c r="U322" s="7" t="s">
        <v>10</v>
      </c>
      <c r="V322" s="7">
        <f t="shared" si="36"/>
        <v>1.4E-2</v>
      </c>
      <c r="W322" s="5" t="s">
        <v>10</v>
      </c>
      <c r="X322" s="5" t="s">
        <v>330</v>
      </c>
      <c r="Y322" s="48" t="str">
        <f t="shared" si="37"/>
        <v>A DEFINIR</v>
      </c>
      <c r="Z322" s="7" t="s">
        <v>56</v>
      </c>
      <c r="AA322" s="5">
        <v>11596962</v>
      </c>
      <c r="AB322" s="5" t="s">
        <v>2511</v>
      </c>
      <c r="AC322" s="5" t="s">
        <v>48</v>
      </c>
      <c r="AD322" s="5" t="s">
        <v>5530</v>
      </c>
      <c r="AE322" s="5" t="str">
        <f t="shared" ca="1" si="45"/>
        <v>NO PRAZO</v>
      </c>
      <c r="AF322" s="51"/>
    </row>
    <row r="323" spans="1:32" ht="30" customHeight="1" x14ac:dyDescent="0.25">
      <c r="A323" s="5" t="s">
        <v>2412</v>
      </c>
      <c r="B323" s="5" t="s">
        <v>10</v>
      </c>
      <c r="C323" s="5" t="s">
        <v>5864</v>
      </c>
      <c r="D323" s="7" t="s">
        <v>1156</v>
      </c>
      <c r="E323" s="7" t="s">
        <v>256</v>
      </c>
      <c r="F323" s="7" t="s">
        <v>257</v>
      </c>
      <c r="G323" s="7" t="s">
        <v>1156</v>
      </c>
      <c r="H323" s="7" t="s">
        <v>1156</v>
      </c>
      <c r="I323" s="7" t="s">
        <v>1062</v>
      </c>
      <c r="J323" s="7" t="s">
        <v>1162</v>
      </c>
      <c r="K323" s="5" t="s">
        <v>10</v>
      </c>
      <c r="L323" s="5" t="s">
        <v>45</v>
      </c>
      <c r="M323" s="5" t="s">
        <v>10</v>
      </c>
      <c r="N323" s="5" t="s">
        <v>10</v>
      </c>
      <c r="O323" s="46" t="s">
        <v>46</v>
      </c>
      <c r="P323" s="101">
        <v>46205</v>
      </c>
      <c r="Q323" s="100">
        <f t="shared" si="35"/>
        <v>46570</v>
      </c>
      <c r="R323" s="63" t="s">
        <v>2413</v>
      </c>
      <c r="S323" s="63" t="s">
        <v>5738</v>
      </c>
      <c r="T323" s="7">
        <v>5.8999999999999999E-3</v>
      </c>
      <c r="U323" s="7" t="s">
        <v>10</v>
      </c>
      <c r="V323" s="7">
        <f t="shared" si="36"/>
        <v>5.8999999999999999E-3</v>
      </c>
      <c r="W323" s="5" t="s">
        <v>10</v>
      </c>
      <c r="X323" s="5" t="s">
        <v>330</v>
      </c>
      <c r="Y323" s="48" t="str">
        <f t="shared" si="37"/>
        <v>A DEFINIR</v>
      </c>
      <c r="Z323" s="7" t="s">
        <v>56</v>
      </c>
      <c r="AA323" s="5">
        <v>11599852</v>
      </c>
      <c r="AB323" s="5" t="s">
        <v>3926</v>
      </c>
      <c r="AC323" s="5" t="s">
        <v>48</v>
      </c>
      <c r="AD323" s="5" t="s">
        <v>5632</v>
      </c>
      <c r="AE323" s="5" t="str">
        <f t="shared" ca="1" si="45"/>
        <v>NO PRAZO</v>
      </c>
      <c r="AF323" s="51"/>
    </row>
    <row r="324" spans="1:32" ht="30" customHeight="1" x14ac:dyDescent="0.25">
      <c r="A324" s="5" t="s">
        <v>1169</v>
      </c>
      <c r="B324" s="5" t="s">
        <v>10</v>
      </c>
      <c r="C324" s="5" t="s">
        <v>5864</v>
      </c>
      <c r="D324" s="7" t="s">
        <v>1156</v>
      </c>
      <c r="E324" s="7" t="s">
        <v>256</v>
      </c>
      <c r="F324" s="7" t="s">
        <v>257</v>
      </c>
      <c r="G324" s="7" t="s">
        <v>1156</v>
      </c>
      <c r="H324" s="7" t="s">
        <v>1156</v>
      </c>
      <c r="I324" s="7" t="s">
        <v>1062</v>
      </c>
      <c r="J324" s="7" t="s">
        <v>1162</v>
      </c>
      <c r="K324" s="5" t="s">
        <v>10</v>
      </c>
      <c r="L324" s="5" t="s">
        <v>45</v>
      </c>
      <c r="M324" s="5" t="s">
        <v>10</v>
      </c>
      <c r="N324" s="5" t="s">
        <v>10</v>
      </c>
      <c r="O324" s="46" t="s">
        <v>46</v>
      </c>
      <c r="P324" s="101">
        <v>46092</v>
      </c>
      <c r="Q324" s="100">
        <f t="shared" si="35"/>
        <v>46457</v>
      </c>
      <c r="R324" s="63" t="s">
        <v>1993</v>
      </c>
      <c r="S324" s="7" t="s">
        <v>5046</v>
      </c>
      <c r="T324" s="7">
        <v>6.0000000000000001E-3</v>
      </c>
      <c r="U324" s="7" t="s">
        <v>10</v>
      </c>
      <c r="V324" s="7">
        <f t="shared" si="36"/>
        <v>6.0000000000000001E-3</v>
      </c>
      <c r="W324" s="5" t="s">
        <v>10</v>
      </c>
      <c r="X324" s="5" t="s">
        <v>330</v>
      </c>
      <c r="Y324" s="48" t="str">
        <f t="shared" si="37"/>
        <v>A DEFINIR</v>
      </c>
      <c r="Z324" s="7" t="s">
        <v>56</v>
      </c>
      <c r="AA324" s="5">
        <v>11599853</v>
      </c>
      <c r="AB324" s="5" t="s">
        <v>3927</v>
      </c>
      <c r="AC324" s="5" t="s">
        <v>48</v>
      </c>
      <c r="AD324" s="5" t="s">
        <v>5530</v>
      </c>
      <c r="AE324" s="5" t="str">
        <f t="shared" ca="1" si="45"/>
        <v>NO PRAZO</v>
      </c>
      <c r="AF324" s="52"/>
    </row>
    <row r="325" spans="1:32" ht="30" customHeight="1" x14ac:dyDescent="0.25">
      <c r="A325" s="9" t="s">
        <v>1170</v>
      </c>
      <c r="B325" s="5" t="s">
        <v>10</v>
      </c>
      <c r="C325" s="5" t="s">
        <v>5864</v>
      </c>
      <c r="D325" s="61" t="s">
        <v>1146</v>
      </c>
      <c r="E325" s="7" t="s">
        <v>256</v>
      </c>
      <c r="F325" s="7" t="s">
        <v>257</v>
      </c>
      <c r="G325" s="61" t="s">
        <v>1159</v>
      </c>
      <c r="H325" s="61" t="s">
        <v>1159</v>
      </c>
      <c r="I325" s="7" t="s">
        <v>1062</v>
      </c>
      <c r="J325" s="7" t="s">
        <v>1162</v>
      </c>
      <c r="K325" s="5" t="s">
        <v>10</v>
      </c>
      <c r="L325" s="5" t="s">
        <v>10</v>
      </c>
      <c r="M325" s="5" t="s">
        <v>10</v>
      </c>
      <c r="N325" s="5" t="s">
        <v>45</v>
      </c>
      <c r="O325" s="80" t="s">
        <v>56</v>
      </c>
      <c r="P325" s="101">
        <v>46205</v>
      </c>
      <c r="Q325" s="100">
        <f t="shared" si="35"/>
        <v>46570</v>
      </c>
      <c r="R325" s="63" t="s">
        <v>2701</v>
      </c>
      <c r="S325" s="63" t="s">
        <v>5739</v>
      </c>
      <c r="T325" s="7">
        <v>5.8999999999999999E-3</v>
      </c>
      <c r="U325" s="7" t="s">
        <v>10</v>
      </c>
      <c r="V325" s="7">
        <f t="shared" si="36"/>
        <v>5.8999999999999999E-3</v>
      </c>
      <c r="W325" s="5" t="s">
        <v>10</v>
      </c>
      <c r="X325" s="5" t="s">
        <v>330</v>
      </c>
      <c r="Y325" s="48" t="str">
        <f t="shared" si="37"/>
        <v>A DEFINIR</v>
      </c>
      <c r="Z325" s="7" t="s">
        <v>56</v>
      </c>
      <c r="AA325" s="5">
        <v>11599859</v>
      </c>
      <c r="AB325" s="5" t="s">
        <v>2936</v>
      </c>
      <c r="AC325" s="5" t="s">
        <v>48</v>
      </c>
      <c r="AD325" s="5" t="s">
        <v>5632</v>
      </c>
      <c r="AE325" s="5" t="str">
        <f t="shared" ca="1" si="45"/>
        <v>NO PRAZO</v>
      </c>
      <c r="AF325" s="51"/>
    </row>
    <row r="326" spans="1:32" ht="30" customHeight="1" x14ac:dyDescent="0.25">
      <c r="A326" s="9" t="s">
        <v>1171</v>
      </c>
      <c r="B326" s="5" t="s">
        <v>10</v>
      </c>
      <c r="C326" s="5" t="s">
        <v>5864</v>
      </c>
      <c r="D326" s="61" t="s">
        <v>1146</v>
      </c>
      <c r="E326" s="7" t="s">
        <v>256</v>
      </c>
      <c r="F326" s="7" t="s">
        <v>257</v>
      </c>
      <c r="G326" s="61" t="s">
        <v>1159</v>
      </c>
      <c r="H326" s="61" t="s">
        <v>1159</v>
      </c>
      <c r="I326" s="7" t="s">
        <v>1062</v>
      </c>
      <c r="J326" s="7" t="s">
        <v>1162</v>
      </c>
      <c r="K326" s="5" t="s">
        <v>10</v>
      </c>
      <c r="L326" s="5" t="s">
        <v>10</v>
      </c>
      <c r="M326" s="5" t="s">
        <v>10</v>
      </c>
      <c r="N326" s="5" t="s">
        <v>45</v>
      </c>
      <c r="O326" s="80" t="s">
        <v>56</v>
      </c>
      <c r="P326" s="101">
        <v>46212</v>
      </c>
      <c r="Q326" s="100">
        <f t="shared" si="35"/>
        <v>46577</v>
      </c>
      <c r="R326" s="63" t="s">
        <v>2404</v>
      </c>
      <c r="S326" s="63" t="s">
        <v>5819</v>
      </c>
      <c r="T326" s="7">
        <v>1.7999999999999999E-2</v>
      </c>
      <c r="U326" s="7" t="s">
        <v>10</v>
      </c>
      <c r="V326" s="7">
        <f t="shared" si="36"/>
        <v>1.7999999999999999E-2</v>
      </c>
      <c r="W326" s="5" t="s">
        <v>10</v>
      </c>
      <c r="X326" s="5" t="s">
        <v>330</v>
      </c>
      <c r="Y326" s="48" t="str">
        <f t="shared" si="37"/>
        <v>A DEFINIR</v>
      </c>
      <c r="Z326" s="7" t="s">
        <v>56</v>
      </c>
      <c r="AA326" s="5">
        <v>11599860</v>
      </c>
      <c r="AB326" s="5" t="s">
        <v>2958</v>
      </c>
      <c r="AC326" s="5" t="s">
        <v>48</v>
      </c>
      <c r="AD326" s="5" t="s">
        <v>5632</v>
      </c>
      <c r="AE326" s="5" t="str">
        <f t="shared" ca="1" si="45"/>
        <v>NO PRAZO</v>
      </c>
      <c r="AF326" s="51"/>
    </row>
    <row r="327" spans="1:32" ht="30" customHeight="1" x14ac:dyDescent="0.25">
      <c r="A327" s="9" t="s">
        <v>1172</v>
      </c>
      <c r="B327" s="5" t="s">
        <v>10</v>
      </c>
      <c r="C327" s="5" t="s">
        <v>5864</v>
      </c>
      <c r="D327" s="61" t="s">
        <v>1146</v>
      </c>
      <c r="E327" s="7" t="s">
        <v>256</v>
      </c>
      <c r="F327" s="7" t="s">
        <v>257</v>
      </c>
      <c r="G327" s="61" t="s">
        <v>1159</v>
      </c>
      <c r="H327" s="61" t="s">
        <v>1159</v>
      </c>
      <c r="I327" s="7" t="s">
        <v>1062</v>
      </c>
      <c r="J327" s="7" t="s">
        <v>1162</v>
      </c>
      <c r="K327" s="5" t="s">
        <v>10</v>
      </c>
      <c r="L327" s="5" t="s">
        <v>10</v>
      </c>
      <c r="M327" s="5" t="s">
        <v>10</v>
      </c>
      <c r="N327" s="5" t="s">
        <v>45</v>
      </c>
      <c r="O327" s="80" t="s">
        <v>56</v>
      </c>
      <c r="P327" s="99">
        <v>46142</v>
      </c>
      <c r="Q327" s="100">
        <f t="shared" si="35"/>
        <v>46507</v>
      </c>
      <c r="R327" s="63" t="s">
        <v>2244</v>
      </c>
      <c r="S327" s="63" t="s">
        <v>5537</v>
      </c>
      <c r="T327" s="7">
        <v>1.7999999999999999E-2</v>
      </c>
      <c r="U327" s="7" t="s">
        <v>10</v>
      </c>
      <c r="V327" s="7">
        <f t="shared" si="36"/>
        <v>1.7999999999999999E-2</v>
      </c>
      <c r="W327" s="5" t="s">
        <v>10</v>
      </c>
      <c r="X327" s="5" t="s">
        <v>330</v>
      </c>
      <c r="Y327" s="48" t="str">
        <f t="shared" si="37"/>
        <v>A DEFINIR</v>
      </c>
      <c r="Z327" s="7" t="s">
        <v>56</v>
      </c>
      <c r="AA327" s="5">
        <v>11604065</v>
      </c>
      <c r="AB327" s="5" t="s">
        <v>2851</v>
      </c>
      <c r="AC327" s="5" t="s">
        <v>48</v>
      </c>
      <c r="AD327" s="5" t="s">
        <v>5530</v>
      </c>
      <c r="AE327" s="5" t="str">
        <f t="shared" ca="1" si="45"/>
        <v>NO PRAZO</v>
      </c>
      <c r="AF327" s="49"/>
    </row>
    <row r="328" spans="1:32" ht="30" customHeight="1" x14ac:dyDescent="0.25">
      <c r="A328" s="9" t="s">
        <v>3622</v>
      </c>
      <c r="B328" s="5" t="s">
        <v>10</v>
      </c>
      <c r="C328" s="5" t="s">
        <v>5864</v>
      </c>
      <c r="D328" s="61" t="s">
        <v>1146</v>
      </c>
      <c r="E328" s="7" t="s">
        <v>256</v>
      </c>
      <c r="F328" s="7" t="s">
        <v>257</v>
      </c>
      <c r="G328" s="61" t="s">
        <v>1159</v>
      </c>
      <c r="H328" s="61" t="s">
        <v>1159</v>
      </c>
      <c r="I328" s="7" t="s">
        <v>1160</v>
      </c>
      <c r="J328" s="7" t="s">
        <v>1161</v>
      </c>
      <c r="K328" s="5" t="s">
        <v>10</v>
      </c>
      <c r="L328" s="5" t="s">
        <v>10</v>
      </c>
      <c r="M328" s="5" t="s">
        <v>10</v>
      </c>
      <c r="N328" s="5" t="s">
        <v>45</v>
      </c>
      <c r="O328" s="80" t="s">
        <v>56</v>
      </c>
      <c r="P328" s="99">
        <v>45940</v>
      </c>
      <c r="Q328" s="100">
        <f t="shared" si="35"/>
        <v>46305</v>
      </c>
      <c r="R328" s="63" t="s">
        <v>3624</v>
      </c>
      <c r="S328" s="63" t="s">
        <v>3623</v>
      </c>
      <c r="T328" s="7">
        <v>6.0000000000000001E-3</v>
      </c>
      <c r="U328" s="7"/>
      <c r="V328" s="7">
        <f t="shared" si="36"/>
        <v>6.0000000000000001E-3</v>
      </c>
      <c r="W328" s="5" t="s">
        <v>10</v>
      </c>
      <c r="X328" s="5" t="s">
        <v>330</v>
      </c>
      <c r="Y328" s="48" t="str">
        <f t="shared" si="37"/>
        <v>A DEFINIR</v>
      </c>
      <c r="Z328" s="7" t="s">
        <v>56</v>
      </c>
      <c r="AA328" s="5">
        <v>11605557</v>
      </c>
      <c r="AB328" s="5" t="s">
        <v>3928</v>
      </c>
      <c r="AC328" s="5" t="s">
        <v>48</v>
      </c>
      <c r="AD328" s="5" t="s">
        <v>5530</v>
      </c>
      <c r="AE328" s="5" t="str">
        <f t="shared" ca="1" si="45"/>
        <v>NO PRAZO</v>
      </c>
      <c r="AF328" s="49"/>
    </row>
    <row r="329" spans="1:32" ht="30" customHeight="1" x14ac:dyDescent="0.25">
      <c r="A329" s="9" t="s">
        <v>1798</v>
      </c>
      <c r="B329" s="5" t="s">
        <v>10</v>
      </c>
      <c r="C329" s="5" t="s">
        <v>5864</v>
      </c>
      <c r="D329" s="61" t="s">
        <v>1146</v>
      </c>
      <c r="E329" s="7" t="s">
        <v>256</v>
      </c>
      <c r="F329" s="7" t="s">
        <v>257</v>
      </c>
      <c r="G329" s="61" t="s">
        <v>1159</v>
      </c>
      <c r="H329" s="61" t="s">
        <v>1159</v>
      </c>
      <c r="I329" s="7" t="s">
        <v>1062</v>
      </c>
      <c r="J329" s="7" t="s">
        <v>1162</v>
      </c>
      <c r="K329" s="5" t="s">
        <v>10</v>
      </c>
      <c r="L329" s="5" t="s">
        <v>10</v>
      </c>
      <c r="M329" s="5" t="s">
        <v>10</v>
      </c>
      <c r="N329" s="5" t="s">
        <v>45</v>
      </c>
      <c r="O329" s="80" t="s">
        <v>56</v>
      </c>
      <c r="P329" s="99">
        <v>45951</v>
      </c>
      <c r="Q329" s="100">
        <f t="shared" si="35"/>
        <v>46316</v>
      </c>
      <c r="R329" s="63" t="s">
        <v>1799</v>
      </c>
      <c r="S329" s="63" t="s">
        <v>3585</v>
      </c>
      <c r="T329" s="7">
        <v>5.7999999999999996E-3</v>
      </c>
      <c r="U329" s="7"/>
      <c r="V329" s="7">
        <f t="shared" si="36"/>
        <v>5.7999999999999996E-3</v>
      </c>
      <c r="W329" s="5" t="s">
        <v>10</v>
      </c>
      <c r="X329" s="5" t="s">
        <v>330</v>
      </c>
      <c r="Y329" s="48" t="str">
        <f t="shared" si="37"/>
        <v>A DEFINIR</v>
      </c>
      <c r="Z329" s="7" t="s">
        <v>56</v>
      </c>
      <c r="AA329" s="5">
        <v>11606692</v>
      </c>
      <c r="AB329" s="5" t="s">
        <v>4140</v>
      </c>
      <c r="AC329" s="5" t="s">
        <v>48</v>
      </c>
      <c r="AD329" s="5" t="s">
        <v>5530</v>
      </c>
      <c r="AE329" s="5" t="str">
        <f t="shared" ca="1" si="45"/>
        <v>NO PRAZO</v>
      </c>
      <c r="AF329" s="49"/>
    </row>
    <row r="330" spans="1:32" ht="30" customHeight="1" x14ac:dyDescent="0.25">
      <c r="A330" s="5" t="s">
        <v>3775</v>
      </c>
      <c r="B330" s="5" t="s">
        <v>10</v>
      </c>
      <c r="C330" s="5" t="s">
        <v>5864</v>
      </c>
      <c r="D330" s="7" t="s">
        <v>1156</v>
      </c>
      <c r="E330" s="7" t="s">
        <v>256</v>
      </c>
      <c r="F330" s="7" t="s">
        <v>257</v>
      </c>
      <c r="G330" s="7" t="s">
        <v>1156</v>
      </c>
      <c r="H330" s="7" t="s">
        <v>1156</v>
      </c>
      <c r="I330" s="7" t="s">
        <v>1062</v>
      </c>
      <c r="J330" s="7" t="s">
        <v>1162</v>
      </c>
      <c r="K330" s="5" t="s">
        <v>10</v>
      </c>
      <c r="L330" s="5" t="s">
        <v>45</v>
      </c>
      <c r="M330" s="5" t="s">
        <v>10</v>
      </c>
      <c r="N330" s="5" t="s">
        <v>10</v>
      </c>
      <c r="O330" s="46" t="s">
        <v>46</v>
      </c>
      <c r="P330" s="101">
        <v>45968</v>
      </c>
      <c r="Q330" s="100">
        <f t="shared" si="35"/>
        <v>46333</v>
      </c>
      <c r="R330" s="63" t="s">
        <v>10</v>
      </c>
      <c r="S330" s="63" t="s">
        <v>3778</v>
      </c>
      <c r="T330" s="7">
        <v>6.0000000000000001E-3</v>
      </c>
      <c r="U330" s="7" t="s">
        <v>10</v>
      </c>
      <c r="V330" s="7">
        <f t="shared" si="36"/>
        <v>6.0000000000000001E-3</v>
      </c>
      <c r="W330" s="5" t="s">
        <v>10</v>
      </c>
      <c r="X330" s="5" t="s">
        <v>330</v>
      </c>
      <c r="Y330" s="48" t="str">
        <f t="shared" si="37"/>
        <v>A DEFINIR</v>
      </c>
      <c r="Z330" s="7" t="s">
        <v>56</v>
      </c>
      <c r="AA330" s="5">
        <v>11606691</v>
      </c>
      <c r="AB330" s="5" t="s">
        <v>4139</v>
      </c>
      <c r="AC330" s="5" t="s">
        <v>48</v>
      </c>
      <c r="AD330" s="5" t="s">
        <v>5530</v>
      </c>
      <c r="AE330" s="5" t="str">
        <f t="shared" ca="1" si="45"/>
        <v>NO PRAZO</v>
      </c>
      <c r="AF330" s="49"/>
    </row>
    <row r="331" spans="1:32" ht="30" customHeight="1" x14ac:dyDescent="0.25">
      <c r="A331" s="5" t="s">
        <v>2233</v>
      </c>
      <c r="B331" s="5" t="s">
        <v>1173</v>
      </c>
      <c r="C331" s="5" t="s">
        <v>5863</v>
      </c>
      <c r="D331" s="7" t="s">
        <v>1104</v>
      </c>
      <c r="E331" s="7" t="s">
        <v>311</v>
      </c>
      <c r="F331" s="7" t="s">
        <v>642</v>
      </c>
      <c r="G331" s="7" t="s">
        <v>713</v>
      </c>
      <c r="H331" s="7" t="s">
        <v>1174</v>
      </c>
      <c r="I331" s="7" t="s">
        <v>1175</v>
      </c>
      <c r="J331" s="62" t="s">
        <v>1176</v>
      </c>
      <c r="K331" s="5" t="s">
        <v>10</v>
      </c>
      <c r="L331" s="5" t="s">
        <v>10</v>
      </c>
      <c r="M331" s="5" t="s">
        <v>10</v>
      </c>
      <c r="N331" s="5" t="s">
        <v>45</v>
      </c>
      <c r="O331" s="80" t="s">
        <v>56</v>
      </c>
      <c r="P331" s="101">
        <v>46079</v>
      </c>
      <c r="Q331" s="100">
        <f t="shared" si="35"/>
        <v>46444</v>
      </c>
      <c r="R331" s="63" t="s">
        <v>2234</v>
      </c>
      <c r="S331" s="63" t="s">
        <v>4957</v>
      </c>
      <c r="T331" s="7">
        <v>0.5</v>
      </c>
      <c r="U331" s="7" t="s">
        <v>10</v>
      </c>
      <c r="V331" s="7">
        <f t="shared" si="36"/>
        <v>0.5</v>
      </c>
      <c r="W331" s="5">
        <v>0.5</v>
      </c>
      <c r="X331" s="5" t="s">
        <v>1107</v>
      </c>
      <c r="Y331" s="48" t="str">
        <f t="shared" si="37"/>
        <v>APROVADO</v>
      </c>
      <c r="Z331" s="7" t="s">
        <v>56</v>
      </c>
      <c r="AA331" s="5">
        <v>11541248</v>
      </c>
      <c r="AB331" s="5" t="s">
        <v>3929</v>
      </c>
      <c r="AC331" s="5" t="s">
        <v>48</v>
      </c>
      <c r="AD331" s="5" t="s">
        <v>5530</v>
      </c>
      <c r="AE331" s="5" t="str">
        <f t="shared" ca="1" si="45"/>
        <v>NO PRAZO</v>
      </c>
      <c r="AF331" s="49"/>
    </row>
    <row r="332" spans="1:32" ht="30" customHeight="1" x14ac:dyDescent="0.25">
      <c r="A332" s="5" t="s">
        <v>3756</v>
      </c>
      <c r="B332" s="5" t="s">
        <v>1177</v>
      </c>
      <c r="C332" s="5" t="s">
        <v>5863</v>
      </c>
      <c r="D332" s="7" t="s">
        <v>1178</v>
      </c>
      <c r="E332" s="7" t="s">
        <v>311</v>
      </c>
      <c r="F332" s="7" t="s">
        <v>656</v>
      </c>
      <c r="G332" s="7" t="s">
        <v>10</v>
      </c>
      <c r="H332" s="7" t="s">
        <v>10</v>
      </c>
      <c r="I332" s="62" t="s">
        <v>1179</v>
      </c>
      <c r="J332" s="62" t="s">
        <v>1180</v>
      </c>
      <c r="K332" s="5" t="s">
        <v>10</v>
      </c>
      <c r="L332" s="5" t="s">
        <v>45</v>
      </c>
      <c r="M332" s="5" t="s">
        <v>10</v>
      </c>
      <c r="N332" s="5" t="s">
        <v>10</v>
      </c>
      <c r="O332" s="46" t="s">
        <v>46</v>
      </c>
      <c r="P332" s="101">
        <v>45968</v>
      </c>
      <c r="Q332" s="100">
        <f t="shared" si="35"/>
        <v>46333</v>
      </c>
      <c r="R332" s="63" t="s">
        <v>1181</v>
      </c>
      <c r="S332" s="63" t="s">
        <v>3757</v>
      </c>
      <c r="T332" s="7">
        <v>0.49</v>
      </c>
      <c r="U332" s="7" t="s">
        <v>10</v>
      </c>
      <c r="V332" s="7">
        <f t="shared" si="36"/>
        <v>0.49</v>
      </c>
      <c r="W332" s="5">
        <v>0.5</v>
      </c>
      <c r="X332" s="5" t="s">
        <v>1182</v>
      </c>
      <c r="Y332" s="48" t="str">
        <f t="shared" si="37"/>
        <v>APROVADO</v>
      </c>
      <c r="Z332" s="7" t="s">
        <v>46</v>
      </c>
      <c r="AA332" s="5">
        <v>11603539</v>
      </c>
      <c r="AB332" s="5" t="s">
        <v>2787</v>
      </c>
      <c r="AC332" s="5" t="s">
        <v>48</v>
      </c>
      <c r="AD332" s="5" t="s">
        <v>5530</v>
      </c>
      <c r="AE332" s="5" t="str">
        <f t="shared" ca="1" si="45"/>
        <v>NO PRAZO</v>
      </c>
      <c r="AF332" s="49"/>
    </row>
    <row r="333" spans="1:32" ht="30" customHeight="1" x14ac:dyDescent="0.25">
      <c r="A333" s="5" t="s">
        <v>1183</v>
      </c>
      <c r="B333" s="5" t="s">
        <v>10</v>
      </c>
      <c r="C333" s="5" t="s">
        <v>5864</v>
      </c>
      <c r="D333" s="7" t="s">
        <v>1104</v>
      </c>
      <c r="E333" s="7" t="s">
        <v>256</v>
      </c>
      <c r="F333" s="7" t="s">
        <v>646</v>
      </c>
      <c r="G333" s="7" t="s">
        <v>1184</v>
      </c>
      <c r="H333" s="7" t="s">
        <v>676</v>
      </c>
      <c r="I333" s="7" t="s">
        <v>1185</v>
      </c>
      <c r="J333" s="62" t="s">
        <v>1186</v>
      </c>
      <c r="K333" s="5" t="s">
        <v>10</v>
      </c>
      <c r="L333" s="5" t="s">
        <v>45</v>
      </c>
      <c r="M333" s="5" t="s">
        <v>10</v>
      </c>
      <c r="N333" s="5" t="s">
        <v>10</v>
      </c>
      <c r="O333" s="46" t="s">
        <v>46</v>
      </c>
      <c r="P333" s="101">
        <v>45965</v>
      </c>
      <c r="Q333" s="100">
        <f t="shared" si="35"/>
        <v>46330</v>
      </c>
      <c r="R333" s="63" t="s">
        <v>1738</v>
      </c>
      <c r="S333" s="63" t="s">
        <v>3762</v>
      </c>
      <c r="T333" s="7">
        <v>0.2</v>
      </c>
      <c r="U333" s="7" t="s">
        <v>10</v>
      </c>
      <c r="V333" s="7">
        <f t="shared" si="36"/>
        <v>0.2</v>
      </c>
      <c r="W333" s="5">
        <v>0.2</v>
      </c>
      <c r="X333" s="5" t="s">
        <v>1182</v>
      </c>
      <c r="Y333" s="48" t="str">
        <f t="shared" si="37"/>
        <v>APROVADO</v>
      </c>
      <c r="Z333" s="7" t="s">
        <v>56</v>
      </c>
      <c r="AA333" s="5">
        <v>11606020</v>
      </c>
      <c r="AB333" s="5" t="s">
        <v>3930</v>
      </c>
      <c r="AC333" s="5" t="s">
        <v>48</v>
      </c>
      <c r="AD333" s="5" t="s">
        <v>5530</v>
      </c>
      <c r="AE333" s="5" t="str">
        <f t="shared" ca="1" si="45"/>
        <v>NO PRAZO</v>
      </c>
      <c r="AF333" s="49"/>
    </row>
    <row r="334" spans="1:32" ht="30" customHeight="1" x14ac:dyDescent="0.25">
      <c r="A334" s="5" t="s">
        <v>2344</v>
      </c>
      <c r="B334" s="5" t="s">
        <v>10</v>
      </c>
      <c r="C334" s="5" t="s">
        <v>5863</v>
      </c>
      <c r="D334" s="7" t="s">
        <v>2345</v>
      </c>
      <c r="E334" s="7" t="s">
        <v>311</v>
      </c>
      <c r="F334" s="7" t="s">
        <v>642</v>
      </c>
      <c r="G334" s="7" t="s">
        <v>710</v>
      </c>
      <c r="H334" s="7" t="s">
        <v>1187</v>
      </c>
      <c r="I334" s="7" t="s">
        <v>2346</v>
      </c>
      <c r="J334" s="7" t="s">
        <v>2346</v>
      </c>
      <c r="K334" s="5" t="s">
        <v>10</v>
      </c>
      <c r="L334" s="5" t="s">
        <v>10</v>
      </c>
      <c r="M334" s="5" t="s">
        <v>10</v>
      </c>
      <c r="N334" s="5" t="s">
        <v>45</v>
      </c>
      <c r="O334" s="80" t="s">
        <v>56</v>
      </c>
      <c r="P334" s="101">
        <v>46158</v>
      </c>
      <c r="Q334" s="100">
        <f t="shared" si="35"/>
        <v>46523</v>
      </c>
      <c r="R334" s="5" t="s">
        <v>2347</v>
      </c>
      <c r="S334" s="5" t="s">
        <v>5477</v>
      </c>
      <c r="T334" s="7">
        <v>0.21</v>
      </c>
      <c r="U334" s="7"/>
      <c r="V334" s="7">
        <f t="shared" si="36"/>
        <v>0.21</v>
      </c>
      <c r="W334" s="7">
        <v>0.5</v>
      </c>
      <c r="X334" s="7" t="s">
        <v>1107</v>
      </c>
      <c r="Y334" s="48" t="str">
        <f t="shared" si="37"/>
        <v>APROVADO</v>
      </c>
      <c r="Z334" s="7" t="s">
        <v>56</v>
      </c>
      <c r="AA334" s="5">
        <v>11599300</v>
      </c>
      <c r="AB334" s="5" t="s">
        <v>2852</v>
      </c>
      <c r="AC334" s="5" t="s">
        <v>48</v>
      </c>
      <c r="AD334" s="5" t="s">
        <v>5530</v>
      </c>
      <c r="AE334" s="5" t="str">
        <f t="shared" ca="1" si="45"/>
        <v>NO PRAZO</v>
      </c>
      <c r="AF334" s="49"/>
    </row>
    <row r="335" spans="1:32" ht="30" customHeight="1" x14ac:dyDescent="0.25">
      <c r="A335" s="5" t="s">
        <v>1709</v>
      </c>
      <c r="B335" s="5" t="s">
        <v>10</v>
      </c>
      <c r="C335" s="5" t="s">
        <v>5863</v>
      </c>
      <c r="D335" s="7" t="s">
        <v>1104</v>
      </c>
      <c r="E335" s="7" t="s">
        <v>68</v>
      </c>
      <c r="F335" s="7" t="s">
        <v>86</v>
      </c>
      <c r="G335" s="7" t="s">
        <v>1104</v>
      </c>
      <c r="H335" s="7" t="s">
        <v>1710</v>
      </c>
      <c r="I335" s="7" t="s">
        <v>1711</v>
      </c>
      <c r="J335" s="7" t="s">
        <v>1711</v>
      </c>
      <c r="K335" s="5" t="s">
        <v>10</v>
      </c>
      <c r="L335" s="5" t="s">
        <v>10</v>
      </c>
      <c r="M335" s="5" t="s">
        <v>10</v>
      </c>
      <c r="N335" s="5" t="s">
        <v>45</v>
      </c>
      <c r="O335" s="46" t="s">
        <v>56</v>
      </c>
      <c r="P335" s="101">
        <v>46186</v>
      </c>
      <c r="Q335" s="100">
        <f t="shared" ref="Q335:Q398" si="46">IF(P335="","",P335+365)</f>
        <v>46551</v>
      </c>
      <c r="R335" s="7" t="s">
        <v>2488</v>
      </c>
      <c r="S335" s="7" t="s">
        <v>5642</v>
      </c>
      <c r="T335" s="7">
        <v>0.161</v>
      </c>
      <c r="U335" s="7" t="s">
        <v>10</v>
      </c>
      <c r="V335" s="7">
        <f t="shared" ref="V335:V398" si="47">IFERROR(IF(U335&gt;0,T335*100/U335,T335),T335)</f>
        <v>0.161</v>
      </c>
      <c r="W335" s="7">
        <v>0.2</v>
      </c>
      <c r="X335" s="7" t="s">
        <v>1182</v>
      </c>
      <c r="Y335" s="48" t="str">
        <f t="shared" ref="Y335:Y398" si="48">IFERROR(IF(W335="-",$AL$6,CHOOSE(IF(T335="",1,2),$AL$7,IF(V335&gt;W335,$AL$5,$AL$4))),"-")</f>
        <v>APROVADO</v>
      </c>
      <c r="Z335" s="7" t="s">
        <v>56</v>
      </c>
      <c r="AA335" s="5">
        <v>11606714</v>
      </c>
      <c r="AB335" s="5" t="s">
        <v>4186</v>
      </c>
      <c r="AC335" s="5" t="s">
        <v>48</v>
      </c>
      <c r="AD335" s="5" t="s">
        <v>5632</v>
      </c>
      <c r="AE335" s="5" t="str">
        <f t="shared" ca="1" si="45"/>
        <v>NO PRAZO</v>
      </c>
      <c r="AF335" s="53"/>
    </row>
    <row r="336" spans="1:32" ht="30" customHeight="1" x14ac:dyDescent="0.25">
      <c r="A336" s="5" t="s">
        <v>1707</v>
      </c>
      <c r="B336" s="5" t="s">
        <v>10</v>
      </c>
      <c r="C336" s="5" t="s">
        <v>5863</v>
      </c>
      <c r="D336" s="7" t="s">
        <v>1104</v>
      </c>
      <c r="E336" s="7" t="s">
        <v>68</v>
      </c>
      <c r="F336" s="7" t="s">
        <v>86</v>
      </c>
      <c r="G336" s="7" t="s">
        <v>1104</v>
      </c>
      <c r="H336" s="7" t="s">
        <v>1708</v>
      </c>
      <c r="I336" s="7" t="s">
        <v>1200</v>
      </c>
      <c r="J336" s="7" t="s">
        <v>1200</v>
      </c>
      <c r="K336" s="5" t="s">
        <v>10</v>
      </c>
      <c r="L336" s="5" t="s">
        <v>10</v>
      </c>
      <c r="M336" s="5" t="s">
        <v>10</v>
      </c>
      <c r="N336" s="5" t="s">
        <v>45</v>
      </c>
      <c r="O336" s="46" t="s">
        <v>56</v>
      </c>
      <c r="P336" s="101">
        <v>46186</v>
      </c>
      <c r="Q336" s="100">
        <f t="shared" si="46"/>
        <v>46551</v>
      </c>
      <c r="R336" s="7" t="s">
        <v>2487</v>
      </c>
      <c r="S336" s="7" t="s">
        <v>5643</v>
      </c>
      <c r="T336" s="7">
        <v>0.4</v>
      </c>
      <c r="U336" s="7" t="s">
        <v>10</v>
      </c>
      <c r="V336" s="7">
        <f t="shared" si="47"/>
        <v>0.4</v>
      </c>
      <c r="W336" s="7">
        <v>0.5</v>
      </c>
      <c r="X336" s="7" t="s">
        <v>1107</v>
      </c>
      <c r="Y336" s="48" t="str">
        <f t="shared" si="48"/>
        <v>APROVADO</v>
      </c>
      <c r="Z336" s="7" t="s">
        <v>56</v>
      </c>
      <c r="AA336" s="5">
        <v>11606713</v>
      </c>
      <c r="AB336" s="5" t="s">
        <v>4185</v>
      </c>
      <c r="AC336" s="5" t="s">
        <v>48</v>
      </c>
      <c r="AD336" s="5" t="s">
        <v>5632</v>
      </c>
      <c r="AE336" s="5" t="str">
        <f t="shared" ca="1" si="45"/>
        <v>NO PRAZO</v>
      </c>
      <c r="AF336" s="53"/>
    </row>
    <row r="337" spans="1:32" ht="30" customHeight="1" x14ac:dyDescent="0.25">
      <c r="A337" s="9" t="s">
        <v>3987</v>
      </c>
      <c r="B337" s="9">
        <v>10691310</v>
      </c>
      <c r="C337" s="5" t="s">
        <v>5863</v>
      </c>
      <c r="D337" s="61" t="s">
        <v>681</v>
      </c>
      <c r="E337" s="7" t="s">
        <v>640</v>
      </c>
      <c r="F337" s="7" t="s">
        <v>643</v>
      </c>
      <c r="G337" s="61" t="s">
        <v>681</v>
      </c>
      <c r="H337" s="61" t="s">
        <v>10</v>
      </c>
      <c r="I337" s="62" t="s">
        <v>685</v>
      </c>
      <c r="J337" s="62" t="s">
        <v>685</v>
      </c>
      <c r="K337" s="5" t="s">
        <v>10</v>
      </c>
      <c r="L337" s="5" t="s">
        <v>10</v>
      </c>
      <c r="M337" s="5" t="s">
        <v>10</v>
      </c>
      <c r="N337" s="5" t="s">
        <v>45</v>
      </c>
      <c r="O337" s="80" t="s">
        <v>56</v>
      </c>
      <c r="P337" s="99">
        <v>45971</v>
      </c>
      <c r="Q337" s="100">
        <f t="shared" si="46"/>
        <v>46336</v>
      </c>
      <c r="R337" s="5" t="s">
        <v>1807</v>
      </c>
      <c r="S337" s="5" t="s">
        <v>3988</v>
      </c>
      <c r="T337" s="7">
        <v>1.9800000000000002E-2</v>
      </c>
      <c r="U337" s="7" t="s">
        <v>10</v>
      </c>
      <c r="V337" s="7">
        <f t="shared" si="47"/>
        <v>1.9800000000000002E-2</v>
      </c>
      <c r="W337" s="5">
        <v>0.04</v>
      </c>
      <c r="X337" s="5" t="s">
        <v>682</v>
      </c>
      <c r="Y337" s="48" t="str">
        <f t="shared" si="48"/>
        <v>APROVADO</v>
      </c>
      <c r="Z337" s="7" t="s">
        <v>46</v>
      </c>
      <c r="AA337" s="5">
        <v>11601984</v>
      </c>
      <c r="AB337" s="5" t="s">
        <v>3789</v>
      </c>
      <c r="AC337" s="5" t="s">
        <v>48</v>
      </c>
      <c r="AD337" s="5" t="s">
        <v>5530</v>
      </c>
      <c r="AE337" s="5" t="str">
        <f t="shared" ca="1" si="45"/>
        <v>NO PRAZO</v>
      </c>
      <c r="AF337" s="49"/>
    </row>
    <row r="338" spans="1:32" ht="30" customHeight="1" x14ac:dyDescent="0.25">
      <c r="A338" s="5" t="s">
        <v>3326</v>
      </c>
      <c r="B338" s="5" t="s">
        <v>1191</v>
      </c>
      <c r="C338" s="5" t="s">
        <v>5863</v>
      </c>
      <c r="D338" s="7" t="s">
        <v>1104</v>
      </c>
      <c r="E338" s="7" t="s">
        <v>311</v>
      </c>
      <c r="F338" s="7" t="s">
        <v>650</v>
      </c>
      <c r="G338" s="7" t="s">
        <v>1192</v>
      </c>
      <c r="H338" s="7" t="s">
        <v>1193</v>
      </c>
      <c r="I338" s="7" t="s">
        <v>1200</v>
      </c>
      <c r="J338" s="7" t="s">
        <v>1195</v>
      </c>
      <c r="K338" s="5" t="s">
        <v>10</v>
      </c>
      <c r="L338" s="5" t="s">
        <v>10</v>
      </c>
      <c r="M338" s="5" t="s">
        <v>10</v>
      </c>
      <c r="N338" s="5" t="s">
        <v>45</v>
      </c>
      <c r="O338" s="80" t="s">
        <v>56</v>
      </c>
      <c r="P338" s="101">
        <v>45905</v>
      </c>
      <c r="Q338" s="100">
        <f t="shared" si="46"/>
        <v>46270</v>
      </c>
      <c r="R338" s="5" t="s">
        <v>1196</v>
      </c>
      <c r="S338" s="5" t="s">
        <v>3327</v>
      </c>
      <c r="T338" s="7">
        <v>0.39</v>
      </c>
      <c r="U338" s="7" t="s">
        <v>10</v>
      </c>
      <c r="V338" s="7">
        <f t="shared" si="47"/>
        <v>0.39</v>
      </c>
      <c r="W338" s="7">
        <v>0.5</v>
      </c>
      <c r="X338" s="7" t="s">
        <v>1197</v>
      </c>
      <c r="Y338" s="48" t="str">
        <f t="shared" si="48"/>
        <v>APROVADO</v>
      </c>
      <c r="Z338" s="7" t="s">
        <v>56</v>
      </c>
      <c r="AA338" s="5">
        <v>11541378</v>
      </c>
      <c r="AB338" s="5" t="s">
        <v>3300</v>
      </c>
      <c r="AC338" s="5" t="s">
        <v>48</v>
      </c>
      <c r="AD338" s="5" t="s">
        <v>5530</v>
      </c>
      <c r="AE338" s="5" t="str">
        <f t="shared" ca="1" si="45"/>
        <v>NO PRAZO</v>
      </c>
      <c r="AF338" s="49"/>
    </row>
    <row r="339" spans="1:32" ht="30" customHeight="1" x14ac:dyDescent="0.25">
      <c r="A339" s="5" t="s">
        <v>1199</v>
      </c>
      <c r="B339" s="5" t="s">
        <v>10</v>
      </c>
      <c r="C339" s="5" t="s">
        <v>5863</v>
      </c>
      <c r="D339" s="7" t="s">
        <v>1104</v>
      </c>
      <c r="E339" s="7" t="s">
        <v>311</v>
      </c>
      <c r="F339" s="7" t="s">
        <v>650</v>
      </c>
      <c r="G339" s="7" t="s">
        <v>1192</v>
      </c>
      <c r="H339" s="7" t="s">
        <v>1193</v>
      </c>
      <c r="I339" s="7" t="s">
        <v>1200</v>
      </c>
      <c r="J339" s="7" t="s">
        <v>1201</v>
      </c>
      <c r="K339" s="5" t="s">
        <v>10</v>
      </c>
      <c r="L339" s="5" t="s">
        <v>10</v>
      </c>
      <c r="M339" s="5" t="s">
        <v>10</v>
      </c>
      <c r="N339" s="5" t="s">
        <v>45</v>
      </c>
      <c r="O339" s="80" t="s">
        <v>56</v>
      </c>
      <c r="P339" s="101">
        <v>45905</v>
      </c>
      <c r="Q339" s="100">
        <f t="shared" si="46"/>
        <v>46270</v>
      </c>
      <c r="R339" s="5" t="s">
        <v>1202</v>
      </c>
      <c r="S339" s="5" t="s">
        <v>3328</v>
      </c>
      <c r="T339" s="63">
        <v>0.38</v>
      </c>
      <c r="U339" s="7" t="s">
        <v>10</v>
      </c>
      <c r="V339" s="7">
        <f t="shared" si="47"/>
        <v>0.38</v>
      </c>
      <c r="W339" s="7">
        <v>0.5</v>
      </c>
      <c r="X339" s="7" t="s">
        <v>1197</v>
      </c>
      <c r="Y339" s="48" t="str">
        <f t="shared" si="48"/>
        <v>APROVADO</v>
      </c>
      <c r="Z339" s="7" t="s">
        <v>56</v>
      </c>
      <c r="AA339" s="5">
        <v>11541380</v>
      </c>
      <c r="AB339" s="5" t="s">
        <v>3301</v>
      </c>
      <c r="AC339" s="5" t="s">
        <v>48</v>
      </c>
      <c r="AD339" s="5" t="s">
        <v>5530</v>
      </c>
      <c r="AE339" s="5" t="str">
        <f t="shared" ca="1" si="45"/>
        <v>NO PRAZO</v>
      </c>
      <c r="AF339" s="49"/>
    </row>
    <row r="340" spans="1:32" ht="30" customHeight="1" x14ac:dyDescent="0.25">
      <c r="A340" s="5" t="s">
        <v>1203</v>
      </c>
      <c r="B340" s="5" t="s">
        <v>10</v>
      </c>
      <c r="C340" s="5" t="s">
        <v>5863</v>
      </c>
      <c r="D340" s="7" t="s">
        <v>1104</v>
      </c>
      <c r="E340" s="7" t="s">
        <v>311</v>
      </c>
      <c r="F340" s="7" t="s">
        <v>650</v>
      </c>
      <c r="G340" s="7" t="s">
        <v>1204</v>
      </c>
      <c r="H340" s="7" t="s">
        <v>1205</v>
      </c>
      <c r="I340" s="7" t="s">
        <v>1200</v>
      </c>
      <c r="J340" s="7" t="s">
        <v>1201</v>
      </c>
      <c r="K340" s="5" t="s">
        <v>10</v>
      </c>
      <c r="L340" s="5" t="s">
        <v>10</v>
      </c>
      <c r="M340" s="5" t="s">
        <v>10</v>
      </c>
      <c r="N340" s="5" t="s">
        <v>45</v>
      </c>
      <c r="O340" s="80" t="s">
        <v>56</v>
      </c>
      <c r="P340" s="101">
        <v>45905</v>
      </c>
      <c r="Q340" s="100">
        <f t="shared" si="46"/>
        <v>46270</v>
      </c>
      <c r="R340" s="5" t="s">
        <v>1206</v>
      </c>
      <c r="S340" s="5" t="s">
        <v>3329</v>
      </c>
      <c r="T340" s="7">
        <v>0.45</v>
      </c>
      <c r="U340" s="7" t="s">
        <v>10</v>
      </c>
      <c r="V340" s="7">
        <f t="shared" si="47"/>
        <v>0.45</v>
      </c>
      <c r="W340" s="7">
        <v>0.5</v>
      </c>
      <c r="X340" s="7" t="s">
        <v>1197</v>
      </c>
      <c r="Y340" s="48" t="str">
        <f t="shared" si="48"/>
        <v>APROVADO</v>
      </c>
      <c r="Z340" s="7" t="s">
        <v>56</v>
      </c>
      <c r="AA340" s="5">
        <v>11541381</v>
      </c>
      <c r="AB340" s="5" t="s">
        <v>3302</v>
      </c>
      <c r="AC340" s="5" t="s">
        <v>48</v>
      </c>
      <c r="AD340" s="5" t="s">
        <v>5530</v>
      </c>
      <c r="AE340" s="5" t="str">
        <f t="shared" ca="1" si="45"/>
        <v>NO PRAZO</v>
      </c>
      <c r="AF340" s="49"/>
    </row>
    <row r="341" spans="1:32" ht="30" customHeight="1" x14ac:dyDescent="0.25">
      <c r="A341" s="5" t="s">
        <v>5565</v>
      </c>
      <c r="B341" s="5" t="s">
        <v>1207</v>
      </c>
      <c r="C341" s="5" t="s">
        <v>5863</v>
      </c>
      <c r="D341" s="7" t="s">
        <v>1208</v>
      </c>
      <c r="E341" s="7" t="s">
        <v>311</v>
      </c>
      <c r="F341" s="7" t="s">
        <v>642</v>
      </c>
      <c r="G341" s="7" t="s">
        <v>710</v>
      </c>
      <c r="H341" s="7" t="s">
        <v>2416</v>
      </c>
      <c r="I341" s="7" t="s">
        <v>1209</v>
      </c>
      <c r="J341" s="7" t="s">
        <v>1209</v>
      </c>
      <c r="K341" s="5" t="s">
        <v>10</v>
      </c>
      <c r="L341" s="5" t="s">
        <v>10</v>
      </c>
      <c r="M341" s="5" t="s">
        <v>10</v>
      </c>
      <c r="N341" s="5" t="s">
        <v>45</v>
      </c>
      <c r="O341" s="80" t="s">
        <v>56</v>
      </c>
      <c r="P341" s="101">
        <v>46158</v>
      </c>
      <c r="Q341" s="100">
        <f t="shared" si="46"/>
        <v>46523</v>
      </c>
      <c r="R341" s="5" t="s">
        <v>2323</v>
      </c>
      <c r="S341" s="5" t="s">
        <v>5471</v>
      </c>
      <c r="T341" s="7">
        <v>7.3000000000000001E-3</v>
      </c>
      <c r="U341" s="7" t="s">
        <v>10</v>
      </c>
      <c r="V341" s="7">
        <f t="shared" si="47"/>
        <v>7.3000000000000001E-3</v>
      </c>
      <c r="W341" s="7">
        <v>0.25</v>
      </c>
      <c r="X341" s="7" t="s">
        <v>682</v>
      </c>
      <c r="Y341" s="48" t="str">
        <f t="shared" si="48"/>
        <v>APROVADO</v>
      </c>
      <c r="Z341" s="7" t="s">
        <v>56</v>
      </c>
      <c r="AA341" s="5">
        <v>11541244</v>
      </c>
      <c r="AB341" s="5" t="s">
        <v>2853</v>
      </c>
      <c r="AC341" s="5" t="s">
        <v>48</v>
      </c>
      <c r="AD341" s="5" t="s">
        <v>5530</v>
      </c>
      <c r="AE341" s="5" t="str">
        <f t="shared" ca="1" si="45"/>
        <v>NO PRAZO</v>
      </c>
      <c r="AF341" s="49"/>
    </row>
    <row r="342" spans="1:32" ht="30" customHeight="1" x14ac:dyDescent="0.25">
      <c r="A342" s="5" t="s">
        <v>3061</v>
      </c>
      <c r="B342" s="5" t="s">
        <v>10</v>
      </c>
      <c r="C342" s="5" t="s">
        <v>5863</v>
      </c>
      <c r="D342" s="7" t="s">
        <v>1208</v>
      </c>
      <c r="E342" s="7" t="s">
        <v>68</v>
      </c>
      <c r="F342" s="7" t="s">
        <v>86</v>
      </c>
      <c r="G342" s="7" t="s">
        <v>10</v>
      </c>
      <c r="H342" s="7" t="s">
        <v>10</v>
      </c>
      <c r="I342" s="145" t="s">
        <v>5686</v>
      </c>
      <c r="J342" s="145" t="s">
        <v>5686</v>
      </c>
      <c r="K342" s="5" t="s">
        <v>10</v>
      </c>
      <c r="L342" s="5" t="s">
        <v>10</v>
      </c>
      <c r="M342" s="5" t="s">
        <v>10</v>
      </c>
      <c r="N342" s="5" t="s">
        <v>45</v>
      </c>
      <c r="O342" s="46" t="s">
        <v>56</v>
      </c>
      <c r="P342" s="101">
        <v>46163</v>
      </c>
      <c r="Q342" s="100">
        <f t="shared" si="46"/>
        <v>46528</v>
      </c>
      <c r="R342" s="7" t="s">
        <v>3021</v>
      </c>
      <c r="S342" s="7" t="s">
        <v>5546</v>
      </c>
      <c r="T342" s="7">
        <v>5.8999999999999997E-2</v>
      </c>
      <c r="U342" s="7" t="s">
        <v>10</v>
      </c>
      <c r="V342" s="7">
        <f t="shared" si="47"/>
        <v>5.8999999999999997E-2</v>
      </c>
      <c r="W342" s="7">
        <v>0.1</v>
      </c>
      <c r="X342" s="7" t="s">
        <v>1182</v>
      </c>
      <c r="Y342" s="48" t="str">
        <f t="shared" si="48"/>
        <v>APROVADO</v>
      </c>
      <c r="Z342" s="7" t="s">
        <v>56</v>
      </c>
      <c r="AA342" s="5">
        <v>11606816</v>
      </c>
      <c r="AB342" s="5" t="s">
        <v>4190</v>
      </c>
      <c r="AC342" s="5" t="s">
        <v>48</v>
      </c>
      <c r="AD342" s="5" t="s">
        <v>5530</v>
      </c>
      <c r="AE342" s="5" t="str">
        <f t="shared" ca="1" si="45"/>
        <v>NO PRAZO</v>
      </c>
      <c r="AF342" s="53"/>
    </row>
    <row r="343" spans="1:32" ht="30" customHeight="1" x14ac:dyDescent="0.25">
      <c r="A343" s="5" t="s">
        <v>5566</v>
      </c>
      <c r="B343" s="5" t="s">
        <v>1210</v>
      </c>
      <c r="C343" s="5" t="s">
        <v>5863</v>
      </c>
      <c r="D343" s="7" t="s">
        <v>1208</v>
      </c>
      <c r="E343" s="7" t="s">
        <v>311</v>
      </c>
      <c r="F343" s="7" t="s">
        <v>642</v>
      </c>
      <c r="G343" s="7" t="s">
        <v>710</v>
      </c>
      <c r="H343" s="7" t="s">
        <v>1187</v>
      </c>
      <c r="I343" s="7" t="s">
        <v>1211</v>
      </c>
      <c r="J343" s="7" t="s">
        <v>1211</v>
      </c>
      <c r="K343" s="5" t="s">
        <v>10</v>
      </c>
      <c r="L343" s="5" t="s">
        <v>10</v>
      </c>
      <c r="M343" s="5" t="s">
        <v>10</v>
      </c>
      <c r="N343" s="5" t="s">
        <v>45</v>
      </c>
      <c r="O343" s="80" t="s">
        <v>56</v>
      </c>
      <c r="P343" s="101">
        <v>46158</v>
      </c>
      <c r="Q343" s="100">
        <f t="shared" si="46"/>
        <v>46523</v>
      </c>
      <c r="R343" s="5" t="s">
        <v>2324</v>
      </c>
      <c r="S343" s="5" t="s">
        <v>5472</v>
      </c>
      <c r="T343" s="7">
        <v>9.7999999999999997E-3</v>
      </c>
      <c r="U343" s="7" t="s">
        <v>10</v>
      </c>
      <c r="V343" s="7">
        <f t="shared" si="47"/>
        <v>9.7999999999999997E-3</v>
      </c>
      <c r="W343" s="7">
        <v>0.2</v>
      </c>
      <c r="X343" s="7" t="s">
        <v>1212</v>
      </c>
      <c r="Y343" s="48" t="str">
        <f t="shared" si="48"/>
        <v>APROVADO</v>
      </c>
      <c r="Z343" s="7" t="s">
        <v>56</v>
      </c>
      <c r="AA343" s="5">
        <v>11541245</v>
      </c>
      <c r="AB343" s="5" t="s">
        <v>2854</v>
      </c>
      <c r="AC343" s="5" t="s">
        <v>48</v>
      </c>
      <c r="AD343" s="5" t="s">
        <v>5530</v>
      </c>
      <c r="AE343" s="5" t="str">
        <f t="shared" ca="1" si="45"/>
        <v>NO PRAZO</v>
      </c>
      <c r="AF343" s="49"/>
    </row>
    <row r="344" spans="1:32" ht="30" customHeight="1" x14ac:dyDescent="0.25">
      <c r="A344" s="5" t="s">
        <v>3331</v>
      </c>
      <c r="B344" s="5" t="s">
        <v>1213</v>
      </c>
      <c r="C344" s="5" t="s">
        <v>5863</v>
      </c>
      <c r="D344" s="7" t="s">
        <v>1104</v>
      </c>
      <c r="E344" s="7" t="s">
        <v>311</v>
      </c>
      <c r="F344" s="7" t="s">
        <v>650</v>
      </c>
      <c r="G344" s="7" t="s">
        <v>1214</v>
      </c>
      <c r="H344" s="7" t="s">
        <v>1215</v>
      </c>
      <c r="I344" s="7" t="s">
        <v>1200</v>
      </c>
      <c r="J344" s="7" t="s">
        <v>1201</v>
      </c>
      <c r="K344" s="5" t="s">
        <v>10</v>
      </c>
      <c r="L344" s="5" t="s">
        <v>10</v>
      </c>
      <c r="M344" s="5" t="s">
        <v>10</v>
      </c>
      <c r="N344" s="5" t="s">
        <v>45</v>
      </c>
      <c r="O344" s="80" t="s">
        <v>56</v>
      </c>
      <c r="P344" s="101">
        <v>45905</v>
      </c>
      <c r="Q344" s="100">
        <f t="shared" si="46"/>
        <v>46270</v>
      </c>
      <c r="R344" s="5" t="s">
        <v>1216</v>
      </c>
      <c r="S344" s="5" t="s">
        <v>3330</v>
      </c>
      <c r="T344" s="7">
        <v>0.44</v>
      </c>
      <c r="U344" s="7" t="s">
        <v>10</v>
      </c>
      <c r="V344" s="7">
        <f t="shared" si="47"/>
        <v>0.44</v>
      </c>
      <c r="W344" s="7">
        <v>0.5</v>
      </c>
      <c r="X344" s="7" t="s">
        <v>1107</v>
      </c>
      <c r="Y344" s="48" t="str">
        <f t="shared" si="48"/>
        <v>APROVADO</v>
      </c>
      <c r="Z344" s="7" t="s">
        <v>56</v>
      </c>
      <c r="AA344" s="5">
        <v>11541382</v>
      </c>
      <c r="AB344" s="5" t="s">
        <v>3303</v>
      </c>
      <c r="AC344" s="5" t="s">
        <v>48</v>
      </c>
      <c r="AD344" s="5" t="s">
        <v>5530</v>
      </c>
      <c r="AE344" s="5" t="str">
        <f t="shared" ca="1" si="45"/>
        <v>NO PRAZO</v>
      </c>
      <c r="AF344" s="49"/>
    </row>
    <row r="345" spans="1:32" ht="30" customHeight="1" x14ac:dyDescent="0.25">
      <c r="A345" s="5" t="s">
        <v>2149</v>
      </c>
      <c r="B345" s="5" t="s">
        <v>10</v>
      </c>
      <c r="C345" s="5" t="s">
        <v>5863</v>
      </c>
      <c r="D345" s="7" t="s">
        <v>1104</v>
      </c>
      <c r="E345" s="7" t="s">
        <v>311</v>
      </c>
      <c r="F345" s="7" t="s">
        <v>642</v>
      </c>
      <c r="G345" s="7" t="s">
        <v>2129</v>
      </c>
      <c r="H345" s="7" t="s">
        <v>10</v>
      </c>
      <c r="I345" s="7" t="s">
        <v>2150</v>
      </c>
      <c r="J345" s="7" t="s">
        <v>2150</v>
      </c>
      <c r="K345" s="5" t="s">
        <v>10</v>
      </c>
      <c r="L345" s="5" t="s">
        <v>10</v>
      </c>
      <c r="M345" s="5" t="s">
        <v>10</v>
      </c>
      <c r="N345" s="5" t="s">
        <v>45</v>
      </c>
      <c r="O345" s="95" t="s">
        <v>56</v>
      </c>
      <c r="P345" s="101">
        <v>46128</v>
      </c>
      <c r="Q345" s="100">
        <f t="shared" si="46"/>
        <v>46493</v>
      </c>
      <c r="R345" s="5" t="s">
        <v>2168</v>
      </c>
      <c r="S345" s="5" t="s">
        <v>5277</v>
      </c>
      <c r="T345" s="7">
        <v>0.38</v>
      </c>
      <c r="U345" s="7"/>
      <c r="V345" s="7">
        <f t="shared" si="47"/>
        <v>0.38</v>
      </c>
      <c r="W345" s="5">
        <v>0.5</v>
      </c>
      <c r="X345" s="7" t="s">
        <v>1182</v>
      </c>
      <c r="Y345" s="48" t="str">
        <f t="shared" si="48"/>
        <v>APROVADO</v>
      </c>
      <c r="Z345" s="7" t="s">
        <v>56</v>
      </c>
      <c r="AA345" s="5">
        <v>11606741</v>
      </c>
      <c r="AB345" s="5" t="s">
        <v>4215</v>
      </c>
      <c r="AC345" s="5" t="s">
        <v>48</v>
      </c>
      <c r="AD345" s="5" t="s">
        <v>5530</v>
      </c>
      <c r="AE345" s="5" t="str">
        <f t="shared" ca="1" si="45"/>
        <v>NO PRAZO</v>
      </c>
      <c r="AF345" s="49"/>
    </row>
    <row r="346" spans="1:32" ht="30" customHeight="1" x14ac:dyDescent="0.25">
      <c r="A346" s="5" t="s">
        <v>1217</v>
      </c>
      <c r="B346" s="5" t="s">
        <v>10</v>
      </c>
      <c r="C346" s="5" t="s">
        <v>5863</v>
      </c>
      <c r="D346" s="7" t="s">
        <v>1104</v>
      </c>
      <c r="E346" s="7" t="s">
        <v>311</v>
      </c>
      <c r="F346" s="7" t="s">
        <v>650</v>
      </c>
      <c r="G346" s="7" t="s">
        <v>1218</v>
      </c>
      <c r="H346" s="7" t="s">
        <v>1219</v>
      </c>
      <c r="I346" s="7" t="s">
        <v>1190</v>
      </c>
      <c r="J346" s="7" t="s">
        <v>1201</v>
      </c>
      <c r="K346" s="5" t="s">
        <v>10</v>
      </c>
      <c r="L346" s="5" t="s">
        <v>10</v>
      </c>
      <c r="M346" s="5" t="s">
        <v>10</v>
      </c>
      <c r="N346" s="5" t="s">
        <v>45</v>
      </c>
      <c r="O346" s="80" t="s">
        <v>56</v>
      </c>
      <c r="P346" s="101">
        <v>45905</v>
      </c>
      <c r="Q346" s="100">
        <f t="shared" si="46"/>
        <v>46270</v>
      </c>
      <c r="R346" s="5" t="s">
        <v>1220</v>
      </c>
      <c r="S346" s="5" t="s">
        <v>3332</v>
      </c>
      <c r="T346" s="7">
        <v>9.8000000000000004E-2</v>
      </c>
      <c r="U346" s="7" t="s">
        <v>10</v>
      </c>
      <c r="V346" s="7">
        <f t="shared" si="47"/>
        <v>9.8000000000000004E-2</v>
      </c>
      <c r="W346" s="7">
        <v>0.1</v>
      </c>
      <c r="X346" s="7" t="s">
        <v>1197</v>
      </c>
      <c r="Y346" s="48" t="str">
        <f t="shared" si="48"/>
        <v>APROVADO</v>
      </c>
      <c r="Z346" s="7" t="s">
        <v>56</v>
      </c>
      <c r="AA346" s="5">
        <v>11541383</v>
      </c>
      <c r="AB346" s="5" t="s">
        <v>3304</v>
      </c>
      <c r="AC346" s="5" t="s">
        <v>48</v>
      </c>
      <c r="AD346" s="5" t="s">
        <v>5530</v>
      </c>
      <c r="AE346" s="5" t="str">
        <f t="shared" ca="1" si="45"/>
        <v>NO PRAZO</v>
      </c>
      <c r="AF346" s="49"/>
    </row>
    <row r="347" spans="1:32" ht="30" customHeight="1" x14ac:dyDescent="0.25">
      <c r="A347" s="5" t="s">
        <v>1221</v>
      </c>
      <c r="B347" s="5" t="s">
        <v>10</v>
      </c>
      <c r="C347" s="5" t="s">
        <v>5863</v>
      </c>
      <c r="D347" s="7" t="s">
        <v>1104</v>
      </c>
      <c r="E347" s="7" t="s">
        <v>311</v>
      </c>
      <c r="F347" s="7" t="s">
        <v>650</v>
      </c>
      <c r="G347" s="7" t="s">
        <v>1222</v>
      </c>
      <c r="H347" s="7" t="s">
        <v>1223</v>
      </c>
      <c r="I347" s="7" t="s">
        <v>1194</v>
      </c>
      <c r="J347" s="7" t="s">
        <v>1201</v>
      </c>
      <c r="K347" s="5" t="s">
        <v>10</v>
      </c>
      <c r="L347" s="5" t="s">
        <v>10</v>
      </c>
      <c r="M347" s="5" t="s">
        <v>10</v>
      </c>
      <c r="N347" s="5" t="s">
        <v>45</v>
      </c>
      <c r="O347" s="80" t="s">
        <v>56</v>
      </c>
      <c r="P347" s="101">
        <v>45925</v>
      </c>
      <c r="Q347" s="100">
        <f t="shared" si="46"/>
        <v>46290</v>
      </c>
      <c r="R347" s="5" t="s">
        <v>1224</v>
      </c>
      <c r="S347" s="5" t="s">
        <v>3459</v>
      </c>
      <c r="T347" s="7">
        <v>9.8000000000000004E-2</v>
      </c>
      <c r="U347" s="7" t="s">
        <v>10</v>
      </c>
      <c r="V347" s="7">
        <f t="shared" si="47"/>
        <v>9.8000000000000004E-2</v>
      </c>
      <c r="W347" s="7">
        <v>0.14000000000000001</v>
      </c>
      <c r="X347" s="7" t="s">
        <v>1107</v>
      </c>
      <c r="Y347" s="48" t="str">
        <f t="shared" si="48"/>
        <v>APROVADO</v>
      </c>
      <c r="Z347" s="7" t="s">
        <v>56</v>
      </c>
      <c r="AA347" s="5">
        <v>11541385</v>
      </c>
      <c r="AB347" s="5" t="s">
        <v>3305</v>
      </c>
      <c r="AC347" s="5" t="s">
        <v>48</v>
      </c>
      <c r="AD347" s="5" t="s">
        <v>5530</v>
      </c>
      <c r="AE347" s="5" t="str">
        <f t="shared" ca="1" si="45"/>
        <v>NO PRAZO</v>
      </c>
      <c r="AF347" s="49"/>
    </row>
    <row r="348" spans="1:32" ht="30" customHeight="1" x14ac:dyDescent="0.25">
      <c r="A348" s="5" t="s">
        <v>1225</v>
      </c>
      <c r="B348" s="5" t="s">
        <v>10</v>
      </c>
      <c r="C348" s="5" t="s">
        <v>5863</v>
      </c>
      <c r="D348" s="7" t="s">
        <v>1104</v>
      </c>
      <c r="E348" s="7" t="s">
        <v>311</v>
      </c>
      <c r="F348" s="7" t="s">
        <v>650</v>
      </c>
      <c r="G348" s="7" t="s">
        <v>1226</v>
      </c>
      <c r="H348" s="7" t="s">
        <v>1227</v>
      </c>
      <c r="I348" s="7" t="s">
        <v>1200</v>
      </c>
      <c r="J348" s="7" t="s">
        <v>1200</v>
      </c>
      <c r="K348" s="5" t="s">
        <v>10</v>
      </c>
      <c r="L348" s="5" t="s">
        <v>10</v>
      </c>
      <c r="M348" s="5" t="s">
        <v>10</v>
      </c>
      <c r="N348" s="5" t="s">
        <v>45</v>
      </c>
      <c r="O348" s="80" t="s">
        <v>56</v>
      </c>
      <c r="P348" s="101">
        <v>45905</v>
      </c>
      <c r="Q348" s="100">
        <f t="shared" si="46"/>
        <v>46270</v>
      </c>
      <c r="R348" s="5" t="s">
        <v>1228</v>
      </c>
      <c r="S348" s="5" t="s">
        <v>3333</v>
      </c>
      <c r="T348" s="7">
        <v>0.36</v>
      </c>
      <c r="U348" s="7" t="s">
        <v>10</v>
      </c>
      <c r="V348" s="7">
        <f t="shared" si="47"/>
        <v>0.36</v>
      </c>
      <c r="W348" s="7">
        <v>0.5</v>
      </c>
      <c r="X348" s="7" t="s">
        <v>1197</v>
      </c>
      <c r="Y348" s="48" t="str">
        <f t="shared" si="48"/>
        <v>APROVADO</v>
      </c>
      <c r="Z348" s="7" t="s">
        <v>56</v>
      </c>
      <c r="AA348" s="5">
        <v>11541685</v>
      </c>
      <c r="AB348" s="5" t="s">
        <v>3306</v>
      </c>
      <c r="AC348" s="5" t="s">
        <v>48</v>
      </c>
      <c r="AD348" s="5" t="s">
        <v>5530</v>
      </c>
      <c r="AE348" s="5" t="str">
        <f t="shared" ca="1" si="45"/>
        <v>NO PRAZO</v>
      </c>
      <c r="AF348" s="49"/>
    </row>
    <row r="349" spans="1:32" ht="30" customHeight="1" x14ac:dyDescent="0.25">
      <c r="A349" s="5" t="s">
        <v>1229</v>
      </c>
      <c r="B349" s="5" t="s">
        <v>10</v>
      </c>
      <c r="C349" s="5" t="s">
        <v>5863</v>
      </c>
      <c r="D349" s="7" t="s">
        <v>1104</v>
      </c>
      <c r="E349" s="7" t="s">
        <v>311</v>
      </c>
      <c r="F349" s="7" t="s">
        <v>650</v>
      </c>
      <c r="G349" s="7" t="s">
        <v>1222</v>
      </c>
      <c r="H349" s="7" t="s">
        <v>1230</v>
      </c>
      <c r="I349" s="7" t="s">
        <v>1194</v>
      </c>
      <c r="J349" s="7" t="s">
        <v>1201</v>
      </c>
      <c r="K349" s="5" t="s">
        <v>10</v>
      </c>
      <c r="L349" s="5" t="s">
        <v>10</v>
      </c>
      <c r="M349" s="5" t="s">
        <v>10</v>
      </c>
      <c r="N349" s="5" t="s">
        <v>45</v>
      </c>
      <c r="O349" s="80" t="s">
        <v>56</v>
      </c>
      <c r="P349" s="101">
        <v>45905</v>
      </c>
      <c r="Q349" s="100">
        <f t="shared" si="46"/>
        <v>46270</v>
      </c>
      <c r="R349" s="5" t="s">
        <v>1231</v>
      </c>
      <c r="S349" s="5" t="s">
        <v>3334</v>
      </c>
      <c r="T349" s="7">
        <v>0.182</v>
      </c>
      <c r="U349" s="7" t="s">
        <v>10</v>
      </c>
      <c r="V349" s="7">
        <f t="shared" si="47"/>
        <v>0.182</v>
      </c>
      <c r="W349" s="7">
        <v>0.2</v>
      </c>
      <c r="X349" s="7" t="s">
        <v>1107</v>
      </c>
      <c r="Y349" s="48" t="str">
        <f t="shared" si="48"/>
        <v>APROVADO</v>
      </c>
      <c r="Z349" s="7" t="s">
        <v>56</v>
      </c>
      <c r="AA349" s="5">
        <v>11541686</v>
      </c>
      <c r="AB349" s="5" t="s">
        <v>3307</v>
      </c>
      <c r="AC349" s="5" t="s">
        <v>48</v>
      </c>
      <c r="AD349" s="5" t="s">
        <v>5530</v>
      </c>
      <c r="AE349" s="5" t="str">
        <f t="shared" ca="1" si="45"/>
        <v>NO PRAZO</v>
      </c>
      <c r="AF349" s="49"/>
    </row>
    <row r="350" spans="1:32" ht="30" customHeight="1" x14ac:dyDescent="0.25">
      <c r="A350" s="5" t="s">
        <v>1232</v>
      </c>
      <c r="B350" s="5" t="s">
        <v>10</v>
      </c>
      <c r="C350" s="5" t="s">
        <v>5863</v>
      </c>
      <c r="D350" s="7" t="s">
        <v>1104</v>
      </c>
      <c r="E350" s="7" t="s">
        <v>311</v>
      </c>
      <c r="F350" s="7" t="s">
        <v>650</v>
      </c>
      <c r="G350" s="7" t="s">
        <v>1222</v>
      </c>
      <c r="H350" s="7" t="s">
        <v>1233</v>
      </c>
      <c r="I350" s="7" t="s">
        <v>1190</v>
      </c>
      <c r="J350" s="7" t="s">
        <v>1198</v>
      </c>
      <c r="K350" s="5" t="s">
        <v>10</v>
      </c>
      <c r="L350" s="5" t="s">
        <v>10</v>
      </c>
      <c r="M350" s="5" t="s">
        <v>10</v>
      </c>
      <c r="N350" s="5" t="s">
        <v>45</v>
      </c>
      <c r="O350" s="80" t="s">
        <v>56</v>
      </c>
      <c r="P350" s="101">
        <v>45905</v>
      </c>
      <c r="Q350" s="100">
        <f t="shared" si="46"/>
        <v>46270</v>
      </c>
      <c r="R350" s="5" t="s">
        <v>1234</v>
      </c>
      <c r="S350" s="5" t="s">
        <v>3335</v>
      </c>
      <c r="T350" s="7">
        <v>7.1999999999999995E-2</v>
      </c>
      <c r="U350" s="7" t="s">
        <v>10</v>
      </c>
      <c r="V350" s="7">
        <f t="shared" si="47"/>
        <v>7.1999999999999995E-2</v>
      </c>
      <c r="W350" s="7">
        <v>0.1</v>
      </c>
      <c r="X350" s="7" t="s">
        <v>1107</v>
      </c>
      <c r="Y350" s="48" t="str">
        <f t="shared" si="48"/>
        <v>APROVADO</v>
      </c>
      <c r="Z350" s="7" t="s">
        <v>56</v>
      </c>
      <c r="AA350" s="5">
        <v>11541687</v>
      </c>
      <c r="AB350" s="5" t="s">
        <v>3308</v>
      </c>
      <c r="AC350" s="5" t="s">
        <v>48</v>
      </c>
      <c r="AD350" s="5" t="s">
        <v>5530</v>
      </c>
      <c r="AE350" s="5" t="str">
        <f t="shared" ca="1" si="45"/>
        <v>NO PRAZO</v>
      </c>
      <c r="AF350" s="49"/>
    </row>
    <row r="351" spans="1:32" ht="30" customHeight="1" x14ac:dyDescent="0.25">
      <c r="A351" s="5" t="s">
        <v>1235</v>
      </c>
      <c r="B351" s="5" t="s">
        <v>10</v>
      </c>
      <c r="C351" s="5" t="s">
        <v>5863</v>
      </c>
      <c r="D351" s="7" t="s">
        <v>1104</v>
      </c>
      <c r="E351" s="7" t="s">
        <v>311</v>
      </c>
      <c r="F351" s="7" t="s">
        <v>650</v>
      </c>
      <c r="G351" s="7" t="s">
        <v>1226</v>
      </c>
      <c r="H351" s="7" t="s">
        <v>1236</v>
      </c>
      <c r="I351" s="7" t="s">
        <v>1200</v>
      </c>
      <c r="J351" s="7" t="s">
        <v>1201</v>
      </c>
      <c r="K351" s="5" t="s">
        <v>10</v>
      </c>
      <c r="L351" s="5" t="s">
        <v>10</v>
      </c>
      <c r="M351" s="5" t="s">
        <v>10</v>
      </c>
      <c r="N351" s="5" t="s">
        <v>45</v>
      </c>
      <c r="O351" s="80" t="s">
        <v>56</v>
      </c>
      <c r="P351" s="101">
        <v>45905</v>
      </c>
      <c r="Q351" s="100">
        <f t="shared" si="46"/>
        <v>46270</v>
      </c>
      <c r="R351" s="5" t="s">
        <v>1237</v>
      </c>
      <c r="S351" s="5" t="s">
        <v>3336</v>
      </c>
      <c r="T351" s="7">
        <v>0.32</v>
      </c>
      <c r="U351" s="7" t="s">
        <v>10</v>
      </c>
      <c r="V351" s="7">
        <f t="shared" si="47"/>
        <v>0.32</v>
      </c>
      <c r="W351" s="7">
        <v>0.5</v>
      </c>
      <c r="X351" s="7" t="s">
        <v>1107</v>
      </c>
      <c r="Y351" s="48" t="str">
        <f t="shared" si="48"/>
        <v>APROVADO</v>
      </c>
      <c r="Z351" s="7" t="s">
        <v>56</v>
      </c>
      <c r="AA351" s="5">
        <v>11541688</v>
      </c>
      <c r="AB351" s="5" t="s">
        <v>3309</v>
      </c>
      <c r="AC351" s="5" t="s">
        <v>48</v>
      </c>
      <c r="AD351" s="5" t="s">
        <v>5530</v>
      </c>
      <c r="AE351" s="5" t="str">
        <f t="shared" ca="1" si="45"/>
        <v>NO PRAZO</v>
      </c>
      <c r="AF351" s="49"/>
    </row>
    <row r="352" spans="1:32" ht="30" customHeight="1" x14ac:dyDescent="0.25">
      <c r="A352" s="5" t="s">
        <v>1238</v>
      </c>
      <c r="B352" s="5" t="s">
        <v>10</v>
      </c>
      <c r="C352" s="5" t="s">
        <v>5863</v>
      </c>
      <c r="D352" s="7" t="s">
        <v>1104</v>
      </c>
      <c r="E352" s="7" t="s">
        <v>311</v>
      </c>
      <c r="F352" s="7" t="s">
        <v>650</v>
      </c>
      <c r="G352" s="7" t="s">
        <v>1226</v>
      </c>
      <c r="H352" s="7" t="s">
        <v>1239</v>
      </c>
      <c r="I352" s="7" t="s">
        <v>1200</v>
      </c>
      <c r="J352" s="7" t="s">
        <v>1201</v>
      </c>
      <c r="K352" s="5" t="s">
        <v>10</v>
      </c>
      <c r="L352" s="5" t="s">
        <v>10</v>
      </c>
      <c r="M352" s="5" t="s">
        <v>10</v>
      </c>
      <c r="N352" s="5" t="s">
        <v>45</v>
      </c>
      <c r="O352" s="80" t="s">
        <v>56</v>
      </c>
      <c r="P352" s="101">
        <v>45905</v>
      </c>
      <c r="Q352" s="100">
        <f t="shared" si="46"/>
        <v>46270</v>
      </c>
      <c r="R352" s="5" t="s">
        <v>1240</v>
      </c>
      <c r="S352" s="5" t="s">
        <v>3337</v>
      </c>
      <c r="T352" s="7">
        <v>0.5</v>
      </c>
      <c r="U352" s="7" t="s">
        <v>10</v>
      </c>
      <c r="V352" s="7">
        <f t="shared" si="47"/>
        <v>0.5</v>
      </c>
      <c r="W352" s="7">
        <v>0.5</v>
      </c>
      <c r="X352" s="7" t="s">
        <v>1197</v>
      </c>
      <c r="Y352" s="48" t="str">
        <f t="shared" si="48"/>
        <v>APROVADO</v>
      </c>
      <c r="Z352" s="7" t="s">
        <v>56</v>
      </c>
      <c r="AA352" s="5">
        <v>11541689</v>
      </c>
      <c r="AB352" s="5" t="s">
        <v>3310</v>
      </c>
      <c r="AC352" s="5" t="s">
        <v>48</v>
      </c>
      <c r="AD352" s="5" t="s">
        <v>5530</v>
      </c>
      <c r="AE352" s="5" t="str">
        <f t="shared" ca="1" si="45"/>
        <v>NO PRAZO</v>
      </c>
      <c r="AF352" s="49"/>
    </row>
    <row r="353" spans="1:32" ht="30" customHeight="1" x14ac:dyDescent="0.25">
      <c r="A353" s="5" t="s">
        <v>1241</v>
      </c>
      <c r="B353" s="5" t="s">
        <v>10</v>
      </c>
      <c r="C353" s="5" t="s">
        <v>5863</v>
      </c>
      <c r="D353" s="7" t="s">
        <v>1104</v>
      </c>
      <c r="E353" s="7" t="s">
        <v>40</v>
      </c>
      <c r="F353" s="7" t="s">
        <v>156</v>
      </c>
      <c r="G353" s="7" t="s">
        <v>1184</v>
      </c>
      <c r="H353" s="7" t="s">
        <v>1242</v>
      </c>
      <c r="I353" s="7" t="s">
        <v>1243</v>
      </c>
      <c r="J353" s="7" t="s">
        <v>1186</v>
      </c>
      <c r="K353" s="5" t="s">
        <v>10</v>
      </c>
      <c r="L353" s="5" t="s">
        <v>10</v>
      </c>
      <c r="M353" s="5" t="s">
        <v>10</v>
      </c>
      <c r="N353" s="5" t="s">
        <v>45</v>
      </c>
      <c r="O353" s="80" t="s">
        <v>56</v>
      </c>
      <c r="P353" s="101">
        <v>45883</v>
      </c>
      <c r="Q353" s="100">
        <f t="shared" si="46"/>
        <v>46248</v>
      </c>
      <c r="R353" s="5" t="s">
        <v>1244</v>
      </c>
      <c r="S353" s="5" t="s">
        <v>3141</v>
      </c>
      <c r="T353" s="7">
        <v>0.19500000000000001</v>
      </c>
      <c r="U353" s="7" t="s">
        <v>10</v>
      </c>
      <c r="V353" s="7">
        <f t="shared" si="47"/>
        <v>0.19500000000000001</v>
      </c>
      <c r="W353" s="7">
        <v>0.2</v>
      </c>
      <c r="X353" s="7" t="s">
        <v>1182</v>
      </c>
      <c r="Y353" s="48" t="str">
        <f t="shared" si="48"/>
        <v>APROVADO</v>
      </c>
      <c r="Z353" s="7" t="s">
        <v>56</v>
      </c>
      <c r="AA353" s="5">
        <v>11597129</v>
      </c>
      <c r="AB353" s="5" t="s">
        <v>3311</v>
      </c>
      <c r="AC353" s="5" t="s">
        <v>48</v>
      </c>
      <c r="AD353" s="5" t="s">
        <v>5530</v>
      </c>
      <c r="AE353" s="5" t="str">
        <f t="shared" ca="1" si="45"/>
        <v>CALIBRAR</v>
      </c>
      <c r="AF353" s="49"/>
    </row>
    <row r="354" spans="1:32" ht="30" customHeight="1" x14ac:dyDescent="0.25">
      <c r="A354" s="5" t="s">
        <v>1245</v>
      </c>
      <c r="B354" s="5" t="s">
        <v>10</v>
      </c>
      <c r="C354" s="5" t="s">
        <v>5863</v>
      </c>
      <c r="D354" s="7" t="s">
        <v>1104</v>
      </c>
      <c r="E354" s="7" t="s">
        <v>40</v>
      </c>
      <c r="F354" s="7" t="s">
        <v>156</v>
      </c>
      <c r="G354" s="7" t="s">
        <v>1184</v>
      </c>
      <c r="H354" s="7" t="s">
        <v>1246</v>
      </c>
      <c r="I354" s="7" t="s">
        <v>1243</v>
      </c>
      <c r="J354" s="7" t="s">
        <v>1186</v>
      </c>
      <c r="K354" s="5" t="s">
        <v>10</v>
      </c>
      <c r="L354" s="5" t="s">
        <v>10</v>
      </c>
      <c r="M354" s="5" t="s">
        <v>10</v>
      </c>
      <c r="N354" s="5" t="s">
        <v>45</v>
      </c>
      <c r="O354" s="80" t="s">
        <v>56</v>
      </c>
      <c r="P354" s="101">
        <v>45883</v>
      </c>
      <c r="Q354" s="100">
        <f t="shared" si="46"/>
        <v>46248</v>
      </c>
      <c r="R354" s="5" t="s">
        <v>1247</v>
      </c>
      <c r="S354" s="5" t="s">
        <v>3142</v>
      </c>
      <c r="T354" s="7">
        <v>0.18099999999999999</v>
      </c>
      <c r="U354" s="7" t="s">
        <v>10</v>
      </c>
      <c r="V354" s="7">
        <f t="shared" si="47"/>
        <v>0.18099999999999999</v>
      </c>
      <c r="W354" s="7">
        <v>0.2</v>
      </c>
      <c r="X354" s="7" t="s">
        <v>1182</v>
      </c>
      <c r="Y354" s="48" t="str">
        <f t="shared" si="48"/>
        <v>APROVADO</v>
      </c>
      <c r="Z354" s="7" t="s">
        <v>56</v>
      </c>
      <c r="AA354" s="5">
        <v>11597130</v>
      </c>
      <c r="AB354" s="5" t="s">
        <v>3312</v>
      </c>
      <c r="AC354" s="5" t="s">
        <v>48</v>
      </c>
      <c r="AD354" s="5" t="s">
        <v>5530</v>
      </c>
      <c r="AE354" s="5" t="str">
        <f t="shared" ca="1" si="45"/>
        <v>CALIBRAR</v>
      </c>
      <c r="AF354" s="5"/>
    </row>
    <row r="355" spans="1:32" ht="30" customHeight="1" x14ac:dyDescent="0.25">
      <c r="A355" s="5" t="s">
        <v>1248</v>
      </c>
      <c r="B355" s="5" t="s">
        <v>10</v>
      </c>
      <c r="C355" s="5" t="s">
        <v>5863</v>
      </c>
      <c r="D355" s="7" t="s">
        <v>5224</v>
      </c>
      <c r="E355" s="7" t="s">
        <v>40</v>
      </c>
      <c r="F355" s="7" t="s">
        <v>156</v>
      </c>
      <c r="G355" s="7" t="s">
        <v>1184</v>
      </c>
      <c r="H355" s="7" t="s">
        <v>1249</v>
      </c>
      <c r="I355" s="7" t="s">
        <v>1995</v>
      </c>
      <c r="J355" s="7" t="s">
        <v>1186</v>
      </c>
      <c r="K355" s="5" t="s">
        <v>10</v>
      </c>
      <c r="L355" s="5" t="s">
        <v>10</v>
      </c>
      <c r="M355" s="5" t="s">
        <v>10</v>
      </c>
      <c r="N355" s="5" t="s">
        <v>45</v>
      </c>
      <c r="O355" s="80" t="s">
        <v>56</v>
      </c>
      <c r="P355" s="101">
        <v>46105</v>
      </c>
      <c r="Q355" s="100">
        <f t="shared" si="46"/>
        <v>46470</v>
      </c>
      <c r="R355" s="5" t="s">
        <v>1996</v>
      </c>
      <c r="S355" s="5" t="s">
        <v>5173</v>
      </c>
      <c r="T355" s="7">
        <v>9.1999999999999998E-2</v>
      </c>
      <c r="U355" s="7" t="s">
        <v>10</v>
      </c>
      <c r="V355" s="7">
        <f t="shared" si="47"/>
        <v>9.1999999999999998E-2</v>
      </c>
      <c r="W355" s="7">
        <v>0.1</v>
      </c>
      <c r="X355" s="7" t="s">
        <v>1182</v>
      </c>
      <c r="Y355" s="48" t="str">
        <f t="shared" si="48"/>
        <v>APROVADO</v>
      </c>
      <c r="Z355" s="7" t="s">
        <v>56</v>
      </c>
      <c r="AA355" s="5">
        <v>11597131</v>
      </c>
      <c r="AB355" s="5" t="s">
        <v>4141</v>
      </c>
      <c r="AC355" s="5" t="s">
        <v>48</v>
      </c>
      <c r="AD355" s="5" t="s">
        <v>5530</v>
      </c>
      <c r="AE355" s="5" t="str">
        <f t="shared" ca="1" si="45"/>
        <v>NO PRAZO</v>
      </c>
      <c r="AF355" s="51"/>
    </row>
    <row r="356" spans="1:32" ht="30" customHeight="1" x14ac:dyDescent="0.25">
      <c r="A356" s="5" t="s">
        <v>1250</v>
      </c>
      <c r="B356" s="5" t="s">
        <v>10</v>
      </c>
      <c r="C356" s="5" t="s">
        <v>5863</v>
      </c>
      <c r="D356" s="7" t="s">
        <v>1104</v>
      </c>
      <c r="E356" s="7" t="s">
        <v>40</v>
      </c>
      <c r="F356" s="7" t="s">
        <v>156</v>
      </c>
      <c r="G356" s="7" t="s">
        <v>1184</v>
      </c>
      <c r="H356" s="7" t="s">
        <v>1251</v>
      </c>
      <c r="I356" s="7" t="s">
        <v>1243</v>
      </c>
      <c r="J356" s="7" t="s">
        <v>1186</v>
      </c>
      <c r="K356" s="5" t="s">
        <v>10</v>
      </c>
      <c r="L356" s="5" t="s">
        <v>10</v>
      </c>
      <c r="M356" s="5" t="s">
        <v>10</v>
      </c>
      <c r="N356" s="5" t="s">
        <v>45</v>
      </c>
      <c r="O356" s="80" t="s">
        <v>56</v>
      </c>
      <c r="P356" s="101">
        <v>45883</v>
      </c>
      <c r="Q356" s="100">
        <f t="shared" si="46"/>
        <v>46248</v>
      </c>
      <c r="R356" s="5" t="s">
        <v>1252</v>
      </c>
      <c r="S356" s="5" t="s">
        <v>3143</v>
      </c>
      <c r="T356" s="7">
        <v>0.18099999999999999</v>
      </c>
      <c r="U356" s="7" t="s">
        <v>10</v>
      </c>
      <c r="V356" s="7">
        <f t="shared" si="47"/>
        <v>0.18099999999999999</v>
      </c>
      <c r="W356" s="7">
        <v>0.2</v>
      </c>
      <c r="X356" s="7" t="s">
        <v>1182</v>
      </c>
      <c r="Y356" s="48" t="str">
        <f t="shared" si="48"/>
        <v>APROVADO</v>
      </c>
      <c r="Z356" s="7" t="s">
        <v>56</v>
      </c>
      <c r="AA356" s="5">
        <v>11597132</v>
      </c>
      <c r="AB356" s="5" t="s">
        <v>3313</v>
      </c>
      <c r="AC356" s="5" t="s">
        <v>48</v>
      </c>
      <c r="AD356" s="5" t="s">
        <v>5530</v>
      </c>
      <c r="AE356" s="5" t="str">
        <f t="shared" ca="1" si="45"/>
        <v>CALIBRAR</v>
      </c>
      <c r="AF356" s="5"/>
    </row>
    <row r="357" spans="1:32" ht="30" customHeight="1" x14ac:dyDescent="0.25">
      <c r="A357" s="5" t="s">
        <v>1253</v>
      </c>
      <c r="B357" s="5" t="s">
        <v>10</v>
      </c>
      <c r="C357" s="5" t="s">
        <v>5863</v>
      </c>
      <c r="D357" s="7" t="s">
        <v>1104</v>
      </c>
      <c r="E357" s="7" t="s">
        <v>40</v>
      </c>
      <c r="F357" s="7" t="s">
        <v>156</v>
      </c>
      <c r="G357" s="7" t="s">
        <v>1184</v>
      </c>
      <c r="H357" s="7" t="s">
        <v>1254</v>
      </c>
      <c r="I357" s="7" t="s">
        <v>1243</v>
      </c>
      <c r="J357" s="7" t="s">
        <v>1186</v>
      </c>
      <c r="K357" s="5" t="s">
        <v>10</v>
      </c>
      <c r="L357" s="5" t="s">
        <v>10</v>
      </c>
      <c r="M357" s="5" t="s">
        <v>10</v>
      </c>
      <c r="N357" s="5" t="s">
        <v>45</v>
      </c>
      <c r="O357" s="80" t="s">
        <v>56</v>
      </c>
      <c r="P357" s="101">
        <v>45883</v>
      </c>
      <c r="Q357" s="100">
        <f t="shared" si="46"/>
        <v>46248</v>
      </c>
      <c r="R357" s="5" t="s">
        <v>1255</v>
      </c>
      <c r="S357" s="5" t="s">
        <v>3144</v>
      </c>
      <c r="T357" s="7">
        <v>0.17399999999999999</v>
      </c>
      <c r="U357" s="7" t="s">
        <v>10</v>
      </c>
      <c r="V357" s="7">
        <f t="shared" si="47"/>
        <v>0.17399999999999999</v>
      </c>
      <c r="W357" s="7">
        <v>0.2</v>
      </c>
      <c r="X357" s="7" t="s">
        <v>1182</v>
      </c>
      <c r="Y357" s="48" t="str">
        <f t="shared" si="48"/>
        <v>APROVADO</v>
      </c>
      <c r="Z357" s="7" t="s">
        <v>56</v>
      </c>
      <c r="AA357" s="5">
        <v>11597133</v>
      </c>
      <c r="AB357" s="5" t="s">
        <v>3314</v>
      </c>
      <c r="AC357" s="5" t="s">
        <v>48</v>
      </c>
      <c r="AD357" s="5" t="s">
        <v>5530</v>
      </c>
      <c r="AE357" s="5" t="str">
        <f t="shared" ca="1" si="45"/>
        <v>CALIBRAR</v>
      </c>
      <c r="AF357" s="5"/>
    </row>
    <row r="358" spans="1:32" ht="30" customHeight="1" x14ac:dyDescent="0.25">
      <c r="A358" s="5" t="s">
        <v>1256</v>
      </c>
      <c r="B358" s="5" t="s">
        <v>10</v>
      </c>
      <c r="C358" s="5" t="s">
        <v>5863</v>
      </c>
      <c r="D358" s="7" t="s">
        <v>1104</v>
      </c>
      <c r="E358" s="7" t="s">
        <v>40</v>
      </c>
      <c r="F358" s="7" t="s">
        <v>156</v>
      </c>
      <c r="G358" s="7" t="s">
        <v>1184</v>
      </c>
      <c r="H358" s="7" t="s">
        <v>1257</v>
      </c>
      <c r="I358" s="7" t="s">
        <v>1243</v>
      </c>
      <c r="J358" s="7" t="s">
        <v>1186</v>
      </c>
      <c r="K358" s="5" t="s">
        <v>10</v>
      </c>
      <c r="L358" s="5" t="s">
        <v>10</v>
      </c>
      <c r="M358" s="5" t="s">
        <v>10</v>
      </c>
      <c r="N358" s="5" t="s">
        <v>45</v>
      </c>
      <c r="O358" s="80" t="s">
        <v>56</v>
      </c>
      <c r="P358" s="101">
        <v>45883</v>
      </c>
      <c r="Q358" s="100">
        <f t="shared" si="46"/>
        <v>46248</v>
      </c>
      <c r="R358" s="5" t="s">
        <v>1258</v>
      </c>
      <c r="S358" s="5" t="s">
        <v>3145</v>
      </c>
      <c r="T358" s="7">
        <v>0.14599999999999999</v>
      </c>
      <c r="U358" s="7" t="s">
        <v>10</v>
      </c>
      <c r="V358" s="7">
        <f t="shared" si="47"/>
        <v>0.14599999999999999</v>
      </c>
      <c r="W358" s="7">
        <v>0.2</v>
      </c>
      <c r="X358" s="7" t="s">
        <v>1182</v>
      </c>
      <c r="Y358" s="48" t="str">
        <f t="shared" si="48"/>
        <v>APROVADO</v>
      </c>
      <c r="Z358" s="7" t="s">
        <v>56</v>
      </c>
      <c r="AA358" s="5">
        <v>11597134</v>
      </c>
      <c r="AB358" s="5" t="s">
        <v>3315</v>
      </c>
      <c r="AC358" s="5" t="s">
        <v>48</v>
      </c>
      <c r="AD358" s="5" t="s">
        <v>5530</v>
      </c>
      <c r="AE358" s="5" t="str">
        <f t="shared" ca="1" si="45"/>
        <v>CALIBRAR</v>
      </c>
      <c r="AF358" s="5"/>
    </row>
    <row r="359" spans="1:32" ht="30" customHeight="1" x14ac:dyDescent="0.25">
      <c r="A359" s="5" t="s">
        <v>1259</v>
      </c>
      <c r="B359" s="5" t="s">
        <v>10</v>
      </c>
      <c r="C359" s="5" t="s">
        <v>5863</v>
      </c>
      <c r="D359" s="7" t="s">
        <v>1104</v>
      </c>
      <c r="E359" s="7" t="s">
        <v>40</v>
      </c>
      <c r="F359" s="7" t="s">
        <v>156</v>
      </c>
      <c r="G359" s="7" t="s">
        <v>1184</v>
      </c>
      <c r="H359" s="7" t="s">
        <v>1260</v>
      </c>
      <c r="I359" s="7" t="s">
        <v>1243</v>
      </c>
      <c r="J359" s="7" t="s">
        <v>1186</v>
      </c>
      <c r="K359" s="5" t="s">
        <v>10</v>
      </c>
      <c r="L359" s="5" t="s">
        <v>10</v>
      </c>
      <c r="M359" s="5" t="s">
        <v>10</v>
      </c>
      <c r="N359" s="5" t="s">
        <v>45</v>
      </c>
      <c r="O359" s="80" t="s">
        <v>56</v>
      </c>
      <c r="P359" s="101">
        <v>45883</v>
      </c>
      <c r="Q359" s="100">
        <f t="shared" si="46"/>
        <v>46248</v>
      </c>
      <c r="R359" s="5" t="s">
        <v>1261</v>
      </c>
      <c r="S359" s="5" t="s">
        <v>3146</v>
      </c>
      <c r="T359" s="7">
        <v>0.11700000000000001</v>
      </c>
      <c r="U359" s="7" t="s">
        <v>10</v>
      </c>
      <c r="V359" s="7">
        <f t="shared" si="47"/>
        <v>0.11700000000000001</v>
      </c>
      <c r="W359" s="7">
        <v>0.2</v>
      </c>
      <c r="X359" s="7" t="s">
        <v>1182</v>
      </c>
      <c r="Y359" s="48" t="str">
        <f t="shared" si="48"/>
        <v>APROVADO</v>
      </c>
      <c r="Z359" s="7" t="s">
        <v>56</v>
      </c>
      <c r="AA359" s="5">
        <v>11597135</v>
      </c>
      <c r="AB359" s="5" t="s">
        <v>3316</v>
      </c>
      <c r="AC359" s="5" t="s">
        <v>48</v>
      </c>
      <c r="AD359" s="5" t="s">
        <v>5530</v>
      </c>
      <c r="AE359" s="5" t="str">
        <f t="shared" ca="1" si="45"/>
        <v>CALIBRAR</v>
      </c>
      <c r="AF359" s="49"/>
    </row>
    <row r="360" spans="1:32" ht="30" customHeight="1" x14ac:dyDescent="0.25">
      <c r="A360" s="5" t="s">
        <v>1262</v>
      </c>
      <c r="B360" s="5" t="s">
        <v>10</v>
      </c>
      <c r="C360" s="5" t="s">
        <v>5863</v>
      </c>
      <c r="D360" s="7" t="s">
        <v>1104</v>
      </c>
      <c r="E360" s="7" t="s">
        <v>40</v>
      </c>
      <c r="F360" s="7" t="s">
        <v>156</v>
      </c>
      <c r="G360" s="7" t="s">
        <v>1184</v>
      </c>
      <c r="H360" s="7" t="s">
        <v>1263</v>
      </c>
      <c r="I360" s="7" t="s">
        <v>1243</v>
      </c>
      <c r="J360" s="7" t="s">
        <v>1186</v>
      </c>
      <c r="K360" s="5" t="s">
        <v>10</v>
      </c>
      <c r="L360" s="5" t="s">
        <v>10</v>
      </c>
      <c r="M360" s="5" t="s">
        <v>10</v>
      </c>
      <c r="N360" s="5" t="s">
        <v>45</v>
      </c>
      <c r="O360" s="80" t="s">
        <v>56</v>
      </c>
      <c r="P360" s="101">
        <v>46203</v>
      </c>
      <c r="Q360" s="100">
        <f t="shared" si="46"/>
        <v>46568</v>
      </c>
      <c r="R360" s="5" t="s">
        <v>3147</v>
      </c>
      <c r="S360" s="5" t="s">
        <v>5728</v>
      </c>
      <c r="T360" s="7">
        <v>0.16400000000000001</v>
      </c>
      <c r="U360" s="7" t="s">
        <v>10</v>
      </c>
      <c r="V360" s="7">
        <f t="shared" si="47"/>
        <v>0.16400000000000001</v>
      </c>
      <c r="W360" s="7">
        <v>0.2</v>
      </c>
      <c r="X360" s="7" t="s">
        <v>1182</v>
      </c>
      <c r="Y360" s="48" t="str">
        <f t="shared" si="48"/>
        <v>APROVADO</v>
      </c>
      <c r="Z360" s="7" t="s">
        <v>56</v>
      </c>
      <c r="AA360" s="5">
        <v>11597136</v>
      </c>
      <c r="AB360" s="5" t="s">
        <v>3317</v>
      </c>
      <c r="AC360" s="5" t="s">
        <v>48</v>
      </c>
      <c r="AD360" s="5" t="s">
        <v>5632</v>
      </c>
      <c r="AE360" s="5" t="str">
        <f t="shared" ca="1" si="45"/>
        <v>NO PRAZO</v>
      </c>
      <c r="AF360" s="49"/>
    </row>
    <row r="361" spans="1:32" ht="30" customHeight="1" x14ac:dyDescent="0.25">
      <c r="A361" s="5" t="s">
        <v>1264</v>
      </c>
      <c r="B361" s="5" t="s">
        <v>10</v>
      </c>
      <c r="C361" s="5" t="s">
        <v>5863</v>
      </c>
      <c r="D361" s="7" t="s">
        <v>1104</v>
      </c>
      <c r="E361" s="7" t="s">
        <v>40</v>
      </c>
      <c r="F361" s="7" t="s">
        <v>156</v>
      </c>
      <c r="G361" s="7" t="s">
        <v>1184</v>
      </c>
      <c r="H361" s="7" t="s">
        <v>1265</v>
      </c>
      <c r="I361" s="7" t="s">
        <v>1995</v>
      </c>
      <c r="J361" s="7" t="s">
        <v>1186</v>
      </c>
      <c r="K361" s="5" t="s">
        <v>10</v>
      </c>
      <c r="L361" s="5" t="s">
        <v>10</v>
      </c>
      <c r="M361" s="5" t="s">
        <v>10</v>
      </c>
      <c r="N361" s="5" t="s">
        <v>45</v>
      </c>
      <c r="O361" s="80" t="s">
        <v>56</v>
      </c>
      <c r="P361" s="101">
        <v>46205</v>
      </c>
      <c r="Q361" s="100">
        <f t="shared" si="46"/>
        <v>46570</v>
      </c>
      <c r="R361" s="5" t="s">
        <v>5727</v>
      </c>
      <c r="S361" s="5" t="s">
        <v>5740</v>
      </c>
      <c r="T361" s="7">
        <v>0.122</v>
      </c>
      <c r="U361" s="7" t="s">
        <v>10</v>
      </c>
      <c r="V361" s="7">
        <f t="shared" si="47"/>
        <v>0.122</v>
      </c>
      <c r="W361" s="7">
        <v>0.2</v>
      </c>
      <c r="X361" s="7" t="s">
        <v>1182</v>
      </c>
      <c r="Y361" s="48" t="str">
        <f t="shared" si="48"/>
        <v>APROVADO</v>
      </c>
      <c r="Z361" s="7" t="s">
        <v>56</v>
      </c>
      <c r="AA361" s="5">
        <v>11605486</v>
      </c>
      <c r="AB361" s="5" t="s">
        <v>3318</v>
      </c>
      <c r="AC361" s="5" t="s">
        <v>48</v>
      </c>
      <c r="AD361" s="5" t="s">
        <v>5632</v>
      </c>
      <c r="AE361" s="5" t="str">
        <f t="shared" ca="1" si="45"/>
        <v>NO PRAZO</v>
      </c>
      <c r="AF361" s="51"/>
    </row>
    <row r="362" spans="1:32" ht="30" customHeight="1" x14ac:dyDescent="0.25">
      <c r="A362" s="7" t="s">
        <v>1997</v>
      </c>
      <c r="B362" s="5" t="s">
        <v>10</v>
      </c>
      <c r="C362" s="5" t="s">
        <v>5863</v>
      </c>
      <c r="D362" s="7" t="s">
        <v>1208</v>
      </c>
      <c r="E362" s="7" t="s">
        <v>50</v>
      </c>
      <c r="F362" s="7" t="s">
        <v>221</v>
      </c>
      <c r="G362" s="7" t="s">
        <v>286</v>
      </c>
      <c r="H362" s="7" t="s">
        <v>1188</v>
      </c>
      <c r="I362" s="7" t="s">
        <v>1266</v>
      </c>
      <c r="J362" s="7" t="s">
        <v>1189</v>
      </c>
      <c r="K362" s="7" t="s">
        <v>10</v>
      </c>
      <c r="L362" s="7" t="s">
        <v>10</v>
      </c>
      <c r="M362" s="7" t="s">
        <v>10</v>
      </c>
      <c r="N362" s="7" t="s">
        <v>45</v>
      </c>
      <c r="O362" s="80" t="s">
        <v>56</v>
      </c>
      <c r="P362" s="100">
        <v>46061</v>
      </c>
      <c r="Q362" s="100">
        <f t="shared" si="46"/>
        <v>46426</v>
      </c>
      <c r="R362" s="5" t="s">
        <v>1924</v>
      </c>
      <c r="S362" s="5" t="s">
        <v>4731</v>
      </c>
      <c r="T362" s="91">
        <v>1.5800000000000002E-2</v>
      </c>
      <c r="U362" s="7"/>
      <c r="V362" s="7">
        <f t="shared" si="47"/>
        <v>1.5800000000000002E-2</v>
      </c>
      <c r="W362" s="7">
        <v>0.05</v>
      </c>
      <c r="X362" s="7" t="s">
        <v>1182</v>
      </c>
      <c r="Y362" s="48" t="str">
        <f t="shared" si="48"/>
        <v>APROVADO</v>
      </c>
      <c r="Z362" s="7" t="s">
        <v>56</v>
      </c>
      <c r="AA362" s="5">
        <v>11606693</v>
      </c>
      <c r="AB362" s="5" t="s">
        <v>4142</v>
      </c>
      <c r="AC362" s="5" t="s">
        <v>48</v>
      </c>
      <c r="AD362" s="5" t="s">
        <v>5530</v>
      </c>
      <c r="AE362" s="5" t="str">
        <f t="shared" ca="1" si="45"/>
        <v>NO PRAZO</v>
      </c>
      <c r="AF362" s="53"/>
    </row>
    <row r="363" spans="1:32" ht="30" customHeight="1" x14ac:dyDescent="0.25">
      <c r="A363" s="7" t="s">
        <v>1998</v>
      </c>
      <c r="B363" s="5" t="s">
        <v>10</v>
      </c>
      <c r="C363" s="5" t="s">
        <v>5863</v>
      </c>
      <c r="D363" s="7" t="s">
        <v>1208</v>
      </c>
      <c r="E363" s="7" t="s">
        <v>50</v>
      </c>
      <c r="F363" s="7" t="s">
        <v>221</v>
      </c>
      <c r="G363" s="7" t="s">
        <v>286</v>
      </c>
      <c r="H363" s="7" t="s">
        <v>1188</v>
      </c>
      <c r="I363" s="7" t="s">
        <v>1266</v>
      </c>
      <c r="J363" s="7" t="s">
        <v>1189</v>
      </c>
      <c r="K363" s="7" t="s">
        <v>10</v>
      </c>
      <c r="L363" s="7" t="s">
        <v>10</v>
      </c>
      <c r="M363" s="7" t="s">
        <v>10</v>
      </c>
      <c r="N363" s="7" t="s">
        <v>45</v>
      </c>
      <c r="O363" s="80" t="s">
        <v>56</v>
      </c>
      <c r="P363" s="100">
        <v>46061</v>
      </c>
      <c r="Q363" s="100">
        <f t="shared" si="46"/>
        <v>46426</v>
      </c>
      <c r="R363" s="5" t="s">
        <v>1999</v>
      </c>
      <c r="S363" s="5" t="s">
        <v>4730</v>
      </c>
      <c r="T363" s="91">
        <v>5.7999999999999996E-3</v>
      </c>
      <c r="U363" s="7"/>
      <c r="V363" s="7">
        <f t="shared" si="47"/>
        <v>5.7999999999999996E-3</v>
      </c>
      <c r="W363" s="7">
        <v>0.05</v>
      </c>
      <c r="X363" s="7" t="s">
        <v>1182</v>
      </c>
      <c r="Y363" s="48" t="str">
        <f t="shared" si="48"/>
        <v>APROVADO</v>
      </c>
      <c r="Z363" s="7" t="s">
        <v>56</v>
      </c>
      <c r="AA363" s="5">
        <v>11606694</v>
      </c>
      <c r="AB363" s="5" t="s">
        <v>4143</v>
      </c>
      <c r="AC363" s="5" t="s">
        <v>48</v>
      </c>
      <c r="AD363" s="5" t="s">
        <v>5530</v>
      </c>
      <c r="AE363" s="5" t="str">
        <f t="shared" ca="1" si="45"/>
        <v>NO PRAZO</v>
      </c>
      <c r="AF363" s="53"/>
    </row>
    <row r="364" spans="1:32" ht="30" customHeight="1" x14ac:dyDescent="0.25">
      <c r="A364" s="7" t="s">
        <v>2000</v>
      </c>
      <c r="B364" s="7" t="s">
        <v>10</v>
      </c>
      <c r="C364" s="5" t="s">
        <v>5863</v>
      </c>
      <c r="D364" s="7" t="s">
        <v>1104</v>
      </c>
      <c r="E364" s="7" t="s">
        <v>50</v>
      </c>
      <c r="F364" s="7" t="s">
        <v>221</v>
      </c>
      <c r="G364" s="7" t="s">
        <v>286</v>
      </c>
      <c r="H364" s="7" t="s">
        <v>1188</v>
      </c>
      <c r="I364" s="7" t="s">
        <v>4931</v>
      </c>
      <c r="J364" s="7" t="s">
        <v>1267</v>
      </c>
      <c r="K364" s="7" t="s">
        <v>10</v>
      </c>
      <c r="L364" s="7" t="s">
        <v>10</v>
      </c>
      <c r="M364" s="7" t="s">
        <v>10</v>
      </c>
      <c r="N364" s="7" t="s">
        <v>45</v>
      </c>
      <c r="O364" s="80" t="s">
        <v>56</v>
      </c>
      <c r="P364" s="100">
        <v>46061</v>
      </c>
      <c r="Q364" s="100">
        <f t="shared" si="46"/>
        <v>46426</v>
      </c>
      <c r="R364" s="5" t="s">
        <v>1916</v>
      </c>
      <c r="S364" s="5" t="s">
        <v>4747</v>
      </c>
      <c r="T364" s="7">
        <v>8.5999999999999993E-2</v>
      </c>
      <c r="U364" s="7" t="s">
        <v>10</v>
      </c>
      <c r="V364" s="7">
        <f t="shared" si="47"/>
        <v>8.5999999999999993E-2</v>
      </c>
      <c r="W364" s="7">
        <v>0.1</v>
      </c>
      <c r="X364" s="7" t="s">
        <v>1107</v>
      </c>
      <c r="Y364" s="48" t="str">
        <f t="shared" si="48"/>
        <v>APROVADO</v>
      </c>
      <c r="Z364" s="7" t="s">
        <v>56</v>
      </c>
      <c r="AA364" s="5">
        <v>11541426</v>
      </c>
      <c r="AB364" s="5" t="s">
        <v>2512</v>
      </c>
      <c r="AC364" s="5" t="s">
        <v>48</v>
      </c>
      <c r="AD364" s="5" t="s">
        <v>5530</v>
      </c>
      <c r="AE364" s="5" t="str">
        <f t="shared" ca="1" si="45"/>
        <v>NO PRAZO</v>
      </c>
      <c r="AF364" s="52"/>
    </row>
    <row r="365" spans="1:32" ht="30" customHeight="1" x14ac:dyDescent="0.25">
      <c r="A365" s="7" t="s">
        <v>2001</v>
      </c>
      <c r="B365" s="5" t="s">
        <v>10</v>
      </c>
      <c r="C365" s="5" t="s">
        <v>5863</v>
      </c>
      <c r="D365" s="7" t="s">
        <v>1208</v>
      </c>
      <c r="E365" s="7" t="s">
        <v>50</v>
      </c>
      <c r="F365" s="7" t="s">
        <v>221</v>
      </c>
      <c r="G365" s="7" t="s">
        <v>222</v>
      </c>
      <c r="H365" s="7" t="s">
        <v>1188</v>
      </c>
      <c r="I365" s="7" t="s">
        <v>1266</v>
      </c>
      <c r="J365" s="7" t="s">
        <v>1189</v>
      </c>
      <c r="K365" s="7" t="s">
        <v>10</v>
      </c>
      <c r="L365" s="7" t="s">
        <v>10</v>
      </c>
      <c r="M365" s="7" t="s">
        <v>10</v>
      </c>
      <c r="N365" s="7" t="s">
        <v>45</v>
      </c>
      <c r="O365" s="80" t="s">
        <v>56</v>
      </c>
      <c r="P365" s="100">
        <v>46061</v>
      </c>
      <c r="Q365" s="100">
        <f t="shared" si="46"/>
        <v>46426</v>
      </c>
      <c r="R365" s="5" t="s">
        <v>1925</v>
      </c>
      <c r="S365" s="5" t="s">
        <v>4722</v>
      </c>
      <c r="T365" s="7">
        <v>2.8000000000000001E-2</v>
      </c>
      <c r="U365" s="7"/>
      <c r="V365" s="7">
        <f t="shared" si="47"/>
        <v>2.8000000000000001E-2</v>
      </c>
      <c r="W365" s="7">
        <v>0.05</v>
      </c>
      <c r="X365" s="7" t="s">
        <v>1182</v>
      </c>
      <c r="Y365" s="48" t="str">
        <f t="shared" si="48"/>
        <v>APROVADO</v>
      </c>
      <c r="Z365" s="7" t="s">
        <v>56</v>
      </c>
      <c r="AA365" s="5">
        <v>11606695</v>
      </c>
      <c r="AB365" s="5" t="s">
        <v>4144</v>
      </c>
      <c r="AC365" s="5" t="s">
        <v>48</v>
      </c>
      <c r="AD365" s="5" t="s">
        <v>5530</v>
      </c>
      <c r="AE365" s="5" t="str">
        <f t="shared" ca="1" si="45"/>
        <v>NO PRAZO</v>
      </c>
      <c r="AF365" s="53"/>
    </row>
    <row r="366" spans="1:32" ht="30" customHeight="1" x14ac:dyDescent="0.25">
      <c r="A366" s="7" t="s">
        <v>2002</v>
      </c>
      <c r="B366" s="5" t="s">
        <v>10</v>
      </c>
      <c r="C366" s="5" t="s">
        <v>5863</v>
      </c>
      <c r="D366" s="7" t="s">
        <v>1208</v>
      </c>
      <c r="E366" s="7" t="s">
        <v>50</v>
      </c>
      <c r="F366" s="7" t="s">
        <v>221</v>
      </c>
      <c r="G366" s="7" t="s">
        <v>222</v>
      </c>
      <c r="H366" s="7" t="s">
        <v>1188</v>
      </c>
      <c r="I366" s="7" t="s">
        <v>1266</v>
      </c>
      <c r="J366" s="7" t="s">
        <v>1189</v>
      </c>
      <c r="K366" s="7" t="s">
        <v>10</v>
      </c>
      <c r="L366" s="7" t="s">
        <v>10</v>
      </c>
      <c r="M366" s="7" t="s">
        <v>10</v>
      </c>
      <c r="N366" s="7" t="s">
        <v>45</v>
      </c>
      <c r="O366" s="80" t="s">
        <v>56</v>
      </c>
      <c r="P366" s="100">
        <v>46061</v>
      </c>
      <c r="Q366" s="100">
        <f t="shared" si="46"/>
        <v>46426</v>
      </c>
      <c r="R366" s="5" t="s">
        <v>2003</v>
      </c>
      <c r="S366" s="5" t="s">
        <v>4723</v>
      </c>
      <c r="T366" s="7">
        <v>2.8000000000000001E-2</v>
      </c>
      <c r="U366" s="7" t="s">
        <v>10</v>
      </c>
      <c r="V366" s="7">
        <f t="shared" si="47"/>
        <v>2.8000000000000001E-2</v>
      </c>
      <c r="W366" s="7">
        <v>0.05</v>
      </c>
      <c r="X366" s="7" t="s">
        <v>1182</v>
      </c>
      <c r="Y366" s="48" t="str">
        <f t="shared" si="48"/>
        <v>APROVADO</v>
      </c>
      <c r="Z366" s="7" t="s">
        <v>56</v>
      </c>
      <c r="AA366" s="5">
        <v>11606696</v>
      </c>
      <c r="AB366" s="5" t="s">
        <v>4145</v>
      </c>
      <c r="AC366" s="5" t="s">
        <v>48</v>
      </c>
      <c r="AD366" s="5" t="s">
        <v>5530</v>
      </c>
      <c r="AE366" s="5" t="str">
        <f t="shared" ca="1" si="45"/>
        <v>NO PRAZO</v>
      </c>
      <c r="AF366" s="53"/>
    </row>
    <row r="367" spans="1:32" ht="30" customHeight="1" x14ac:dyDescent="0.25">
      <c r="A367" s="7" t="s">
        <v>1268</v>
      </c>
      <c r="B367" s="5" t="s">
        <v>10</v>
      </c>
      <c r="C367" s="5" t="s">
        <v>5863</v>
      </c>
      <c r="D367" s="7" t="s">
        <v>1104</v>
      </c>
      <c r="E367" s="7" t="s">
        <v>50</v>
      </c>
      <c r="F367" s="7" t="s">
        <v>221</v>
      </c>
      <c r="G367" s="7" t="s">
        <v>222</v>
      </c>
      <c r="H367" s="7" t="s">
        <v>1188</v>
      </c>
      <c r="I367" s="7" t="s">
        <v>1269</v>
      </c>
      <c r="J367" s="7" t="s">
        <v>1189</v>
      </c>
      <c r="K367" s="7" t="s">
        <v>10</v>
      </c>
      <c r="L367" s="7" t="s">
        <v>10</v>
      </c>
      <c r="M367" s="7" t="s">
        <v>10</v>
      </c>
      <c r="N367" s="7" t="s">
        <v>45</v>
      </c>
      <c r="O367" s="80" t="s">
        <v>56</v>
      </c>
      <c r="P367" s="100">
        <v>46061</v>
      </c>
      <c r="Q367" s="100">
        <f t="shared" si="46"/>
        <v>46426</v>
      </c>
      <c r="R367" s="5" t="s">
        <v>1917</v>
      </c>
      <c r="S367" s="5" t="s">
        <v>4748</v>
      </c>
      <c r="T367" s="7">
        <v>4.4999999999999998E-2</v>
      </c>
      <c r="U367" s="7" t="s">
        <v>10</v>
      </c>
      <c r="V367" s="7">
        <f t="shared" si="47"/>
        <v>4.4999999999999998E-2</v>
      </c>
      <c r="W367" s="7">
        <v>0.05</v>
      </c>
      <c r="X367" s="7" t="s">
        <v>1182</v>
      </c>
      <c r="Y367" s="48" t="str">
        <f t="shared" si="48"/>
        <v>APROVADO</v>
      </c>
      <c r="Z367" s="7" t="s">
        <v>56</v>
      </c>
      <c r="AA367" s="5">
        <v>11541429</v>
      </c>
      <c r="AB367" s="5" t="s">
        <v>2513</v>
      </c>
      <c r="AC367" s="5" t="s">
        <v>48</v>
      </c>
      <c r="AD367" s="5" t="s">
        <v>5530</v>
      </c>
      <c r="AE367" s="5" t="str">
        <f t="shared" ca="1" si="45"/>
        <v>NO PRAZO</v>
      </c>
      <c r="AF367" s="52"/>
    </row>
    <row r="368" spans="1:32" ht="30" customHeight="1" x14ac:dyDescent="0.25">
      <c r="A368" s="7" t="s">
        <v>1927</v>
      </c>
      <c r="B368" s="5" t="s">
        <v>10</v>
      </c>
      <c r="C368" s="5" t="s">
        <v>5863</v>
      </c>
      <c r="D368" s="7" t="s">
        <v>1208</v>
      </c>
      <c r="E368" s="7" t="s">
        <v>50</v>
      </c>
      <c r="F368" s="7" t="s">
        <v>221</v>
      </c>
      <c r="G368" s="7" t="s">
        <v>290</v>
      </c>
      <c r="H368" s="7" t="s">
        <v>1188</v>
      </c>
      <c r="I368" s="7" t="s">
        <v>1266</v>
      </c>
      <c r="J368" s="7" t="s">
        <v>1189</v>
      </c>
      <c r="K368" s="7" t="s">
        <v>10</v>
      </c>
      <c r="L368" s="7" t="s">
        <v>10</v>
      </c>
      <c r="M368" s="7" t="s">
        <v>10</v>
      </c>
      <c r="N368" s="7" t="s">
        <v>45</v>
      </c>
      <c r="O368" s="80" t="s">
        <v>56</v>
      </c>
      <c r="P368" s="100">
        <v>46059</v>
      </c>
      <c r="Q368" s="100">
        <f t="shared" si="46"/>
        <v>46424</v>
      </c>
      <c r="R368" s="5" t="s">
        <v>1926</v>
      </c>
      <c r="S368" s="5" t="s">
        <v>4679</v>
      </c>
      <c r="T368" s="7">
        <v>3.3599999999999998E-2</v>
      </c>
      <c r="U368" s="7"/>
      <c r="V368" s="7">
        <f t="shared" si="47"/>
        <v>3.3599999999999998E-2</v>
      </c>
      <c r="W368" s="7">
        <v>0.05</v>
      </c>
      <c r="X368" s="7" t="s">
        <v>1182</v>
      </c>
      <c r="Y368" s="48" t="str">
        <f t="shared" si="48"/>
        <v>APROVADO</v>
      </c>
      <c r="Z368" s="7" t="s">
        <v>56</v>
      </c>
      <c r="AA368" s="5">
        <v>11606697</v>
      </c>
      <c r="AB368" s="5" t="s">
        <v>4146</v>
      </c>
      <c r="AC368" s="5" t="s">
        <v>48</v>
      </c>
      <c r="AD368" s="5" t="s">
        <v>5530</v>
      </c>
      <c r="AE368" s="5" t="str">
        <f t="shared" ca="1" si="45"/>
        <v>NO PRAZO</v>
      </c>
      <c r="AF368" s="53"/>
    </row>
    <row r="369" spans="1:37" ht="30" customHeight="1" x14ac:dyDescent="0.25">
      <c r="A369" s="7" t="s">
        <v>1928</v>
      </c>
      <c r="B369" s="5" t="s">
        <v>10</v>
      </c>
      <c r="C369" s="5" t="s">
        <v>5863</v>
      </c>
      <c r="D369" s="7" t="s">
        <v>1208</v>
      </c>
      <c r="E369" s="7" t="s">
        <v>50</v>
      </c>
      <c r="F369" s="7" t="s">
        <v>221</v>
      </c>
      <c r="G369" s="7" t="s">
        <v>290</v>
      </c>
      <c r="H369" s="7" t="s">
        <v>1188</v>
      </c>
      <c r="I369" s="7" t="s">
        <v>1185</v>
      </c>
      <c r="J369" s="7" t="s">
        <v>1189</v>
      </c>
      <c r="K369" s="7" t="s">
        <v>10</v>
      </c>
      <c r="L369" s="7" t="s">
        <v>10</v>
      </c>
      <c r="M369" s="7" t="s">
        <v>10</v>
      </c>
      <c r="N369" s="7" t="s">
        <v>45</v>
      </c>
      <c r="O369" s="80" t="s">
        <v>56</v>
      </c>
      <c r="P369" s="100">
        <v>46059</v>
      </c>
      <c r="Q369" s="100">
        <f t="shared" si="46"/>
        <v>46424</v>
      </c>
      <c r="R369" s="5" t="s">
        <v>1929</v>
      </c>
      <c r="S369" s="5" t="s">
        <v>4681</v>
      </c>
      <c r="T369" s="7">
        <v>1.2200000000000001E-2</v>
      </c>
      <c r="U369" s="7" t="s">
        <v>10</v>
      </c>
      <c r="V369" s="7">
        <f t="shared" si="47"/>
        <v>1.2200000000000001E-2</v>
      </c>
      <c r="W369" s="7">
        <v>0.06</v>
      </c>
      <c r="X369" s="7" t="s">
        <v>1182</v>
      </c>
      <c r="Y369" s="48" t="str">
        <f t="shared" si="48"/>
        <v>APROVADO</v>
      </c>
      <c r="Z369" s="7" t="s">
        <v>56</v>
      </c>
      <c r="AA369" s="5">
        <v>11606698</v>
      </c>
      <c r="AB369" s="5" t="s">
        <v>4147</v>
      </c>
      <c r="AC369" s="5" t="s">
        <v>48</v>
      </c>
      <c r="AD369" s="5" t="s">
        <v>5530</v>
      </c>
      <c r="AE369" s="5" t="str">
        <f t="shared" ca="1" si="45"/>
        <v>NO PRAZO</v>
      </c>
      <c r="AF369" s="53"/>
    </row>
    <row r="370" spans="1:37" ht="30" customHeight="1" x14ac:dyDescent="0.25">
      <c r="A370" s="7" t="s">
        <v>4733</v>
      </c>
      <c r="B370" s="7" t="s">
        <v>1270</v>
      </c>
      <c r="C370" s="5" t="s">
        <v>5863</v>
      </c>
      <c r="D370" s="7" t="s">
        <v>1104</v>
      </c>
      <c r="E370" s="7" t="s">
        <v>50</v>
      </c>
      <c r="F370" s="7" t="s">
        <v>221</v>
      </c>
      <c r="G370" s="7" t="s">
        <v>290</v>
      </c>
      <c r="H370" s="7" t="s">
        <v>1188</v>
      </c>
      <c r="I370" s="7" t="s">
        <v>4928</v>
      </c>
      <c r="J370" s="7" t="s">
        <v>1271</v>
      </c>
      <c r="K370" s="7" t="s">
        <v>10</v>
      </c>
      <c r="L370" s="7" t="s">
        <v>10</v>
      </c>
      <c r="M370" s="7" t="s">
        <v>10</v>
      </c>
      <c r="N370" s="7" t="s">
        <v>45</v>
      </c>
      <c r="O370" s="80" t="s">
        <v>56</v>
      </c>
      <c r="P370" s="100">
        <v>46205</v>
      </c>
      <c r="Q370" s="100">
        <f t="shared" si="46"/>
        <v>46570</v>
      </c>
      <c r="R370" s="5" t="s">
        <v>4734</v>
      </c>
      <c r="S370" s="5" t="s">
        <v>5741</v>
      </c>
      <c r="T370" s="7">
        <v>8.5000000000000006E-2</v>
      </c>
      <c r="U370" s="7" t="s">
        <v>10</v>
      </c>
      <c r="V370" s="7">
        <f t="shared" si="47"/>
        <v>8.5000000000000006E-2</v>
      </c>
      <c r="W370" s="7">
        <v>0.1</v>
      </c>
      <c r="X370" s="7" t="s">
        <v>682</v>
      </c>
      <c r="Y370" s="48" t="str">
        <f t="shared" si="48"/>
        <v>APROVADO</v>
      </c>
      <c r="Z370" s="7" t="s">
        <v>56</v>
      </c>
      <c r="AA370" s="5">
        <v>11541430</v>
      </c>
      <c r="AB370" s="5" t="s">
        <v>3931</v>
      </c>
      <c r="AC370" s="5" t="s">
        <v>48</v>
      </c>
      <c r="AD370" s="5" t="s">
        <v>5632</v>
      </c>
      <c r="AE370" s="5" t="str">
        <f t="shared" ca="1" si="45"/>
        <v>NO PRAZO</v>
      </c>
      <c r="AF370" s="51"/>
    </row>
    <row r="371" spans="1:37" ht="30" customHeight="1" x14ac:dyDescent="0.25">
      <c r="A371" s="7" t="s">
        <v>2004</v>
      </c>
      <c r="B371" s="5" t="s">
        <v>10</v>
      </c>
      <c r="C371" s="5" t="s">
        <v>5863</v>
      </c>
      <c r="D371" s="7" t="s">
        <v>1208</v>
      </c>
      <c r="E371" s="7" t="s">
        <v>50</v>
      </c>
      <c r="F371" s="7" t="s">
        <v>221</v>
      </c>
      <c r="G371" s="7" t="s">
        <v>303</v>
      </c>
      <c r="H371" s="7" t="s">
        <v>1188</v>
      </c>
      <c r="I371" s="7" t="s">
        <v>1266</v>
      </c>
      <c r="J371" s="7" t="s">
        <v>1189</v>
      </c>
      <c r="K371" s="7" t="s">
        <v>10</v>
      </c>
      <c r="L371" s="7" t="s">
        <v>10</v>
      </c>
      <c r="M371" s="7" t="s">
        <v>10</v>
      </c>
      <c r="N371" s="7" t="s">
        <v>45</v>
      </c>
      <c r="O371" s="80" t="s">
        <v>56</v>
      </c>
      <c r="P371" s="100">
        <v>46061</v>
      </c>
      <c r="Q371" s="100">
        <f t="shared" si="46"/>
        <v>46426</v>
      </c>
      <c r="R371" s="7" t="s">
        <v>1930</v>
      </c>
      <c r="S371" s="7" t="s">
        <v>4724</v>
      </c>
      <c r="T371" s="7">
        <v>2.4E-2</v>
      </c>
      <c r="U371" s="7"/>
      <c r="V371" s="7">
        <f t="shared" si="47"/>
        <v>2.4E-2</v>
      </c>
      <c r="W371" s="7">
        <v>0.05</v>
      </c>
      <c r="X371" s="7" t="s">
        <v>1182</v>
      </c>
      <c r="Y371" s="48" t="str">
        <f t="shared" si="48"/>
        <v>APROVADO</v>
      </c>
      <c r="Z371" s="7" t="s">
        <v>56</v>
      </c>
      <c r="AA371" s="5">
        <v>11606699</v>
      </c>
      <c r="AB371" s="5" t="s">
        <v>4148</v>
      </c>
      <c r="AC371" s="5" t="s">
        <v>48</v>
      </c>
      <c r="AD371" s="5" t="s">
        <v>5530</v>
      </c>
      <c r="AE371" s="5" t="str">
        <f t="shared" ca="1" si="45"/>
        <v>NO PRAZO</v>
      </c>
      <c r="AF371" s="53"/>
    </row>
    <row r="372" spans="1:37" ht="30" customHeight="1" x14ac:dyDescent="0.25">
      <c r="A372" s="7" t="s">
        <v>2005</v>
      </c>
      <c r="B372" s="5" t="s">
        <v>10</v>
      </c>
      <c r="C372" s="5" t="s">
        <v>5863</v>
      </c>
      <c r="D372" s="7" t="s">
        <v>1208</v>
      </c>
      <c r="E372" s="7" t="s">
        <v>50</v>
      </c>
      <c r="F372" s="7" t="s">
        <v>221</v>
      </c>
      <c r="G372" s="7" t="s">
        <v>303</v>
      </c>
      <c r="H372" s="7" t="s">
        <v>1188</v>
      </c>
      <c r="I372" s="7" t="s">
        <v>1266</v>
      </c>
      <c r="J372" s="7" t="s">
        <v>1189</v>
      </c>
      <c r="K372" s="7" t="s">
        <v>10</v>
      </c>
      <c r="L372" s="7" t="s">
        <v>10</v>
      </c>
      <c r="M372" s="7" t="s">
        <v>10</v>
      </c>
      <c r="N372" s="7" t="s">
        <v>45</v>
      </c>
      <c r="O372" s="80" t="s">
        <v>56</v>
      </c>
      <c r="P372" s="100">
        <v>46061</v>
      </c>
      <c r="Q372" s="100">
        <f t="shared" si="46"/>
        <v>46426</v>
      </c>
      <c r="R372" s="7" t="s">
        <v>2006</v>
      </c>
      <c r="S372" s="7" t="s">
        <v>4929</v>
      </c>
      <c r="T372" s="7">
        <v>1.7999999999999999E-2</v>
      </c>
      <c r="U372" s="7" t="s">
        <v>10</v>
      </c>
      <c r="V372" s="7">
        <f t="shared" si="47"/>
        <v>1.7999999999999999E-2</v>
      </c>
      <c r="W372" s="7">
        <v>0.05</v>
      </c>
      <c r="X372" s="7" t="s">
        <v>1182</v>
      </c>
      <c r="Y372" s="48" t="str">
        <f t="shared" si="48"/>
        <v>APROVADO</v>
      </c>
      <c r="Z372" s="7" t="s">
        <v>56</v>
      </c>
      <c r="AA372" s="5">
        <v>11606700</v>
      </c>
      <c r="AB372" s="5" t="s">
        <v>4149</v>
      </c>
      <c r="AC372" s="5" t="s">
        <v>48</v>
      </c>
      <c r="AD372" s="5" t="s">
        <v>5530</v>
      </c>
      <c r="AE372" s="5" t="str">
        <f t="shared" ca="1" si="45"/>
        <v>NO PRAZO</v>
      </c>
      <c r="AF372" s="53"/>
    </row>
    <row r="373" spans="1:37" ht="30" customHeight="1" x14ac:dyDescent="0.25">
      <c r="A373" s="7" t="s">
        <v>1272</v>
      </c>
      <c r="B373" s="5" t="s">
        <v>10</v>
      </c>
      <c r="C373" s="5" t="s">
        <v>5863</v>
      </c>
      <c r="D373" s="7" t="s">
        <v>1104</v>
      </c>
      <c r="E373" s="7" t="s">
        <v>50</v>
      </c>
      <c r="F373" s="7" t="s">
        <v>221</v>
      </c>
      <c r="G373" s="7" t="s">
        <v>303</v>
      </c>
      <c r="H373" s="7" t="s">
        <v>1188</v>
      </c>
      <c r="I373" s="7" t="s">
        <v>4931</v>
      </c>
      <c r="J373" s="7" t="s">
        <v>4932</v>
      </c>
      <c r="K373" s="7" t="s">
        <v>10</v>
      </c>
      <c r="L373" s="7" t="s">
        <v>10</v>
      </c>
      <c r="M373" s="7" t="s">
        <v>10</v>
      </c>
      <c r="N373" s="7" t="s">
        <v>45</v>
      </c>
      <c r="O373" s="80" t="s">
        <v>56</v>
      </c>
      <c r="P373" s="100">
        <v>46061</v>
      </c>
      <c r="Q373" s="100">
        <f t="shared" si="46"/>
        <v>46426</v>
      </c>
      <c r="R373" s="7" t="s">
        <v>1918</v>
      </c>
      <c r="S373" s="7" t="s">
        <v>4749</v>
      </c>
      <c r="T373" s="7">
        <v>7.8E-2</v>
      </c>
      <c r="U373" s="7" t="s">
        <v>10</v>
      </c>
      <c r="V373" s="7">
        <f t="shared" si="47"/>
        <v>7.8E-2</v>
      </c>
      <c r="W373" s="7">
        <v>0.1</v>
      </c>
      <c r="X373" s="7" t="s">
        <v>1107</v>
      </c>
      <c r="Y373" s="48" t="str">
        <f t="shared" si="48"/>
        <v>APROVADO</v>
      </c>
      <c r="Z373" s="7" t="s">
        <v>56</v>
      </c>
      <c r="AA373" s="5">
        <v>11541431</v>
      </c>
      <c r="AB373" s="5" t="s">
        <v>2514</v>
      </c>
      <c r="AC373" s="5" t="s">
        <v>48</v>
      </c>
      <c r="AD373" s="5" t="s">
        <v>5530</v>
      </c>
      <c r="AE373" s="5" t="str">
        <f t="shared" ca="1" si="45"/>
        <v>NO PRAZO</v>
      </c>
      <c r="AF373" s="52"/>
    </row>
    <row r="374" spans="1:37" ht="30" customHeight="1" x14ac:dyDescent="0.3">
      <c r="A374" s="7" t="s">
        <v>1274</v>
      </c>
      <c r="B374" s="5" t="s">
        <v>10</v>
      </c>
      <c r="C374" s="5" t="s">
        <v>5863</v>
      </c>
      <c r="D374" s="7" t="s">
        <v>1208</v>
      </c>
      <c r="E374" s="7" t="s">
        <v>50</v>
      </c>
      <c r="F374" s="7" t="s">
        <v>221</v>
      </c>
      <c r="G374" s="7" t="s">
        <v>236</v>
      </c>
      <c r="H374" s="7" t="s">
        <v>1188</v>
      </c>
      <c r="I374" s="7" t="s">
        <v>1269</v>
      </c>
      <c r="J374" s="7" t="s">
        <v>1189</v>
      </c>
      <c r="K374" s="7" t="s">
        <v>10</v>
      </c>
      <c r="L374" s="7" t="s">
        <v>10</v>
      </c>
      <c r="M374" s="7" t="s">
        <v>10</v>
      </c>
      <c r="N374" s="7" t="s">
        <v>45</v>
      </c>
      <c r="O374" s="80" t="s">
        <v>56</v>
      </c>
      <c r="P374" s="100">
        <v>46059</v>
      </c>
      <c r="Q374" s="100">
        <f t="shared" si="46"/>
        <v>46424</v>
      </c>
      <c r="R374" s="5" t="s">
        <v>1931</v>
      </c>
      <c r="S374" s="5" t="s">
        <v>4682</v>
      </c>
      <c r="T374" s="7">
        <v>1.9099999999999999E-2</v>
      </c>
      <c r="U374" s="7" t="s">
        <v>10</v>
      </c>
      <c r="V374" s="7">
        <f t="shared" si="47"/>
        <v>1.9099999999999999E-2</v>
      </c>
      <c r="W374" s="7">
        <v>0.04</v>
      </c>
      <c r="X374" s="7" t="s">
        <v>1182</v>
      </c>
      <c r="Y374" s="48" t="str">
        <f t="shared" si="48"/>
        <v>APROVADO</v>
      </c>
      <c r="Z374" s="7" t="s">
        <v>56</v>
      </c>
      <c r="AA374" s="5">
        <v>11541362</v>
      </c>
      <c r="AB374" s="5" t="s">
        <v>2515</v>
      </c>
      <c r="AC374" s="5" t="s">
        <v>48</v>
      </c>
      <c r="AD374" s="5" t="s">
        <v>5530</v>
      </c>
      <c r="AE374" s="5" t="str">
        <f t="shared" ca="1" si="45"/>
        <v>NO PRAZO</v>
      </c>
      <c r="AF374" s="53"/>
      <c r="AG374" s="50"/>
      <c r="AH374" s="50"/>
      <c r="AI374" s="50"/>
      <c r="AJ374" s="50"/>
      <c r="AK374" s="50"/>
    </row>
    <row r="375" spans="1:37" ht="30" customHeight="1" x14ac:dyDescent="0.3">
      <c r="A375" s="7" t="s">
        <v>1275</v>
      </c>
      <c r="B375" s="5" t="s">
        <v>10</v>
      </c>
      <c r="C375" s="5" t="s">
        <v>5863</v>
      </c>
      <c r="D375" s="7" t="s">
        <v>1208</v>
      </c>
      <c r="E375" s="7" t="s">
        <v>50</v>
      </c>
      <c r="F375" s="7" t="s">
        <v>221</v>
      </c>
      <c r="G375" s="7" t="s">
        <v>236</v>
      </c>
      <c r="H375" s="7" t="s">
        <v>1188</v>
      </c>
      <c r="I375" s="7" t="s">
        <v>1269</v>
      </c>
      <c r="J375" s="7" t="s">
        <v>1189</v>
      </c>
      <c r="K375" s="7" t="s">
        <v>10</v>
      </c>
      <c r="L375" s="7" t="s">
        <v>10</v>
      </c>
      <c r="M375" s="7" t="s">
        <v>10</v>
      </c>
      <c r="N375" s="7" t="s">
        <v>45</v>
      </c>
      <c r="O375" s="80" t="s">
        <v>56</v>
      </c>
      <c r="P375" s="100">
        <v>46059</v>
      </c>
      <c r="Q375" s="100">
        <f t="shared" si="46"/>
        <v>46424</v>
      </c>
      <c r="R375" s="5" t="s">
        <v>1932</v>
      </c>
      <c r="S375" s="5" t="s">
        <v>4683</v>
      </c>
      <c r="T375" s="7">
        <v>1.8800000000000001E-2</v>
      </c>
      <c r="U375" s="7" t="s">
        <v>10</v>
      </c>
      <c r="V375" s="7">
        <f t="shared" si="47"/>
        <v>1.8800000000000001E-2</v>
      </c>
      <c r="W375" s="7">
        <v>0.04</v>
      </c>
      <c r="X375" s="7" t="s">
        <v>1182</v>
      </c>
      <c r="Y375" s="48" t="str">
        <f t="shared" si="48"/>
        <v>APROVADO</v>
      </c>
      <c r="Z375" s="7" t="s">
        <v>56</v>
      </c>
      <c r="AA375" s="5">
        <v>11541363</v>
      </c>
      <c r="AB375" s="5" t="s">
        <v>2516</v>
      </c>
      <c r="AC375" s="5" t="s">
        <v>48</v>
      </c>
      <c r="AD375" s="5" t="s">
        <v>5530</v>
      </c>
      <c r="AE375" s="5" t="str">
        <f t="shared" ca="1" si="45"/>
        <v>NO PRAZO</v>
      </c>
      <c r="AF375" s="53"/>
      <c r="AG375" s="50"/>
      <c r="AH375" s="50"/>
      <c r="AI375" s="50"/>
      <c r="AJ375" s="50"/>
      <c r="AK375" s="50"/>
    </row>
    <row r="376" spans="1:37" ht="30" customHeight="1" x14ac:dyDescent="0.25">
      <c r="A376" s="7" t="s">
        <v>1276</v>
      </c>
      <c r="B376" s="5" t="s">
        <v>10</v>
      </c>
      <c r="C376" s="5" t="s">
        <v>5863</v>
      </c>
      <c r="D376" s="7" t="s">
        <v>1104</v>
      </c>
      <c r="E376" s="7" t="s">
        <v>50</v>
      </c>
      <c r="F376" s="7" t="s">
        <v>221</v>
      </c>
      <c r="G376" s="7" t="s">
        <v>236</v>
      </c>
      <c r="H376" s="7" t="s">
        <v>1188</v>
      </c>
      <c r="I376" s="7" t="s">
        <v>1269</v>
      </c>
      <c r="J376" s="7" t="s">
        <v>1189</v>
      </c>
      <c r="K376" s="7" t="s">
        <v>10</v>
      </c>
      <c r="L376" s="7" t="s">
        <v>10</v>
      </c>
      <c r="M376" s="7" t="s">
        <v>10</v>
      </c>
      <c r="N376" s="7" t="s">
        <v>45</v>
      </c>
      <c r="O376" s="80" t="s">
        <v>56</v>
      </c>
      <c r="P376" s="100">
        <v>46059</v>
      </c>
      <c r="Q376" s="100">
        <f t="shared" si="46"/>
        <v>46424</v>
      </c>
      <c r="R376" s="5" t="s">
        <v>1919</v>
      </c>
      <c r="S376" s="5" t="s">
        <v>4697</v>
      </c>
      <c r="T376" s="7">
        <v>4.2999999999999997E-2</v>
      </c>
      <c r="U376" s="7" t="s">
        <v>10</v>
      </c>
      <c r="V376" s="7">
        <f t="shared" si="47"/>
        <v>4.2999999999999997E-2</v>
      </c>
      <c r="W376" s="7">
        <v>0.05</v>
      </c>
      <c r="X376" s="7" t="s">
        <v>1182</v>
      </c>
      <c r="Y376" s="48" t="str">
        <f t="shared" si="48"/>
        <v>APROVADO</v>
      </c>
      <c r="Z376" s="7" t="s">
        <v>56</v>
      </c>
      <c r="AA376" s="5">
        <v>11541432</v>
      </c>
      <c r="AB376" s="5" t="s">
        <v>2517</v>
      </c>
      <c r="AC376" s="5" t="s">
        <v>48</v>
      </c>
      <c r="AD376" s="5" t="s">
        <v>5530</v>
      </c>
      <c r="AE376" s="5" t="str">
        <f t="shared" ca="1" si="45"/>
        <v>NO PRAZO</v>
      </c>
      <c r="AF376" s="52"/>
    </row>
    <row r="377" spans="1:37" ht="30" customHeight="1" x14ac:dyDescent="0.25">
      <c r="A377" s="7" t="s">
        <v>1277</v>
      </c>
      <c r="B377" s="5" t="s">
        <v>10</v>
      </c>
      <c r="C377" s="5" t="s">
        <v>5863</v>
      </c>
      <c r="D377" s="7" t="s">
        <v>1208</v>
      </c>
      <c r="E377" s="7" t="s">
        <v>50</v>
      </c>
      <c r="F377" s="7" t="s">
        <v>221</v>
      </c>
      <c r="G377" s="7" t="s">
        <v>307</v>
      </c>
      <c r="H377" s="7" t="s">
        <v>1188</v>
      </c>
      <c r="I377" s="7" t="s">
        <v>1266</v>
      </c>
      <c r="J377" s="7" t="s">
        <v>1189</v>
      </c>
      <c r="K377" s="7" t="s">
        <v>10</v>
      </c>
      <c r="L377" s="7" t="s">
        <v>10</v>
      </c>
      <c r="M377" s="7" t="s">
        <v>10</v>
      </c>
      <c r="N377" s="7" t="s">
        <v>45</v>
      </c>
      <c r="O377" s="80" t="s">
        <v>56</v>
      </c>
      <c r="P377" s="100">
        <v>46061</v>
      </c>
      <c r="Q377" s="100">
        <f t="shared" si="46"/>
        <v>46426</v>
      </c>
      <c r="R377" s="5" t="s">
        <v>1933</v>
      </c>
      <c r="S377" s="5" t="s">
        <v>4725</v>
      </c>
      <c r="T377" s="7">
        <v>3.2000000000000001E-2</v>
      </c>
      <c r="U377" s="7" t="s">
        <v>10</v>
      </c>
      <c r="V377" s="7">
        <f t="shared" si="47"/>
        <v>3.2000000000000001E-2</v>
      </c>
      <c r="W377" s="7">
        <v>0.05</v>
      </c>
      <c r="X377" s="7" t="s">
        <v>1182</v>
      </c>
      <c r="Y377" s="48" t="str">
        <f t="shared" si="48"/>
        <v>APROVADO</v>
      </c>
      <c r="Z377" s="7" t="s">
        <v>56</v>
      </c>
      <c r="AA377" s="5">
        <v>11541366</v>
      </c>
      <c r="AB377" s="5" t="s">
        <v>2518</v>
      </c>
      <c r="AC377" s="5" t="s">
        <v>48</v>
      </c>
      <c r="AD377" s="5" t="s">
        <v>5530</v>
      </c>
      <c r="AE377" s="5" t="str">
        <f t="shared" ref="AE377:AE391" ca="1" si="49">IFERROR(IF(OR(AND(YEAR(Q377)=YEAR(TODAY()),MONTH(Q377)&gt;MONTH(TODAY())),(YEAR(Q377)&gt;YEAR(TODAY()))),$AK$4,IF(AND(YEAR(Q377)=YEAR(TODAY()),MONTH(Q377)=MONTH(TODAY())),$AK$5,IF(Q377="",$AK$6,$AK$7))),"-")</f>
        <v>NO PRAZO</v>
      </c>
      <c r="AF377" s="53"/>
    </row>
    <row r="378" spans="1:37" ht="30" customHeight="1" x14ac:dyDescent="0.25">
      <c r="A378" s="7" t="s">
        <v>1278</v>
      </c>
      <c r="B378" s="5" t="s">
        <v>10</v>
      </c>
      <c r="C378" s="5" t="s">
        <v>5863</v>
      </c>
      <c r="D378" s="7" t="s">
        <v>1208</v>
      </c>
      <c r="E378" s="7" t="s">
        <v>50</v>
      </c>
      <c r="F378" s="7" t="s">
        <v>221</v>
      </c>
      <c r="G378" s="7" t="s">
        <v>307</v>
      </c>
      <c r="H378" s="7" t="s">
        <v>1188</v>
      </c>
      <c r="I378" s="7" t="s">
        <v>1266</v>
      </c>
      <c r="J378" s="7" t="s">
        <v>1189</v>
      </c>
      <c r="K378" s="7" t="s">
        <v>10</v>
      </c>
      <c r="L378" s="7" t="s">
        <v>10</v>
      </c>
      <c r="M378" s="7" t="s">
        <v>10</v>
      </c>
      <c r="N378" s="7" t="s">
        <v>45</v>
      </c>
      <c r="O378" s="80" t="s">
        <v>56</v>
      </c>
      <c r="P378" s="100">
        <v>46061</v>
      </c>
      <c r="Q378" s="100">
        <f t="shared" si="46"/>
        <v>46426</v>
      </c>
      <c r="R378" s="5" t="s">
        <v>1934</v>
      </c>
      <c r="S378" s="5" t="s">
        <v>4726</v>
      </c>
      <c r="T378" s="7">
        <v>2.1999999999999999E-2</v>
      </c>
      <c r="U378" s="7" t="s">
        <v>10</v>
      </c>
      <c r="V378" s="7">
        <f t="shared" si="47"/>
        <v>2.1999999999999999E-2</v>
      </c>
      <c r="W378" s="7">
        <v>0.05</v>
      </c>
      <c r="X378" s="7" t="s">
        <v>1182</v>
      </c>
      <c r="Y378" s="48" t="str">
        <f t="shared" si="48"/>
        <v>APROVADO</v>
      </c>
      <c r="Z378" s="7" t="s">
        <v>56</v>
      </c>
      <c r="AA378" s="5">
        <v>11541367</v>
      </c>
      <c r="AB378" s="5" t="s">
        <v>2519</v>
      </c>
      <c r="AC378" s="5" t="s">
        <v>48</v>
      </c>
      <c r="AD378" s="5" t="s">
        <v>5530</v>
      </c>
      <c r="AE378" s="5" t="str">
        <f t="shared" ca="1" si="49"/>
        <v>NO PRAZO</v>
      </c>
      <c r="AF378" s="53"/>
    </row>
    <row r="379" spans="1:37" ht="30" customHeight="1" x14ac:dyDescent="0.25">
      <c r="A379" s="7" t="s">
        <v>1279</v>
      </c>
      <c r="B379" s="5" t="s">
        <v>10</v>
      </c>
      <c r="C379" s="5" t="s">
        <v>5863</v>
      </c>
      <c r="D379" s="7" t="s">
        <v>1104</v>
      </c>
      <c r="E379" s="7" t="s">
        <v>50</v>
      </c>
      <c r="F379" s="7" t="s">
        <v>221</v>
      </c>
      <c r="G379" s="7" t="s">
        <v>307</v>
      </c>
      <c r="H379" s="7" t="s">
        <v>1188</v>
      </c>
      <c r="I379" s="7" t="s">
        <v>4930</v>
      </c>
      <c r="J379" s="7" t="s">
        <v>1273</v>
      </c>
      <c r="K379" s="7" t="s">
        <v>10</v>
      </c>
      <c r="L379" s="7" t="s">
        <v>10</v>
      </c>
      <c r="M379" s="7" t="s">
        <v>10</v>
      </c>
      <c r="N379" s="7" t="s">
        <v>45</v>
      </c>
      <c r="O379" s="80" t="s">
        <v>56</v>
      </c>
      <c r="P379" s="100">
        <v>46061</v>
      </c>
      <c r="Q379" s="100">
        <f t="shared" si="46"/>
        <v>46426</v>
      </c>
      <c r="R379" s="5" t="s">
        <v>1920</v>
      </c>
      <c r="S379" s="5" t="s">
        <v>4750</v>
      </c>
      <c r="T379" s="7">
        <v>4.1000000000000002E-2</v>
      </c>
      <c r="U379" s="7" t="s">
        <v>10</v>
      </c>
      <c r="V379" s="7">
        <f t="shared" si="47"/>
        <v>4.1000000000000002E-2</v>
      </c>
      <c r="W379" s="7">
        <v>0.05</v>
      </c>
      <c r="X379" s="7" t="s">
        <v>682</v>
      </c>
      <c r="Y379" s="48" t="str">
        <f t="shared" si="48"/>
        <v>APROVADO</v>
      </c>
      <c r="Z379" s="7" t="s">
        <v>56</v>
      </c>
      <c r="AA379" s="5">
        <v>11541433</v>
      </c>
      <c r="AB379" s="5" t="s">
        <v>2520</v>
      </c>
      <c r="AC379" s="5" t="s">
        <v>48</v>
      </c>
      <c r="AD379" s="5" t="s">
        <v>5530</v>
      </c>
      <c r="AE379" s="5" t="str">
        <f t="shared" ca="1" si="49"/>
        <v>NO PRAZO</v>
      </c>
      <c r="AF379" s="52"/>
    </row>
    <row r="380" spans="1:37" ht="30" customHeight="1" x14ac:dyDescent="0.3">
      <c r="A380" s="7" t="s">
        <v>1280</v>
      </c>
      <c r="B380" s="5" t="s">
        <v>10</v>
      </c>
      <c r="C380" s="5" t="s">
        <v>5863</v>
      </c>
      <c r="D380" s="7" t="s">
        <v>1208</v>
      </c>
      <c r="E380" s="7" t="s">
        <v>50</v>
      </c>
      <c r="F380" s="7" t="s">
        <v>221</v>
      </c>
      <c r="G380" s="7" t="s">
        <v>265</v>
      </c>
      <c r="H380" s="7" t="s">
        <v>1188</v>
      </c>
      <c r="I380" s="7" t="s">
        <v>1269</v>
      </c>
      <c r="J380" s="7" t="s">
        <v>1189</v>
      </c>
      <c r="K380" s="7" t="s">
        <v>10</v>
      </c>
      <c r="L380" s="7" t="s">
        <v>10</v>
      </c>
      <c r="M380" s="7" t="s">
        <v>10</v>
      </c>
      <c r="N380" s="7" t="s">
        <v>45</v>
      </c>
      <c r="O380" s="80" t="s">
        <v>56</v>
      </c>
      <c r="P380" s="100">
        <v>46061</v>
      </c>
      <c r="Q380" s="100">
        <f t="shared" si="46"/>
        <v>46426</v>
      </c>
      <c r="R380" s="5" t="s">
        <v>1935</v>
      </c>
      <c r="S380" s="5" t="s">
        <v>4727</v>
      </c>
      <c r="T380" s="7">
        <v>1.06E-2</v>
      </c>
      <c r="U380" s="7" t="s">
        <v>10</v>
      </c>
      <c r="V380" s="7">
        <f t="shared" si="47"/>
        <v>1.06E-2</v>
      </c>
      <c r="W380" s="7">
        <v>0.04</v>
      </c>
      <c r="X380" s="7" t="s">
        <v>1182</v>
      </c>
      <c r="Y380" s="48" t="str">
        <f t="shared" si="48"/>
        <v>APROVADO</v>
      </c>
      <c r="Z380" s="7" t="s">
        <v>56</v>
      </c>
      <c r="AA380" s="5">
        <v>11541370</v>
      </c>
      <c r="AB380" s="5" t="s">
        <v>2521</v>
      </c>
      <c r="AC380" s="5" t="s">
        <v>48</v>
      </c>
      <c r="AD380" s="5" t="s">
        <v>5530</v>
      </c>
      <c r="AE380" s="5" t="str">
        <f t="shared" ca="1" si="49"/>
        <v>NO PRAZO</v>
      </c>
      <c r="AF380" s="53"/>
      <c r="AG380" s="50"/>
      <c r="AH380" s="50"/>
      <c r="AI380" s="50"/>
      <c r="AJ380" s="50"/>
      <c r="AK380" s="50"/>
    </row>
    <row r="381" spans="1:37" ht="30" customHeight="1" x14ac:dyDescent="0.3">
      <c r="A381" s="5" t="s">
        <v>1281</v>
      </c>
      <c r="B381" s="5" t="s">
        <v>10</v>
      </c>
      <c r="C381" s="5" t="s">
        <v>5863</v>
      </c>
      <c r="D381" s="7" t="s">
        <v>1208</v>
      </c>
      <c r="E381" s="7" t="s">
        <v>50</v>
      </c>
      <c r="F381" s="7" t="s">
        <v>221</v>
      </c>
      <c r="G381" s="7" t="s">
        <v>265</v>
      </c>
      <c r="H381" s="7" t="s">
        <v>1188</v>
      </c>
      <c r="I381" s="7" t="s">
        <v>1266</v>
      </c>
      <c r="J381" s="7" t="s">
        <v>1189</v>
      </c>
      <c r="K381" s="7" t="s">
        <v>10</v>
      </c>
      <c r="L381" s="7" t="s">
        <v>10</v>
      </c>
      <c r="M381" s="7" t="s">
        <v>10</v>
      </c>
      <c r="N381" s="7" t="s">
        <v>45</v>
      </c>
      <c r="O381" s="80" t="s">
        <v>56</v>
      </c>
      <c r="P381" s="100">
        <v>46061</v>
      </c>
      <c r="Q381" s="100">
        <f t="shared" si="46"/>
        <v>46426</v>
      </c>
      <c r="R381" s="5" t="s">
        <v>1936</v>
      </c>
      <c r="S381" s="5" t="s">
        <v>4728</v>
      </c>
      <c r="T381" s="7">
        <v>6.6400000000000001E-3</v>
      </c>
      <c r="U381" s="7" t="s">
        <v>10</v>
      </c>
      <c r="V381" s="7">
        <f t="shared" si="47"/>
        <v>6.6400000000000001E-3</v>
      </c>
      <c r="W381" s="7">
        <v>0.05</v>
      </c>
      <c r="X381" s="7" t="s">
        <v>1182</v>
      </c>
      <c r="Y381" s="48" t="str">
        <f t="shared" si="48"/>
        <v>APROVADO</v>
      </c>
      <c r="Z381" s="7" t="s">
        <v>56</v>
      </c>
      <c r="AA381" s="5">
        <v>11541371</v>
      </c>
      <c r="AB381" s="5" t="s">
        <v>2522</v>
      </c>
      <c r="AC381" s="5" t="s">
        <v>48</v>
      </c>
      <c r="AD381" s="5" t="s">
        <v>5530</v>
      </c>
      <c r="AE381" s="5" t="str">
        <f t="shared" ca="1" si="49"/>
        <v>NO PRAZO</v>
      </c>
      <c r="AF381" s="53"/>
      <c r="AG381" s="50"/>
      <c r="AH381" s="50"/>
      <c r="AI381" s="50"/>
      <c r="AJ381" s="50"/>
      <c r="AK381" s="50"/>
    </row>
    <row r="382" spans="1:37" ht="30" customHeight="1" x14ac:dyDescent="0.25">
      <c r="A382" s="5" t="s">
        <v>1282</v>
      </c>
      <c r="B382" s="5" t="s">
        <v>10</v>
      </c>
      <c r="C382" s="5" t="s">
        <v>5863</v>
      </c>
      <c r="D382" s="7" t="s">
        <v>1104</v>
      </c>
      <c r="E382" s="7" t="s">
        <v>50</v>
      </c>
      <c r="F382" s="7" t="s">
        <v>221</v>
      </c>
      <c r="G382" s="7" t="s">
        <v>265</v>
      </c>
      <c r="H382" s="7" t="s">
        <v>1188</v>
      </c>
      <c r="I382" s="7" t="s">
        <v>1190</v>
      </c>
      <c r="J382" s="7" t="s">
        <v>1273</v>
      </c>
      <c r="K382" s="7" t="s">
        <v>10</v>
      </c>
      <c r="L382" s="7" t="s">
        <v>10</v>
      </c>
      <c r="M382" s="7" t="s">
        <v>10</v>
      </c>
      <c r="N382" s="7" t="s">
        <v>45</v>
      </c>
      <c r="O382" s="80" t="s">
        <v>56</v>
      </c>
      <c r="P382" s="100">
        <v>46061</v>
      </c>
      <c r="Q382" s="100">
        <f t="shared" si="46"/>
        <v>46426</v>
      </c>
      <c r="R382" s="5" t="s">
        <v>1921</v>
      </c>
      <c r="S382" s="5" t="s">
        <v>4751</v>
      </c>
      <c r="T382" s="7">
        <v>4.4999999999999998E-2</v>
      </c>
      <c r="U382" s="7" t="s">
        <v>10</v>
      </c>
      <c r="V382" s="7">
        <f t="shared" si="47"/>
        <v>4.4999999999999998E-2</v>
      </c>
      <c r="W382" s="7">
        <v>0.05</v>
      </c>
      <c r="X382" s="7" t="s">
        <v>1107</v>
      </c>
      <c r="Y382" s="48" t="str">
        <f t="shared" si="48"/>
        <v>APROVADO</v>
      </c>
      <c r="Z382" s="7" t="s">
        <v>56</v>
      </c>
      <c r="AA382" s="5">
        <v>11541434</v>
      </c>
      <c r="AB382" s="5" t="s">
        <v>2523</v>
      </c>
      <c r="AC382" s="5" t="s">
        <v>48</v>
      </c>
      <c r="AD382" s="5" t="s">
        <v>5530</v>
      </c>
      <c r="AE382" s="5" t="str">
        <f t="shared" ca="1" si="49"/>
        <v>NO PRAZO</v>
      </c>
      <c r="AF382" s="52"/>
    </row>
    <row r="383" spans="1:37" ht="30" customHeight="1" x14ac:dyDescent="0.25">
      <c r="A383" s="5" t="s">
        <v>1283</v>
      </c>
      <c r="B383" s="5" t="s">
        <v>10</v>
      </c>
      <c r="C383" s="5" t="s">
        <v>5863</v>
      </c>
      <c r="D383" s="7" t="s">
        <v>1208</v>
      </c>
      <c r="E383" s="7" t="s">
        <v>50</v>
      </c>
      <c r="F383" s="7" t="s">
        <v>221</v>
      </c>
      <c r="G383" s="7" t="s">
        <v>298</v>
      </c>
      <c r="H383" s="7" t="s">
        <v>1188</v>
      </c>
      <c r="I383" s="7" t="s">
        <v>1185</v>
      </c>
      <c r="J383" s="7" t="s">
        <v>1189</v>
      </c>
      <c r="K383" s="7" t="s">
        <v>10</v>
      </c>
      <c r="L383" s="7" t="s">
        <v>10</v>
      </c>
      <c r="M383" s="7" t="s">
        <v>10</v>
      </c>
      <c r="N383" s="7" t="s">
        <v>45</v>
      </c>
      <c r="O383" s="80" t="s">
        <v>56</v>
      </c>
      <c r="P383" s="100">
        <v>46059</v>
      </c>
      <c r="Q383" s="100">
        <f t="shared" si="46"/>
        <v>46424</v>
      </c>
      <c r="R383" s="5" t="s">
        <v>1937</v>
      </c>
      <c r="S383" s="5" t="s">
        <v>4677</v>
      </c>
      <c r="T383" s="7">
        <v>3.1E-2</v>
      </c>
      <c r="U383" s="7" t="s">
        <v>10</v>
      </c>
      <c r="V383" s="7">
        <f t="shared" si="47"/>
        <v>3.1E-2</v>
      </c>
      <c r="W383" s="7">
        <v>0.06</v>
      </c>
      <c r="X383" s="7" t="s">
        <v>1182</v>
      </c>
      <c r="Y383" s="48" t="str">
        <f t="shared" si="48"/>
        <v>APROVADO</v>
      </c>
      <c r="Z383" s="7" t="s">
        <v>56</v>
      </c>
      <c r="AA383" s="5">
        <v>11595843</v>
      </c>
      <c r="AB383" s="5" t="s">
        <v>2524</v>
      </c>
      <c r="AC383" s="5" t="s">
        <v>48</v>
      </c>
      <c r="AD383" s="5" t="s">
        <v>5530</v>
      </c>
      <c r="AE383" s="5" t="str">
        <f t="shared" ca="1" si="49"/>
        <v>NO PRAZO</v>
      </c>
      <c r="AF383" s="53"/>
    </row>
    <row r="384" spans="1:37" ht="30" customHeight="1" x14ac:dyDescent="0.25">
      <c r="A384" s="5" t="s">
        <v>1284</v>
      </c>
      <c r="B384" s="5" t="s">
        <v>10</v>
      </c>
      <c r="C384" s="5" t="s">
        <v>5863</v>
      </c>
      <c r="D384" s="7" t="s">
        <v>1208</v>
      </c>
      <c r="E384" s="7" t="s">
        <v>50</v>
      </c>
      <c r="F384" s="7" t="s">
        <v>221</v>
      </c>
      <c r="G384" s="7" t="s">
        <v>298</v>
      </c>
      <c r="H384" s="7" t="s">
        <v>1188</v>
      </c>
      <c r="I384" s="7" t="s">
        <v>1185</v>
      </c>
      <c r="J384" s="7" t="s">
        <v>1189</v>
      </c>
      <c r="K384" s="7" t="s">
        <v>10</v>
      </c>
      <c r="L384" s="7" t="s">
        <v>10</v>
      </c>
      <c r="M384" s="7" t="s">
        <v>10</v>
      </c>
      <c r="N384" s="7" t="s">
        <v>45</v>
      </c>
      <c r="O384" s="80" t="s">
        <v>56</v>
      </c>
      <c r="P384" s="100">
        <v>46059</v>
      </c>
      <c r="Q384" s="100">
        <f t="shared" si="46"/>
        <v>46424</v>
      </c>
      <c r="R384" s="5" t="s">
        <v>1938</v>
      </c>
      <c r="S384" s="5" t="s">
        <v>4678</v>
      </c>
      <c r="T384" s="7">
        <v>3.1099999999999999E-2</v>
      </c>
      <c r="U384" s="7" t="s">
        <v>10</v>
      </c>
      <c r="V384" s="7">
        <f t="shared" si="47"/>
        <v>3.1099999999999999E-2</v>
      </c>
      <c r="W384" s="7">
        <v>0.06</v>
      </c>
      <c r="X384" s="7" t="s">
        <v>1182</v>
      </c>
      <c r="Y384" s="48" t="str">
        <f t="shared" si="48"/>
        <v>APROVADO</v>
      </c>
      <c r="Z384" s="7" t="s">
        <v>56</v>
      </c>
      <c r="AA384" s="5">
        <v>11596203</v>
      </c>
      <c r="AB384" s="5" t="s">
        <v>2525</v>
      </c>
      <c r="AC384" s="5" t="s">
        <v>48</v>
      </c>
      <c r="AD384" s="5" t="s">
        <v>5530</v>
      </c>
      <c r="AE384" s="5" t="str">
        <f t="shared" ca="1" si="49"/>
        <v>NO PRAZO</v>
      </c>
      <c r="AF384" s="53"/>
    </row>
    <row r="385" spans="1:37" ht="30" customHeight="1" x14ac:dyDescent="0.25">
      <c r="A385" s="5" t="s">
        <v>1285</v>
      </c>
      <c r="B385" s="5" t="s">
        <v>10</v>
      </c>
      <c r="C385" s="5" t="s">
        <v>5863</v>
      </c>
      <c r="D385" s="7" t="s">
        <v>1104</v>
      </c>
      <c r="E385" s="7" t="s">
        <v>50</v>
      </c>
      <c r="F385" s="7" t="s">
        <v>221</v>
      </c>
      <c r="G385" s="7" t="s">
        <v>298</v>
      </c>
      <c r="H385" s="7" t="s">
        <v>1188</v>
      </c>
      <c r="I385" s="7" t="s">
        <v>1185</v>
      </c>
      <c r="J385" s="7" t="s">
        <v>1189</v>
      </c>
      <c r="K385" s="7" t="s">
        <v>10</v>
      </c>
      <c r="L385" s="7" t="s">
        <v>10</v>
      </c>
      <c r="M385" s="7" t="s">
        <v>10</v>
      </c>
      <c r="N385" s="7" t="s">
        <v>45</v>
      </c>
      <c r="O385" s="80" t="s">
        <v>56</v>
      </c>
      <c r="P385" s="100">
        <v>46059</v>
      </c>
      <c r="Q385" s="100">
        <f t="shared" si="46"/>
        <v>46424</v>
      </c>
      <c r="R385" s="5" t="s">
        <v>1922</v>
      </c>
      <c r="S385" s="5" t="s">
        <v>4698</v>
      </c>
      <c r="T385" s="7">
        <v>5.1999999999999998E-2</v>
      </c>
      <c r="U385" s="7" t="s">
        <v>10</v>
      </c>
      <c r="V385" s="7">
        <f t="shared" si="47"/>
        <v>5.1999999999999998E-2</v>
      </c>
      <c r="W385" s="7">
        <v>0.06</v>
      </c>
      <c r="X385" s="7" t="s">
        <v>1182</v>
      </c>
      <c r="Y385" s="48" t="str">
        <f t="shared" si="48"/>
        <v>APROVADO</v>
      </c>
      <c r="Z385" s="7" t="s">
        <v>56</v>
      </c>
      <c r="AA385" s="5">
        <v>11596933</v>
      </c>
      <c r="AB385" s="5" t="s">
        <v>2526</v>
      </c>
      <c r="AC385" s="5" t="s">
        <v>48</v>
      </c>
      <c r="AD385" s="5" t="s">
        <v>5530</v>
      </c>
      <c r="AE385" s="5" t="str">
        <f t="shared" ca="1" si="49"/>
        <v>NO PRAZO</v>
      </c>
      <c r="AF385" s="52"/>
    </row>
    <row r="386" spans="1:37" ht="30" customHeight="1" x14ac:dyDescent="0.25">
      <c r="A386" s="5" t="s">
        <v>1286</v>
      </c>
      <c r="B386" s="5" t="s">
        <v>10</v>
      </c>
      <c r="C386" s="5" t="s">
        <v>5863</v>
      </c>
      <c r="D386" s="7" t="s">
        <v>1208</v>
      </c>
      <c r="E386" s="7" t="s">
        <v>50</v>
      </c>
      <c r="F386" s="7" t="s">
        <v>221</v>
      </c>
      <c r="G386" s="7" t="s">
        <v>267</v>
      </c>
      <c r="H386" s="7" t="s">
        <v>1188</v>
      </c>
      <c r="I386" s="7" t="s">
        <v>1185</v>
      </c>
      <c r="J386" s="7" t="s">
        <v>1189</v>
      </c>
      <c r="K386" s="5" t="s">
        <v>10</v>
      </c>
      <c r="L386" s="5" t="s">
        <v>10</v>
      </c>
      <c r="M386" s="5" t="s">
        <v>10</v>
      </c>
      <c r="N386" s="5" t="s">
        <v>45</v>
      </c>
      <c r="O386" s="80" t="s">
        <v>56</v>
      </c>
      <c r="P386" s="101">
        <v>46061</v>
      </c>
      <c r="Q386" s="100">
        <f t="shared" si="46"/>
        <v>46426</v>
      </c>
      <c r="R386" s="5" t="s">
        <v>1939</v>
      </c>
      <c r="S386" s="5" t="s">
        <v>4729</v>
      </c>
      <c r="T386" s="7">
        <v>4.62E-3</v>
      </c>
      <c r="U386" s="7" t="s">
        <v>10</v>
      </c>
      <c r="V386" s="7">
        <f t="shared" si="47"/>
        <v>4.62E-3</v>
      </c>
      <c r="W386" s="7">
        <v>0.06</v>
      </c>
      <c r="X386" s="7" t="s">
        <v>1182</v>
      </c>
      <c r="Y386" s="48" t="str">
        <f t="shared" si="48"/>
        <v>APROVADO</v>
      </c>
      <c r="Z386" s="7" t="s">
        <v>56</v>
      </c>
      <c r="AA386" s="5">
        <v>11596204</v>
      </c>
      <c r="AB386" s="5" t="s">
        <v>2527</v>
      </c>
      <c r="AC386" s="5" t="s">
        <v>48</v>
      </c>
      <c r="AD386" s="5" t="s">
        <v>5530</v>
      </c>
      <c r="AE386" s="5" t="str">
        <f t="shared" ca="1" si="49"/>
        <v>NO PRAZO</v>
      </c>
      <c r="AF386" s="53"/>
    </row>
    <row r="387" spans="1:37" ht="30" customHeight="1" x14ac:dyDescent="0.25">
      <c r="A387" s="5" t="s">
        <v>1287</v>
      </c>
      <c r="B387" s="5" t="s">
        <v>10</v>
      </c>
      <c r="C387" s="5" t="s">
        <v>5863</v>
      </c>
      <c r="D387" s="7" t="s">
        <v>1208</v>
      </c>
      <c r="E387" s="7" t="s">
        <v>50</v>
      </c>
      <c r="F387" s="7" t="s">
        <v>221</v>
      </c>
      <c r="G387" s="7" t="s">
        <v>267</v>
      </c>
      <c r="H387" s="7" t="s">
        <v>1188</v>
      </c>
      <c r="I387" s="7" t="s">
        <v>1185</v>
      </c>
      <c r="J387" s="7" t="s">
        <v>1189</v>
      </c>
      <c r="K387" s="5" t="s">
        <v>10</v>
      </c>
      <c r="L387" s="5" t="s">
        <v>10</v>
      </c>
      <c r="M387" s="5" t="s">
        <v>10</v>
      </c>
      <c r="N387" s="5" t="s">
        <v>45</v>
      </c>
      <c r="O387" s="80" t="s">
        <v>56</v>
      </c>
      <c r="P387" s="101">
        <v>46061</v>
      </c>
      <c r="Q387" s="100">
        <f t="shared" si="46"/>
        <v>46426</v>
      </c>
      <c r="R387" s="5" t="s">
        <v>1940</v>
      </c>
      <c r="S387" s="5" t="s">
        <v>4732</v>
      </c>
      <c r="T387" s="7">
        <v>3.6800000000000001E-3</v>
      </c>
      <c r="U387" s="7" t="s">
        <v>10</v>
      </c>
      <c r="V387" s="7">
        <f t="shared" si="47"/>
        <v>3.6800000000000001E-3</v>
      </c>
      <c r="W387" s="7">
        <v>0.06</v>
      </c>
      <c r="X387" s="7" t="s">
        <v>1182</v>
      </c>
      <c r="Y387" s="48" t="str">
        <f t="shared" si="48"/>
        <v>APROVADO</v>
      </c>
      <c r="Z387" s="7" t="s">
        <v>56</v>
      </c>
      <c r="AA387" s="5">
        <v>11596205</v>
      </c>
      <c r="AB387" s="5" t="s">
        <v>2528</v>
      </c>
      <c r="AC387" s="5" t="s">
        <v>48</v>
      </c>
      <c r="AD387" s="5" t="s">
        <v>5530</v>
      </c>
      <c r="AE387" s="5" t="str">
        <f t="shared" ca="1" si="49"/>
        <v>NO PRAZO</v>
      </c>
      <c r="AF387" s="53"/>
    </row>
    <row r="388" spans="1:37" ht="30" customHeight="1" x14ac:dyDescent="0.25">
      <c r="A388" s="5" t="s">
        <v>1288</v>
      </c>
      <c r="B388" s="5" t="s">
        <v>10</v>
      </c>
      <c r="C388" s="5" t="s">
        <v>5863</v>
      </c>
      <c r="D388" s="7" t="s">
        <v>1104</v>
      </c>
      <c r="E388" s="7" t="s">
        <v>50</v>
      </c>
      <c r="F388" s="7" t="s">
        <v>221</v>
      </c>
      <c r="G388" s="7" t="s">
        <v>267</v>
      </c>
      <c r="H388" s="7" t="s">
        <v>1188</v>
      </c>
      <c r="I388" s="7" t="s">
        <v>1185</v>
      </c>
      <c r="J388" s="7" t="s">
        <v>1189</v>
      </c>
      <c r="K388" s="5" t="s">
        <v>10</v>
      </c>
      <c r="L388" s="5" t="s">
        <v>10</v>
      </c>
      <c r="M388" s="5" t="s">
        <v>10</v>
      </c>
      <c r="N388" s="5" t="s">
        <v>45</v>
      </c>
      <c r="O388" s="80" t="s">
        <v>56</v>
      </c>
      <c r="P388" s="101">
        <v>46061</v>
      </c>
      <c r="Q388" s="100">
        <f t="shared" si="46"/>
        <v>46426</v>
      </c>
      <c r="R388" s="5" t="s">
        <v>1923</v>
      </c>
      <c r="S388" s="5" t="s">
        <v>4752</v>
      </c>
      <c r="T388" s="7">
        <v>5.8999999999999997E-2</v>
      </c>
      <c r="U388" s="7" t="s">
        <v>10</v>
      </c>
      <c r="V388" s="7">
        <f t="shared" si="47"/>
        <v>5.8999999999999997E-2</v>
      </c>
      <c r="W388" s="7">
        <v>0.06</v>
      </c>
      <c r="X388" s="7" t="s">
        <v>1182</v>
      </c>
      <c r="Y388" s="48" t="str">
        <f t="shared" si="48"/>
        <v>APROVADO</v>
      </c>
      <c r="Z388" s="7" t="s">
        <v>56</v>
      </c>
      <c r="AA388" s="5">
        <v>11596934</v>
      </c>
      <c r="AB388" s="5" t="s">
        <v>2529</v>
      </c>
      <c r="AC388" s="5" t="s">
        <v>48</v>
      </c>
      <c r="AD388" s="5" t="s">
        <v>5530</v>
      </c>
      <c r="AE388" s="5" t="str">
        <f t="shared" ca="1" si="49"/>
        <v>NO PRAZO</v>
      </c>
      <c r="AF388" s="52"/>
    </row>
    <row r="389" spans="1:37" ht="30" customHeight="1" x14ac:dyDescent="0.25">
      <c r="A389" s="5" t="s">
        <v>2491</v>
      </c>
      <c r="B389" s="5" t="s">
        <v>10</v>
      </c>
      <c r="C389" s="5" t="s">
        <v>5863</v>
      </c>
      <c r="D389" s="7" t="s">
        <v>1208</v>
      </c>
      <c r="E389" s="7" t="s">
        <v>68</v>
      </c>
      <c r="F389" s="7" t="s">
        <v>86</v>
      </c>
      <c r="G389" s="7" t="s">
        <v>5648</v>
      </c>
      <c r="H389" s="7" t="s">
        <v>10</v>
      </c>
      <c r="I389" s="7" t="s">
        <v>2490</v>
      </c>
      <c r="J389" s="7" t="s">
        <v>2490</v>
      </c>
      <c r="K389" s="5" t="s">
        <v>10</v>
      </c>
      <c r="L389" s="5" t="s">
        <v>10</v>
      </c>
      <c r="M389" s="5" t="s">
        <v>10</v>
      </c>
      <c r="N389" s="5" t="s">
        <v>45</v>
      </c>
      <c r="O389" s="46" t="s">
        <v>56</v>
      </c>
      <c r="P389" s="101">
        <v>46186</v>
      </c>
      <c r="Q389" s="100">
        <f t="shared" si="46"/>
        <v>46551</v>
      </c>
      <c r="R389" s="7" t="s">
        <v>3020</v>
      </c>
      <c r="S389" s="7" t="s">
        <v>5645</v>
      </c>
      <c r="T389" s="7">
        <v>5.8000000000000003E-2</v>
      </c>
      <c r="U389" s="7" t="s">
        <v>10</v>
      </c>
      <c r="V389" s="7">
        <f t="shared" si="47"/>
        <v>5.8000000000000003E-2</v>
      </c>
      <c r="W389" s="7">
        <v>0.1</v>
      </c>
      <c r="X389" s="7" t="s">
        <v>1182</v>
      </c>
      <c r="Y389" s="48" t="str">
        <f t="shared" si="48"/>
        <v>APROVADO</v>
      </c>
      <c r="Z389" s="7" t="s">
        <v>56</v>
      </c>
      <c r="AA389" s="5">
        <v>11606716</v>
      </c>
      <c r="AB389" s="5" t="s">
        <v>4188</v>
      </c>
      <c r="AC389" s="5" t="s">
        <v>48</v>
      </c>
      <c r="AD389" s="5" t="s">
        <v>5632</v>
      </c>
      <c r="AE389" s="5" t="str">
        <f t="shared" ca="1" si="49"/>
        <v>NO PRAZO</v>
      </c>
      <c r="AF389" s="98"/>
    </row>
    <row r="390" spans="1:37" ht="30" customHeight="1" x14ac:dyDescent="0.25">
      <c r="A390" s="5" t="s">
        <v>1452</v>
      </c>
      <c r="B390" s="5" t="s">
        <v>10</v>
      </c>
      <c r="C390" s="5" t="s">
        <v>5863</v>
      </c>
      <c r="D390" s="7" t="s">
        <v>1104</v>
      </c>
      <c r="E390" s="7" t="s">
        <v>68</v>
      </c>
      <c r="F390" s="7" t="s">
        <v>69</v>
      </c>
      <c r="G390" s="7" t="s">
        <v>80</v>
      </c>
      <c r="H390" s="7" t="s">
        <v>1453</v>
      </c>
      <c r="I390" s="7" t="s">
        <v>5689</v>
      </c>
      <c r="J390" s="7" t="s">
        <v>5690</v>
      </c>
      <c r="K390" s="5" t="s">
        <v>10</v>
      </c>
      <c r="L390" s="5" t="s">
        <v>45</v>
      </c>
      <c r="M390" s="5" t="s">
        <v>10</v>
      </c>
      <c r="N390" s="5" t="s">
        <v>10</v>
      </c>
      <c r="O390" s="86" t="s">
        <v>46</v>
      </c>
      <c r="P390" s="101">
        <v>46169</v>
      </c>
      <c r="Q390" s="100">
        <f t="shared" si="46"/>
        <v>46534</v>
      </c>
      <c r="R390" s="5" t="s">
        <v>3038</v>
      </c>
      <c r="S390" s="5" t="s">
        <v>5591</v>
      </c>
      <c r="T390" s="7">
        <v>0.38</v>
      </c>
      <c r="U390" s="7" t="s">
        <v>10</v>
      </c>
      <c r="V390" s="7">
        <f t="shared" si="47"/>
        <v>0.38</v>
      </c>
      <c r="W390" s="7">
        <v>0.5</v>
      </c>
      <c r="X390" s="7" t="s">
        <v>1182</v>
      </c>
      <c r="Y390" s="48" t="str">
        <f t="shared" si="48"/>
        <v>APROVADO</v>
      </c>
      <c r="Z390" s="7" t="s">
        <v>56</v>
      </c>
      <c r="AA390" s="5">
        <v>11604683</v>
      </c>
      <c r="AB390" s="5" t="s">
        <v>3011</v>
      </c>
      <c r="AC390" s="5" t="s">
        <v>48</v>
      </c>
      <c r="AD390" s="5" t="s">
        <v>5530</v>
      </c>
      <c r="AE390" s="5" t="str">
        <f t="shared" ca="1" si="49"/>
        <v>NO PRAZO</v>
      </c>
      <c r="AF390" s="49"/>
    </row>
    <row r="391" spans="1:37" ht="30" customHeight="1" x14ac:dyDescent="0.25">
      <c r="A391" s="5" t="s">
        <v>1289</v>
      </c>
      <c r="B391" s="5" t="s">
        <v>10</v>
      </c>
      <c r="C391" s="5" t="s">
        <v>5864</v>
      </c>
      <c r="D391" s="7" t="s">
        <v>1104</v>
      </c>
      <c r="E391" s="7" t="s">
        <v>256</v>
      </c>
      <c r="F391" s="7" t="s">
        <v>317</v>
      </c>
      <c r="G391" s="34" t="s">
        <v>1105</v>
      </c>
      <c r="H391" s="7" t="s">
        <v>1290</v>
      </c>
      <c r="I391" s="7" t="s">
        <v>1291</v>
      </c>
      <c r="J391" s="7" t="s">
        <v>1291</v>
      </c>
      <c r="K391" s="5" t="s">
        <v>10</v>
      </c>
      <c r="L391" s="5" t="s">
        <v>10</v>
      </c>
      <c r="M391" s="5" t="s">
        <v>10</v>
      </c>
      <c r="N391" s="5" t="s">
        <v>45</v>
      </c>
      <c r="O391" s="80" t="s">
        <v>56</v>
      </c>
      <c r="P391" s="101">
        <v>46028</v>
      </c>
      <c r="Q391" s="100">
        <f t="shared" si="46"/>
        <v>46393</v>
      </c>
      <c r="R391" s="5" t="s">
        <v>1898</v>
      </c>
      <c r="S391" s="5" t="s">
        <v>4426</v>
      </c>
      <c r="T391" s="7">
        <v>9.6000000000000002E-2</v>
      </c>
      <c r="U391" s="7" t="s">
        <v>10</v>
      </c>
      <c r="V391" s="7">
        <f t="shared" si="47"/>
        <v>9.6000000000000002E-2</v>
      </c>
      <c r="W391" s="7">
        <v>0.15</v>
      </c>
      <c r="X391" s="7" t="s">
        <v>1182</v>
      </c>
      <c r="Y391" s="48" t="str">
        <f t="shared" si="48"/>
        <v>APROVADO</v>
      </c>
      <c r="Z391" s="7" t="s">
        <v>56</v>
      </c>
      <c r="AA391" s="5">
        <v>11599724</v>
      </c>
      <c r="AB391" s="5" t="s">
        <v>3932</v>
      </c>
      <c r="AC391" s="5" t="s">
        <v>48</v>
      </c>
      <c r="AD391" s="5" t="s">
        <v>5530</v>
      </c>
      <c r="AE391" s="5" t="str">
        <f t="shared" ca="1" si="49"/>
        <v>NO PRAZO</v>
      </c>
      <c r="AF391" s="49"/>
    </row>
    <row r="392" spans="1:37" ht="30" customHeight="1" x14ac:dyDescent="0.25">
      <c r="A392" s="5" t="s">
        <v>2172</v>
      </c>
      <c r="B392" s="131" t="s">
        <v>10</v>
      </c>
      <c r="C392" s="5" t="s">
        <v>5863</v>
      </c>
      <c r="D392" s="132" t="s">
        <v>1104</v>
      </c>
      <c r="E392" s="7" t="s">
        <v>50</v>
      </c>
      <c r="F392" s="7" t="s">
        <v>2173</v>
      </c>
      <c r="G392" s="132" t="s">
        <v>2176</v>
      </c>
      <c r="H392" s="132" t="s">
        <v>1174</v>
      </c>
      <c r="I392" s="132" t="s">
        <v>2222</v>
      </c>
      <c r="J392" s="132" t="s">
        <v>2220</v>
      </c>
      <c r="K392" s="131" t="s">
        <v>10</v>
      </c>
      <c r="L392" s="131" t="s">
        <v>45</v>
      </c>
      <c r="M392" s="131" t="s">
        <v>10</v>
      </c>
      <c r="N392" s="131" t="s">
        <v>10</v>
      </c>
      <c r="O392" s="138" t="s">
        <v>56</v>
      </c>
      <c r="P392" s="101">
        <v>45774</v>
      </c>
      <c r="Q392" s="100">
        <f t="shared" si="46"/>
        <v>46139</v>
      </c>
      <c r="R392" s="5" t="s">
        <v>273</v>
      </c>
      <c r="S392" s="5" t="s">
        <v>3056</v>
      </c>
      <c r="T392" s="7">
        <v>9.2999999999999999E-2</v>
      </c>
      <c r="U392" s="7"/>
      <c r="V392" s="7">
        <f t="shared" si="47"/>
        <v>9.2999999999999999E-2</v>
      </c>
      <c r="W392" s="5">
        <v>0.1</v>
      </c>
      <c r="X392" s="7" t="s">
        <v>1107</v>
      </c>
      <c r="Y392" s="48" t="str">
        <f t="shared" si="48"/>
        <v>APROVADO</v>
      </c>
      <c r="Z392" s="7" t="s">
        <v>56</v>
      </c>
      <c r="AA392" s="5">
        <v>11606743</v>
      </c>
      <c r="AB392" s="5" t="s">
        <v>4218</v>
      </c>
      <c r="AC392" s="5" t="s">
        <v>48</v>
      </c>
      <c r="AD392" s="5" t="s">
        <v>5530</v>
      </c>
      <c r="AE392" s="5" t="s">
        <v>3062</v>
      </c>
      <c r="AF392" s="49" t="s">
        <v>5910</v>
      </c>
    </row>
    <row r="393" spans="1:37" ht="30" customHeight="1" x14ac:dyDescent="0.25">
      <c r="A393" s="5" t="s">
        <v>2171</v>
      </c>
      <c r="B393" s="131" t="s">
        <v>10</v>
      </c>
      <c r="C393" s="5" t="s">
        <v>5863</v>
      </c>
      <c r="D393" s="132" t="s">
        <v>1104</v>
      </c>
      <c r="E393" s="7" t="s">
        <v>50</v>
      </c>
      <c r="F393" s="7" t="s">
        <v>2173</v>
      </c>
      <c r="G393" s="132" t="s">
        <v>2175</v>
      </c>
      <c r="H393" s="132" t="s">
        <v>1174</v>
      </c>
      <c r="I393" s="132" t="s">
        <v>1291</v>
      </c>
      <c r="J393" s="132" t="s">
        <v>1189</v>
      </c>
      <c r="K393" s="131" t="s">
        <v>10</v>
      </c>
      <c r="L393" s="131" t="s">
        <v>45</v>
      </c>
      <c r="M393" s="131" t="s">
        <v>10</v>
      </c>
      <c r="N393" s="131" t="s">
        <v>10</v>
      </c>
      <c r="O393" s="138" t="s">
        <v>56</v>
      </c>
      <c r="P393" s="101">
        <v>46131</v>
      </c>
      <c r="Q393" s="100">
        <f t="shared" si="46"/>
        <v>46496</v>
      </c>
      <c r="R393" s="5" t="s">
        <v>2221</v>
      </c>
      <c r="S393" s="5" t="s">
        <v>5358</v>
      </c>
      <c r="T393" s="7">
        <v>0.104</v>
      </c>
      <c r="U393" s="7"/>
      <c r="V393" s="7">
        <f t="shared" si="47"/>
        <v>0.104</v>
      </c>
      <c r="W393" s="5">
        <v>0.2</v>
      </c>
      <c r="X393" s="7" t="s">
        <v>1182</v>
      </c>
      <c r="Y393" s="48" t="str">
        <f t="shared" si="48"/>
        <v>APROVADO</v>
      </c>
      <c r="Z393" s="7" t="s">
        <v>56</v>
      </c>
      <c r="AA393" s="5">
        <v>11606742</v>
      </c>
      <c r="AB393" s="5" t="s">
        <v>4217</v>
      </c>
      <c r="AC393" s="5" t="s">
        <v>48</v>
      </c>
      <c r="AD393" s="5" t="s">
        <v>5530</v>
      </c>
      <c r="AE393" s="5" t="str">
        <f t="shared" ref="AE393:AE456" ca="1" si="50">IFERROR(IF(OR(AND(YEAR(Q393)=YEAR(TODAY()),MONTH(Q393)&gt;MONTH(TODAY())),(YEAR(Q393)&gt;YEAR(TODAY()))),$AK$4,IF(AND(YEAR(Q393)=YEAR(TODAY()),MONTH(Q393)=MONTH(TODAY())),$AK$5,IF(Q393="",$AK$6,$AK$7))),"-")</f>
        <v>NO PRAZO</v>
      </c>
      <c r="AF393" s="49"/>
    </row>
    <row r="394" spans="1:37" ht="30" customHeight="1" x14ac:dyDescent="0.25">
      <c r="A394" s="5" t="s">
        <v>1292</v>
      </c>
      <c r="B394" s="5" t="s">
        <v>10</v>
      </c>
      <c r="C394" s="5" t="s">
        <v>5863</v>
      </c>
      <c r="D394" s="7" t="s">
        <v>1104</v>
      </c>
      <c r="E394" s="7" t="s">
        <v>311</v>
      </c>
      <c r="F394" s="7" t="s">
        <v>642</v>
      </c>
      <c r="G394" s="7" t="s">
        <v>1078</v>
      </c>
      <c r="H394" s="7" t="s">
        <v>1174</v>
      </c>
      <c r="I394" s="7" t="s">
        <v>2189</v>
      </c>
      <c r="J394" s="7" t="s">
        <v>1293</v>
      </c>
      <c r="K394" s="5" t="s">
        <v>10</v>
      </c>
      <c r="L394" s="5" t="s">
        <v>10</v>
      </c>
      <c r="M394" s="5" t="s">
        <v>10</v>
      </c>
      <c r="N394" s="5" t="s">
        <v>45</v>
      </c>
      <c r="O394" s="80" t="s">
        <v>56</v>
      </c>
      <c r="P394" s="101">
        <v>46128</v>
      </c>
      <c r="Q394" s="100">
        <f t="shared" si="46"/>
        <v>46493</v>
      </c>
      <c r="R394" s="5" t="s">
        <v>2104</v>
      </c>
      <c r="S394" s="5" t="s">
        <v>5270</v>
      </c>
      <c r="T394" s="7">
        <v>0.12</v>
      </c>
      <c r="U394" s="7" t="s">
        <v>10</v>
      </c>
      <c r="V394" s="7">
        <f t="shared" si="47"/>
        <v>0.12</v>
      </c>
      <c r="W394" s="7">
        <v>0.25</v>
      </c>
      <c r="X394" s="7" t="s">
        <v>1107</v>
      </c>
      <c r="Y394" s="48" t="str">
        <f t="shared" si="48"/>
        <v>APROVADO</v>
      </c>
      <c r="Z394" s="7" t="s">
        <v>56</v>
      </c>
      <c r="AA394" s="5">
        <v>11541395</v>
      </c>
      <c r="AB394" s="5" t="s">
        <v>2821</v>
      </c>
      <c r="AC394" s="5" t="s">
        <v>48</v>
      </c>
      <c r="AD394" s="5" t="s">
        <v>5530</v>
      </c>
      <c r="AE394" s="5" t="str">
        <f t="shared" ca="1" si="50"/>
        <v>NO PRAZO</v>
      </c>
      <c r="AF394" s="51"/>
    </row>
    <row r="395" spans="1:37" ht="30" customHeight="1" x14ac:dyDescent="0.25">
      <c r="A395" s="5" t="s">
        <v>1294</v>
      </c>
      <c r="B395" s="5" t="s">
        <v>10</v>
      </c>
      <c r="C395" s="5" t="s">
        <v>5863</v>
      </c>
      <c r="D395" s="7" t="s">
        <v>1208</v>
      </c>
      <c r="E395" s="7" t="s">
        <v>311</v>
      </c>
      <c r="F395" s="7" t="s">
        <v>642</v>
      </c>
      <c r="G395" s="7" t="s">
        <v>1078</v>
      </c>
      <c r="H395" s="7" t="s">
        <v>1295</v>
      </c>
      <c r="I395" s="7" t="s">
        <v>1296</v>
      </c>
      <c r="J395" s="7" t="s">
        <v>1296</v>
      </c>
      <c r="K395" s="5" t="s">
        <v>10</v>
      </c>
      <c r="L395" s="5" t="s">
        <v>10</v>
      </c>
      <c r="M395" s="5" t="s">
        <v>10</v>
      </c>
      <c r="N395" s="5" t="s">
        <v>45</v>
      </c>
      <c r="O395" s="80" t="s">
        <v>56</v>
      </c>
      <c r="P395" s="101">
        <v>46129</v>
      </c>
      <c r="Q395" s="100">
        <f t="shared" si="46"/>
        <v>46494</v>
      </c>
      <c r="R395" s="5" t="s">
        <v>2105</v>
      </c>
      <c r="S395" s="5" t="s">
        <v>5366</v>
      </c>
      <c r="T395" s="7">
        <v>5.8000000000000003E-2</v>
      </c>
      <c r="U395" s="7" t="s">
        <v>10</v>
      </c>
      <c r="V395" s="7">
        <f t="shared" si="47"/>
        <v>5.8000000000000003E-2</v>
      </c>
      <c r="W395" s="5">
        <v>0.16</v>
      </c>
      <c r="X395" s="5" t="s">
        <v>1182</v>
      </c>
      <c r="Y395" s="48" t="str">
        <f t="shared" si="48"/>
        <v>APROVADO</v>
      </c>
      <c r="Z395" s="7" t="s">
        <v>56</v>
      </c>
      <c r="AA395" s="5">
        <v>11606701</v>
      </c>
      <c r="AB395" s="5" t="s">
        <v>4150</v>
      </c>
      <c r="AC395" s="5" t="s">
        <v>48</v>
      </c>
      <c r="AD395" s="5" t="s">
        <v>5530</v>
      </c>
      <c r="AE395" s="5" t="str">
        <f t="shared" ca="1" si="50"/>
        <v>NO PRAZO</v>
      </c>
      <c r="AF395" s="53"/>
    </row>
    <row r="396" spans="1:37" ht="30" customHeight="1" x14ac:dyDescent="0.3">
      <c r="A396" s="5" t="s">
        <v>2170</v>
      </c>
      <c r="B396" s="5" t="s">
        <v>10</v>
      </c>
      <c r="C396" s="5" t="s">
        <v>5863</v>
      </c>
      <c r="D396" s="132" t="s">
        <v>1104</v>
      </c>
      <c r="E396" s="7" t="s">
        <v>50</v>
      </c>
      <c r="F396" s="7" t="s">
        <v>2173</v>
      </c>
      <c r="G396" s="7" t="s">
        <v>2174</v>
      </c>
      <c r="H396" s="132" t="s">
        <v>1174</v>
      </c>
      <c r="I396" s="132" t="s">
        <v>2219</v>
      </c>
      <c r="J396" s="132" t="s">
        <v>2220</v>
      </c>
      <c r="K396" s="131" t="s">
        <v>10</v>
      </c>
      <c r="L396" s="131" t="s">
        <v>45</v>
      </c>
      <c r="M396" s="131" t="s">
        <v>10</v>
      </c>
      <c r="N396" s="131" t="s">
        <v>10</v>
      </c>
      <c r="O396" s="138" t="s">
        <v>56</v>
      </c>
      <c r="P396" s="101">
        <v>46131</v>
      </c>
      <c r="Q396" s="100">
        <f t="shared" si="46"/>
        <v>46496</v>
      </c>
      <c r="R396" s="5" t="s">
        <v>2218</v>
      </c>
      <c r="S396" s="5" t="s">
        <v>5318</v>
      </c>
      <c r="T396" s="7">
        <v>0.16900000000000001</v>
      </c>
      <c r="U396" s="7"/>
      <c r="V396" s="7">
        <f t="shared" si="47"/>
        <v>0.16900000000000001</v>
      </c>
      <c r="W396" s="5">
        <v>0.2</v>
      </c>
      <c r="X396" s="7" t="s">
        <v>1107</v>
      </c>
      <c r="Y396" s="48" t="str">
        <f t="shared" si="48"/>
        <v>APROVADO</v>
      </c>
      <c r="Z396" s="7" t="s">
        <v>56</v>
      </c>
      <c r="AA396" s="5">
        <v>11606817</v>
      </c>
      <c r="AB396" s="5" t="s">
        <v>4216</v>
      </c>
      <c r="AC396" s="5" t="s">
        <v>48</v>
      </c>
      <c r="AD396" s="5" t="s">
        <v>5530</v>
      </c>
      <c r="AE396" s="5" t="str">
        <f t="shared" ca="1" si="50"/>
        <v>NO PRAZO</v>
      </c>
      <c r="AF396" s="51"/>
      <c r="AG396" s="50"/>
      <c r="AH396" s="50"/>
      <c r="AI396" s="50"/>
      <c r="AJ396" s="50"/>
      <c r="AK396" s="50"/>
    </row>
    <row r="397" spans="1:37" ht="30" customHeight="1" x14ac:dyDescent="0.3">
      <c r="A397" s="5" t="s">
        <v>1297</v>
      </c>
      <c r="B397" s="5" t="s">
        <v>10</v>
      </c>
      <c r="C397" s="5" t="s">
        <v>5863</v>
      </c>
      <c r="D397" s="7" t="s">
        <v>1208</v>
      </c>
      <c r="E397" s="7" t="s">
        <v>50</v>
      </c>
      <c r="F397" s="7" t="s">
        <v>3583</v>
      </c>
      <c r="G397" s="7" t="s">
        <v>51</v>
      </c>
      <c r="H397" s="7" t="s">
        <v>1188</v>
      </c>
      <c r="I397" s="7" t="s">
        <v>1185</v>
      </c>
      <c r="J397" s="7" t="s">
        <v>1189</v>
      </c>
      <c r="K397" s="5" t="s">
        <v>10</v>
      </c>
      <c r="L397" s="5" t="s">
        <v>10</v>
      </c>
      <c r="M397" s="5" t="s">
        <v>10</v>
      </c>
      <c r="N397" s="5" t="s">
        <v>45</v>
      </c>
      <c r="O397" s="80" t="s">
        <v>56</v>
      </c>
      <c r="P397" s="101">
        <v>46068</v>
      </c>
      <c r="Q397" s="100">
        <f t="shared" si="46"/>
        <v>46433</v>
      </c>
      <c r="R397" s="5" t="s">
        <v>1955</v>
      </c>
      <c r="S397" s="5" t="s">
        <v>4830</v>
      </c>
      <c r="T397" s="7">
        <v>1.12E-2</v>
      </c>
      <c r="U397" s="7" t="s">
        <v>10</v>
      </c>
      <c r="V397" s="7">
        <f t="shared" si="47"/>
        <v>1.12E-2</v>
      </c>
      <c r="W397" s="7">
        <v>0.06</v>
      </c>
      <c r="X397" s="7" t="s">
        <v>1182</v>
      </c>
      <c r="Y397" s="48" t="str">
        <f t="shared" si="48"/>
        <v>APROVADO</v>
      </c>
      <c r="Z397" s="7" t="s">
        <v>56</v>
      </c>
      <c r="AA397" s="5">
        <v>11541280</v>
      </c>
      <c r="AB397" s="5" t="s">
        <v>2530</v>
      </c>
      <c r="AC397" s="5" t="s">
        <v>48</v>
      </c>
      <c r="AD397" s="5" t="s">
        <v>5530</v>
      </c>
      <c r="AE397" s="5" t="str">
        <f t="shared" ca="1" si="50"/>
        <v>NO PRAZO</v>
      </c>
      <c r="AF397" s="49"/>
      <c r="AG397" s="50"/>
      <c r="AH397" s="50"/>
      <c r="AI397" s="50"/>
      <c r="AJ397" s="50"/>
      <c r="AK397" s="50"/>
    </row>
    <row r="398" spans="1:37" ht="30" customHeight="1" x14ac:dyDescent="0.3">
      <c r="A398" s="5" t="s">
        <v>1298</v>
      </c>
      <c r="B398" s="5" t="s">
        <v>10</v>
      </c>
      <c r="C398" s="5" t="s">
        <v>5863</v>
      </c>
      <c r="D398" s="7" t="s">
        <v>1208</v>
      </c>
      <c r="E398" s="7" t="s">
        <v>50</v>
      </c>
      <c r="F398" s="7" t="s">
        <v>3583</v>
      </c>
      <c r="G398" s="7" t="s">
        <v>51</v>
      </c>
      <c r="H398" s="7" t="s">
        <v>1188</v>
      </c>
      <c r="I398" s="7" t="s">
        <v>1299</v>
      </c>
      <c r="J398" s="7" t="s">
        <v>4988</v>
      </c>
      <c r="K398" s="5" t="s">
        <v>10</v>
      </c>
      <c r="L398" s="5" t="s">
        <v>10</v>
      </c>
      <c r="M398" s="5" t="s">
        <v>10</v>
      </c>
      <c r="N398" s="5" t="s">
        <v>45</v>
      </c>
      <c r="O398" s="80" t="s">
        <v>56</v>
      </c>
      <c r="P398" s="101">
        <v>46068</v>
      </c>
      <c r="Q398" s="100">
        <f t="shared" si="46"/>
        <v>46433</v>
      </c>
      <c r="R398" s="5" t="s">
        <v>1956</v>
      </c>
      <c r="S398" s="5" t="s">
        <v>4831</v>
      </c>
      <c r="T398" s="7">
        <v>10.3</v>
      </c>
      <c r="U398" s="7" t="s">
        <v>10</v>
      </c>
      <c r="V398" s="7">
        <f t="shared" si="47"/>
        <v>10.3</v>
      </c>
      <c r="W398" s="7">
        <v>60</v>
      </c>
      <c r="X398" s="7" t="s">
        <v>1300</v>
      </c>
      <c r="Y398" s="48" t="str">
        <f t="shared" si="48"/>
        <v>APROVADO</v>
      </c>
      <c r="Z398" s="7" t="s">
        <v>56</v>
      </c>
      <c r="AA398" s="5">
        <v>11541281</v>
      </c>
      <c r="AB398" s="5" t="s">
        <v>2531</v>
      </c>
      <c r="AC398" s="5" t="s">
        <v>48</v>
      </c>
      <c r="AD398" s="5" t="s">
        <v>5530</v>
      </c>
      <c r="AE398" s="5" t="str">
        <f t="shared" ca="1" si="50"/>
        <v>NO PRAZO</v>
      </c>
      <c r="AF398" s="49"/>
      <c r="AG398" s="50"/>
      <c r="AH398" s="50"/>
      <c r="AI398" s="50"/>
      <c r="AJ398" s="50"/>
      <c r="AK398" s="50"/>
    </row>
    <row r="399" spans="1:37" ht="30" customHeight="1" x14ac:dyDescent="0.25">
      <c r="A399" s="5" t="s">
        <v>1301</v>
      </c>
      <c r="B399" s="5" t="s">
        <v>10</v>
      </c>
      <c r="C399" s="5" t="s">
        <v>5863</v>
      </c>
      <c r="D399" s="7" t="s">
        <v>1104</v>
      </c>
      <c r="E399" s="7" t="s">
        <v>50</v>
      </c>
      <c r="F399" s="7" t="s">
        <v>3583</v>
      </c>
      <c r="G399" s="7" t="s">
        <v>51</v>
      </c>
      <c r="H399" s="7" t="s">
        <v>1188</v>
      </c>
      <c r="I399" s="7" t="s">
        <v>1185</v>
      </c>
      <c r="J399" s="7" t="s">
        <v>1189</v>
      </c>
      <c r="K399" s="5" t="s">
        <v>10</v>
      </c>
      <c r="L399" s="5" t="s">
        <v>10</v>
      </c>
      <c r="M399" s="5" t="s">
        <v>10</v>
      </c>
      <c r="N399" s="5" t="s">
        <v>45</v>
      </c>
      <c r="O399" s="80" t="s">
        <v>56</v>
      </c>
      <c r="P399" s="101">
        <v>46068</v>
      </c>
      <c r="Q399" s="100">
        <f t="shared" ref="Q399:Q462" si="51">IF(P399="","",P399+365)</f>
        <v>46433</v>
      </c>
      <c r="R399" s="5" t="s">
        <v>1957</v>
      </c>
      <c r="S399" s="5" t="s">
        <v>4832</v>
      </c>
      <c r="T399" s="7">
        <v>5.2999999999999999E-2</v>
      </c>
      <c r="U399" s="7" t="s">
        <v>10</v>
      </c>
      <c r="V399" s="7">
        <f t="shared" ref="V399:V462" si="52">IFERROR(IF(U399&gt;0,T399*100/U399,T399),T399)</f>
        <v>5.2999999999999999E-2</v>
      </c>
      <c r="W399" s="7">
        <v>0.06</v>
      </c>
      <c r="X399" s="7" t="s">
        <v>1182</v>
      </c>
      <c r="Y399" s="48" t="str">
        <f t="shared" ref="Y399:Y462" si="53">IFERROR(IF(W399="-",$AL$6,CHOOSE(IF(T399="",1,2),$AL$7,IF(V399&gt;W399,$AL$5,$AL$4))),"-")</f>
        <v>APROVADO</v>
      </c>
      <c r="Z399" s="7" t="s">
        <v>56</v>
      </c>
      <c r="AA399" s="5">
        <v>11541403</v>
      </c>
      <c r="AB399" s="5" t="s">
        <v>2532</v>
      </c>
      <c r="AC399" s="5" t="s">
        <v>48</v>
      </c>
      <c r="AD399" s="5" t="s">
        <v>5530</v>
      </c>
      <c r="AE399" s="5" t="str">
        <f t="shared" ca="1" si="50"/>
        <v>NO PRAZO</v>
      </c>
      <c r="AF399" s="49"/>
    </row>
    <row r="400" spans="1:37" ht="30" customHeight="1" x14ac:dyDescent="0.25">
      <c r="A400" s="5" t="s">
        <v>1302</v>
      </c>
      <c r="B400" s="5" t="s">
        <v>10</v>
      </c>
      <c r="C400" s="5" t="s">
        <v>5863</v>
      </c>
      <c r="D400" s="7" t="s">
        <v>1208</v>
      </c>
      <c r="E400" s="7" t="s">
        <v>50</v>
      </c>
      <c r="F400" s="7" t="s">
        <v>3583</v>
      </c>
      <c r="G400" s="7" t="s">
        <v>176</v>
      </c>
      <c r="H400" s="7" t="s">
        <v>1188</v>
      </c>
      <c r="I400" s="7" t="s">
        <v>1185</v>
      </c>
      <c r="J400" s="7" t="s">
        <v>1189</v>
      </c>
      <c r="K400" s="5" t="s">
        <v>10</v>
      </c>
      <c r="L400" s="5" t="s">
        <v>10</v>
      </c>
      <c r="M400" s="5" t="s">
        <v>10</v>
      </c>
      <c r="N400" s="5" t="s">
        <v>45</v>
      </c>
      <c r="O400" s="80" t="s">
        <v>56</v>
      </c>
      <c r="P400" s="101">
        <v>46068</v>
      </c>
      <c r="Q400" s="100">
        <f t="shared" si="51"/>
        <v>46433</v>
      </c>
      <c r="R400" s="5" t="s">
        <v>1958</v>
      </c>
      <c r="S400" s="5" t="s">
        <v>4834</v>
      </c>
      <c r="T400" s="7">
        <v>4.4000000000000003E-3</v>
      </c>
      <c r="U400" s="7" t="s">
        <v>10</v>
      </c>
      <c r="V400" s="7">
        <f t="shared" si="52"/>
        <v>4.4000000000000003E-3</v>
      </c>
      <c r="W400" s="7">
        <v>0.06</v>
      </c>
      <c r="X400" s="7" t="s">
        <v>1182</v>
      </c>
      <c r="Y400" s="48" t="str">
        <f t="shared" si="53"/>
        <v>APROVADO</v>
      </c>
      <c r="Z400" s="7" t="s">
        <v>56</v>
      </c>
      <c r="AA400" s="5">
        <v>11541284</v>
      </c>
      <c r="AB400" s="5" t="s">
        <v>2533</v>
      </c>
      <c r="AC400" s="5" t="s">
        <v>48</v>
      </c>
      <c r="AD400" s="5" t="s">
        <v>5530</v>
      </c>
      <c r="AE400" s="5" t="str">
        <f t="shared" ca="1" si="50"/>
        <v>NO PRAZO</v>
      </c>
      <c r="AF400" s="49"/>
    </row>
    <row r="401" spans="1:32" ht="30" customHeight="1" x14ac:dyDescent="0.25">
      <c r="A401" s="5" t="s">
        <v>1303</v>
      </c>
      <c r="B401" s="5" t="s">
        <v>10</v>
      </c>
      <c r="C401" s="5" t="s">
        <v>5863</v>
      </c>
      <c r="D401" s="7" t="s">
        <v>1208</v>
      </c>
      <c r="E401" s="7" t="s">
        <v>50</v>
      </c>
      <c r="F401" s="7" t="s">
        <v>3583</v>
      </c>
      <c r="G401" s="7" t="s">
        <v>176</v>
      </c>
      <c r="H401" s="7" t="s">
        <v>1188</v>
      </c>
      <c r="I401" s="7" t="s">
        <v>1299</v>
      </c>
      <c r="J401" s="7" t="s">
        <v>4988</v>
      </c>
      <c r="K401" s="5" t="s">
        <v>10</v>
      </c>
      <c r="L401" s="5" t="s">
        <v>10</v>
      </c>
      <c r="M401" s="5" t="s">
        <v>10</v>
      </c>
      <c r="N401" s="5" t="s">
        <v>45</v>
      </c>
      <c r="O401" s="80" t="s">
        <v>56</v>
      </c>
      <c r="P401" s="101">
        <v>46068</v>
      </c>
      <c r="Q401" s="100">
        <f t="shared" si="51"/>
        <v>46433</v>
      </c>
      <c r="R401" s="5" t="s">
        <v>1959</v>
      </c>
      <c r="S401" s="5" t="s">
        <v>4835</v>
      </c>
      <c r="T401" s="7">
        <v>7.9</v>
      </c>
      <c r="U401" s="92" t="s">
        <v>10</v>
      </c>
      <c r="V401" s="7">
        <f t="shared" si="52"/>
        <v>7.9</v>
      </c>
      <c r="W401" s="7">
        <v>60</v>
      </c>
      <c r="X401" s="7" t="s">
        <v>1300</v>
      </c>
      <c r="Y401" s="48" t="str">
        <f t="shared" si="53"/>
        <v>APROVADO</v>
      </c>
      <c r="Z401" s="7" t="s">
        <v>56</v>
      </c>
      <c r="AA401" s="5">
        <v>11541285</v>
      </c>
      <c r="AB401" s="5" t="s">
        <v>2534</v>
      </c>
      <c r="AC401" s="5" t="s">
        <v>48</v>
      </c>
      <c r="AD401" s="5" t="s">
        <v>5530</v>
      </c>
      <c r="AE401" s="5" t="str">
        <f t="shared" ca="1" si="50"/>
        <v>NO PRAZO</v>
      </c>
      <c r="AF401" s="49"/>
    </row>
    <row r="402" spans="1:32" ht="30" customHeight="1" x14ac:dyDescent="0.25">
      <c r="A402" s="5" t="s">
        <v>1304</v>
      </c>
      <c r="B402" s="5" t="s">
        <v>10</v>
      </c>
      <c r="C402" s="5" t="s">
        <v>5863</v>
      </c>
      <c r="D402" s="7" t="s">
        <v>1104</v>
      </c>
      <c r="E402" s="7" t="s">
        <v>50</v>
      </c>
      <c r="F402" s="7" t="s">
        <v>3583</v>
      </c>
      <c r="G402" s="7" t="s">
        <v>176</v>
      </c>
      <c r="H402" s="7" t="s">
        <v>1188</v>
      </c>
      <c r="I402" s="7" t="s">
        <v>1185</v>
      </c>
      <c r="J402" s="7" t="s">
        <v>1189</v>
      </c>
      <c r="K402" s="5" t="s">
        <v>10</v>
      </c>
      <c r="L402" s="5" t="s">
        <v>10</v>
      </c>
      <c r="M402" s="5" t="s">
        <v>10</v>
      </c>
      <c r="N402" s="5" t="s">
        <v>45</v>
      </c>
      <c r="O402" s="80" t="s">
        <v>56</v>
      </c>
      <c r="P402" s="101">
        <v>46068</v>
      </c>
      <c r="Q402" s="100">
        <f t="shared" si="51"/>
        <v>46433</v>
      </c>
      <c r="R402" s="5" t="s">
        <v>1960</v>
      </c>
      <c r="S402" s="5" t="s">
        <v>4836</v>
      </c>
      <c r="T402" s="5">
        <v>5.1999999999999998E-2</v>
      </c>
      <c r="U402" s="5" t="s">
        <v>10</v>
      </c>
      <c r="V402" s="7">
        <f t="shared" si="52"/>
        <v>5.1999999999999998E-2</v>
      </c>
      <c r="W402" s="7">
        <v>0.06</v>
      </c>
      <c r="X402" s="7" t="s">
        <v>1182</v>
      </c>
      <c r="Y402" s="48" t="str">
        <f t="shared" si="53"/>
        <v>APROVADO</v>
      </c>
      <c r="Z402" s="7" t="s">
        <v>56</v>
      </c>
      <c r="AA402" s="5">
        <v>11541404</v>
      </c>
      <c r="AB402" s="5" t="s">
        <v>2535</v>
      </c>
      <c r="AC402" s="5" t="s">
        <v>48</v>
      </c>
      <c r="AD402" s="5" t="s">
        <v>5530</v>
      </c>
      <c r="AE402" s="5" t="str">
        <f t="shared" ca="1" si="50"/>
        <v>NO PRAZO</v>
      </c>
      <c r="AF402" s="49"/>
    </row>
    <row r="403" spans="1:32" ht="30" customHeight="1" x14ac:dyDescent="0.25">
      <c r="A403" s="5" t="s">
        <v>1305</v>
      </c>
      <c r="B403" s="5" t="s">
        <v>10</v>
      </c>
      <c r="C403" s="5" t="s">
        <v>5863</v>
      </c>
      <c r="D403" s="7" t="s">
        <v>1208</v>
      </c>
      <c r="E403" s="7" t="s">
        <v>50</v>
      </c>
      <c r="F403" s="7" t="s">
        <v>3583</v>
      </c>
      <c r="G403" s="7" t="s">
        <v>211</v>
      </c>
      <c r="H403" s="7" t="s">
        <v>1188</v>
      </c>
      <c r="I403" s="7" t="s">
        <v>1185</v>
      </c>
      <c r="J403" s="7" t="s">
        <v>1189</v>
      </c>
      <c r="K403" s="5" t="s">
        <v>10</v>
      </c>
      <c r="L403" s="5" t="s">
        <v>10</v>
      </c>
      <c r="M403" s="5" t="s">
        <v>10</v>
      </c>
      <c r="N403" s="5" t="s">
        <v>45</v>
      </c>
      <c r="O403" s="80" t="s">
        <v>56</v>
      </c>
      <c r="P403" s="101">
        <v>46068</v>
      </c>
      <c r="Q403" s="100">
        <f t="shared" si="51"/>
        <v>46433</v>
      </c>
      <c r="R403" s="7" t="s">
        <v>1961</v>
      </c>
      <c r="S403" s="5" t="s">
        <v>4838</v>
      </c>
      <c r="T403" s="7">
        <v>8.8000000000000005E-3</v>
      </c>
      <c r="U403" s="7" t="s">
        <v>10</v>
      </c>
      <c r="V403" s="7">
        <f t="shared" si="52"/>
        <v>8.8000000000000005E-3</v>
      </c>
      <c r="W403" s="7">
        <v>0.06</v>
      </c>
      <c r="X403" s="7" t="s">
        <v>1182</v>
      </c>
      <c r="Y403" s="48" t="str">
        <f t="shared" si="53"/>
        <v>APROVADO</v>
      </c>
      <c r="Z403" s="7" t="s">
        <v>56</v>
      </c>
      <c r="AA403" s="5">
        <v>11541288</v>
      </c>
      <c r="AB403" s="5" t="s">
        <v>2536</v>
      </c>
      <c r="AC403" s="5" t="s">
        <v>48</v>
      </c>
      <c r="AD403" s="5" t="s">
        <v>5530</v>
      </c>
      <c r="AE403" s="5" t="str">
        <f t="shared" ca="1" si="50"/>
        <v>NO PRAZO</v>
      </c>
      <c r="AF403" s="49"/>
    </row>
    <row r="404" spans="1:32" ht="30" customHeight="1" x14ac:dyDescent="0.25">
      <c r="A404" s="5" t="s">
        <v>1306</v>
      </c>
      <c r="B404" s="5" t="s">
        <v>10</v>
      </c>
      <c r="C404" s="5" t="s">
        <v>5863</v>
      </c>
      <c r="D404" s="7" t="s">
        <v>1208</v>
      </c>
      <c r="E404" s="7" t="s">
        <v>50</v>
      </c>
      <c r="F404" s="7" t="s">
        <v>3583</v>
      </c>
      <c r="G404" s="7" t="s">
        <v>211</v>
      </c>
      <c r="H404" s="7" t="s">
        <v>1188</v>
      </c>
      <c r="I404" s="7" t="s">
        <v>1299</v>
      </c>
      <c r="J404" s="7" t="s">
        <v>4988</v>
      </c>
      <c r="K404" s="5" t="s">
        <v>10</v>
      </c>
      <c r="L404" s="5" t="s">
        <v>10</v>
      </c>
      <c r="M404" s="5" t="s">
        <v>10</v>
      </c>
      <c r="N404" s="5" t="s">
        <v>45</v>
      </c>
      <c r="O404" s="80" t="s">
        <v>56</v>
      </c>
      <c r="P404" s="101">
        <v>46068</v>
      </c>
      <c r="Q404" s="100">
        <f t="shared" si="51"/>
        <v>46433</v>
      </c>
      <c r="R404" s="5" t="s">
        <v>1962</v>
      </c>
      <c r="S404" s="5" t="s">
        <v>4839</v>
      </c>
      <c r="T404" s="7">
        <v>7.36</v>
      </c>
      <c r="U404" s="7" t="s">
        <v>10</v>
      </c>
      <c r="V404" s="7">
        <f t="shared" si="52"/>
        <v>7.36</v>
      </c>
      <c r="W404" s="7">
        <v>60</v>
      </c>
      <c r="X404" s="7" t="s">
        <v>1300</v>
      </c>
      <c r="Y404" s="48" t="str">
        <f t="shared" si="53"/>
        <v>APROVADO</v>
      </c>
      <c r="Z404" s="7" t="s">
        <v>56</v>
      </c>
      <c r="AA404" s="5">
        <v>11541289</v>
      </c>
      <c r="AB404" s="5" t="s">
        <v>2537</v>
      </c>
      <c r="AC404" s="5" t="s">
        <v>48</v>
      </c>
      <c r="AD404" s="5" t="s">
        <v>5530</v>
      </c>
      <c r="AE404" s="5" t="str">
        <f t="shared" ca="1" si="50"/>
        <v>NO PRAZO</v>
      </c>
      <c r="AF404" s="49"/>
    </row>
    <row r="405" spans="1:32" ht="30" customHeight="1" x14ac:dyDescent="0.25">
      <c r="A405" s="5" t="s">
        <v>1307</v>
      </c>
      <c r="B405" s="5" t="s">
        <v>10</v>
      </c>
      <c r="C405" s="5" t="s">
        <v>5863</v>
      </c>
      <c r="D405" s="7" t="s">
        <v>1104</v>
      </c>
      <c r="E405" s="7" t="s">
        <v>50</v>
      </c>
      <c r="F405" s="7" t="s">
        <v>3583</v>
      </c>
      <c r="G405" s="7" t="s">
        <v>211</v>
      </c>
      <c r="H405" s="7" t="s">
        <v>1188</v>
      </c>
      <c r="I405" s="7" t="s">
        <v>1185</v>
      </c>
      <c r="J405" s="7" t="s">
        <v>1189</v>
      </c>
      <c r="K405" s="5" t="s">
        <v>10</v>
      </c>
      <c r="L405" s="5" t="s">
        <v>10</v>
      </c>
      <c r="M405" s="5" t="s">
        <v>10</v>
      </c>
      <c r="N405" s="5" t="s">
        <v>45</v>
      </c>
      <c r="O405" s="80" t="s">
        <v>56</v>
      </c>
      <c r="P405" s="101">
        <v>46068</v>
      </c>
      <c r="Q405" s="100">
        <f t="shared" si="51"/>
        <v>46433</v>
      </c>
      <c r="R405" s="5" t="s">
        <v>1963</v>
      </c>
      <c r="S405" s="5" t="s">
        <v>4840</v>
      </c>
      <c r="T405" s="7">
        <v>5.8000000000000003E-2</v>
      </c>
      <c r="U405" s="7" t="s">
        <v>10</v>
      </c>
      <c r="V405" s="7">
        <f t="shared" si="52"/>
        <v>5.8000000000000003E-2</v>
      </c>
      <c r="W405" s="7">
        <v>0.06</v>
      </c>
      <c r="X405" s="7" t="s">
        <v>1182</v>
      </c>
      <c r="Y405" s="48" t="str">
        <f t="shared" si="53"/>
        <v>APROVADO</v>
      </c>
      <c r="Z405" s="7" t="s">
        <v>56</v>
      </c>
      <c r="AA405" s="5">
        <v>11541405</v>
      </c>
      <c r="AB405" s="5" t="s">
        <v>2538</v>
      </c>
      <c r="AC405" s="5" t="s">
        <v>48</v>
      </c>
      <c r="AD405" s="5" t="s">
        <v>5530</v>
      </c>
      <c r="AE405" s="5" t="str">
        <f t="shared" ca="1" si="50"/>
        <v>NO PRAZO</v>
      </c>
      <c r="AF405" s="49"/>
    </row>
    <row r="406" spans="1:32" ht="30" customHeight="1" x14ac:dyDescent="0.25">
      <c r="A406" s="5" t="s">
        <v>1308</v>
      </c>
      <c r="B406" s="5" t="s">
        <v>10</v>
      </c>
      <c r="C406" s="5" t="s">
        <v>5863</v>
      </c>
      <c r="D406" s="7" t="s">
        <v>1208</v>
      </c>
      <c r="E406" s="7" t="s">
        <v>50</v>
      </c>
      <c r="F406" s="7" t="s">
        <v>3583</v>
      </c>
      <c r="G406" s="7" t="s">
        <v>216</v>
      </c>
      <c r="H406" s="7" t="s">
        <v>1188</v>
      </c>
      <c r="I406" s="7" t="s">
        <v>1185</v>
      </c>
      <c r="J406" s="7" t="s">
        <v>1189</v>
      </c>
      <c r="K406" s="5" t="s">
        <v>10</v>
      </c>
      <c r="L406" s="5" t="s">
        <v>10</v>
      </c>
      <c r="M406" s="5" t="s">
        <v>10</v>
      </c>
      <c r="N406" s="5" t="s">
        <v>45</v>
      </c>
      <c r="O406" s="80" t="s">
        <v>56</v>
      </c>
      <c r="P406" s="101">
        <v>46068</v>
      </c>
      <c r="Q406" s="100">
        <f t="shared" si="51"/>
        <v>46433</v>
      </c>
      <c r="R406" s="5" t="s">
        <v>1964</v>
      </c>
      <c r="S406" s="5" t="s">
        <v>4842</v>
      </c>
      <c r="T406" s="7">
        <v>9.1000000000000004E-3</v>
      </c>
      <c r="U406" s="7" t="s">
        <v>10</v>
      </c>
      <c r="V406" s="7">
        <f t="shared" si="52"/>
        <v>9.1000000000000004E-3</v>
      </c>
      <c r="W406" s="7">
        <v>0.06</v>
      </c>
      <c r="X406" s="7" t="s">
        <v>1182</v>
      </c>
      <c r="Y406" s="48" t="str">
        <f t="shared" si="53"/>
        <v>APROVADO</v>
      </c>
      <c r="Z406" s="7" t="s">
        <v>56</v>
      </c>
      <c r="AA406" s="5">
        <v>11541292</v>
      </c>
      <c r="AB406" s="5" t="s">
        <v>2539</v>
      </c>
      <c r="AC406" s="5" t="s">
        <v>48</v>
      </c>
      <c r="AD406" s="5" t="s">
        <v>5530</v>
      </c>
      <c r="AE406" s="5" t="str">
        <f t="shared" ca="1" si="50"/>
        <v>NO PRAZO</v>
      </c>
      <c r="AF406" s="49"/>
    </row>
    <row r="407" spans="1:32" ht="30" customHeight="1" x14ac:dyDescent="0.25">
      <c r="A407" s="5" t="s">
        <v>1309</v>
      </c>
      <c r="B407" s="5" t="s">
        <v>10</v>
      </c>
      <c r="C407" s="5" t="s">
        <v>5863</v>
      </c>
      <c r="D407" s="7" t="s">
        <v>1208</v>
      </c>
      <c r="E407" s="7" t="s">
        <v>50</v>
      </c>
      <c r="F407" s="7" t="s">
        <v>3583</v>
      </c>
      <c r="G407" s="7" t="s">
        <v>216</v>
      </c>
      <c r="H407" s="7" t="s">
        <v>1188</v>
      </c>
      <c r="I407" s="7" t="s">
        <v>1299</v>
      </c>
      <c r="J407" s="7" t="s">
        <v>4988</v>
      </c>
      <c r="K407" s="5" t="s">
        <v>10</v>
      </c>
      <c r="L407" s="5" t="s">
        <v>10</v>
      </c>
      <c r="M407" s="5" t="s">
        <v>10</v>
      </c>
      <c r="N407" s="5" t="s">
        <v>45</v>
      </c>
      <c r="O407" s="80" t="s">
        <v>56</v>
      </c>
      <c r="P407" s="101">
        <v>46068</v>
      </c>
      <c r="Q407" s="100">
        <f t="shared" si="51"/>
        <v>46433</v>
      </c>
      <c r="R407" s="5" t="s">
        <v>1965</v>
      </c>
      <c r="S407" s="5" t="s">
        <v>4843</v>
      </c>
      <c r="T407" s="7">
        <v>6.39</v>
      </c>
      <c r="U407" s="7" t="s">
        <v>10</v>
      </c>
      <c r="V407" s="7">
        <f t="shared" si="52"/>
        <v>6.39</v>
      </c>
      <c r="W407" s="7">
        <v>60</v>
      </c>
      <c r="X407" s="7" t="s">
        <v>1300</v>
      </c>
      <c r="Y407" s="48" t="str">
        <f t="shared" si="53"/>
        <v>APROVADO</v>
      </c>
      <c r="Z407" s="7" t="s">
        <v>56</v>
      </c>
      <c r="AA407" s="5">
        <v>11541293</v>
      </c>
      <c r="AB407" s="5" t="s">
        <v>2540</v>
      </c>
      <c r="AC407" s="5" t="s">
        <v>48</v>
      </c>
      <c r="AD407" s="5" t="s">
        <v>5530</v>
      </c>
      <c r="AE407" s="5" t="str">
        <f t="shared" ca="1" si="50"/>
        <v>NO PRAZO</v>
      </c>
      <c r="AF407" s="49"/>
    </row>
    <row r="408" spans="1:32" ht="30" customHeight="1" x14ac:dyDescent="0.25">
      <c r="A408" s="5" t="s">
        <v>1310</v>
      </c>
      <c r="B408" s="5" t="s">
        <v>10</v>
      </c>
      <c r="C408" s="5" t="s">
        <v>5863</v>
      </c>
      <c r="D408" s="7" t="s">
        <v>1104</v>
      </c>
      <c r="E408" s="7" t="s">
        <v>50</v>
      </c>
      <c r="F408" s="7" t="s">
        <v>3583</v>
      </c>
      <c r="G408" s="7" t="s">
        <v>216</v>
      </c>
      <c r="H408" s="7" t="s">
        <v>1188</v>
      </c>
      <c r="I408" s="7" t="s">
        <v>1185</v>
      </c>
      <c r="J408" s="7" t="s">
        <v>1189</v>
      </c>
      <c r="K408" s="5" t="s">
        <v>10</v>
      </c>
      <c r="L408" s="5" t="s">
        <v>10</v>
      </c>
      <c r="M408" s="5" t="s">
        <v>10</v>
      </c>
      <c r="N408" s="5" t="s">
        <v>45</v>
      </c>
      <c r="O408" s="80" t="s">
        <v>56</v>
      </c>
      <c r="P408" s="101">
        <v>46068</v>
      </c>
      <c r="Q408" s="100">
        <f t="shared" si="51"/>
        <v>46433</v>
      </c>
      <c r="R408" s="5" t="s">
        <v>1966</v>
      </c>
      <c r="S408" s="5" t="s">
        <v>4844</v>
      </c>
      <c r="T408" s="7">
        <v>5.3999999999999999E-2</v>
      </c>
      <c r="U408" s="7" t="s">
        <v>10</v>
      </c>
      <c r="V408" s="7">
        <f t="shared" si="52"/>
        <v>5.3999999999999999E-2</v>
      </c>
      <c r="W408" s="7">
        <v>0.06</v>
      </c>
      <c r="X408" s="7" t="s">
        <v>1182</v>
      </c>
      <c r="Y408" s="48" t="str">
        <f t="shared" si="53"/>
        <v>APROVADO</v>
      </c>
      <c r="Z408" s="7" t="s">
        <v>56</v>
      </c>
      <c r="AA408" s="5">
        <v>11541406</v>
      </c>
      <c r="AB408" s="5" t="s">
        <v>2541</v>
      </c>
      <c r="AC408" s="5" t="s">
        <v>48</v>
      </c>
      <c r="AD408" s="5" t="s">
        <v>5530</v>
      </c>
      <c r="AE408" s="5" t="str">
        <f t="shared" ca="1" si="50"/>
        <v>NO PRAZO</v>
      </c>
      <c r="AF408" s="49"/>
    </row>
    <row r="409" spans="1:32" ht="30" customHeight="1" x14ac:dyDescent="0.25">
      <c r="A409" s="5" t="s">
        <v>1311</v>
      </c>
      <c r="B409" s="5" t="s">
        <v>10</v>
      </c>
      <c r="C409" s="5" t="s">
        <v>5863</v>
      </c>
      <c r="D409" s="7" t="s">
        <v>1208</v>
      </c>
      <c r="E409" s="7" t="s">
        <v>50</v>
      </c>
      <c r="F409" s="7" t="s">
        <v>3583</v>
      </c>
      <c r="G409" s="7" t="s">
        <v>226</v>
      </c>
      <c r="H409" s="7" t="s">
        <v>1188</v>
      </c>
      <c r="I409" s="7" t="s">
        <v>1185</v>
      </c>
      <c r="J409" s="7" t="s">
        <v>1189</v>
      </c>
      <c r="K409" s="5" t="s">
        <v>10</v>
      </c>
      <c r="L409" s="5" t="s">
        <v>10</v>
      </c>
      <c r="M409" s="5" t="s">
        <v>10</v>
      </c>
      <c r="N409" s="5" t="s">
        <v>45</v>
      </c>
      <c r="O409" s="80" t="s">
        <v>56</v>
      </c>
      <c r="P409" s="101">
        <v>46068</v>
      </c>
      <c r="Q409" s="100">
        <f t="shared" si="51"/>
        <v>46433</v>
      </c>
      <c r="R409" s="5" t="s">
        <v>1967</v>
      </c>
      <c r="S409" s="5" t="s">
        <v>4847</v>
      </c>
      <c r="T409" s="7">
        <v>2.8E-3</v>
      </c>
      <c r="U409" s="7" t="s">
        <v>10</v>
      </c>
      <c r="V409" s="7">
        <f t="shared" si="52"/>
        <v>2.8E-3</v>
      </c>
      <c r="W409" s="7">
        <v>0.06</v>
      </c>
      <c r="X409" s="7" t="s">
        <v>1182</v>
      </c>
      <c r="Y409" s="48" t="str">
        <f t="shared" si="53"/>
        <v>APROVADO</v>
      </c>
      <c r="Z409" s="7" t="s">
        <v>56</v>
      </c>
      <c r="AA409" s="5">
        <v>11541296</v>
      </c>
      <c r="AB409" s="5" t="s">
        <v>2542</v>
      </c>
      <c r="AC409" s="5" t="s">
        <v>48</v>
      </c>
      <c r="AD409" s="5" t="s">
        <v>5530</v>
      </c>
      <c r="AE409" s="5" t="str">
        <f t="shared" ca="1" si="50"/>
        <v>NO PRAZO</v>
      </c>
      <c r="AF409" s="49"/>
    </row>
    <row r="410" spans="1:32" ht="30" customHeight="1" x14ac:dyDescent="0.25">
      <c r="A410" s="5" t="s">
        <v>1312</v>
      </c>
      <c r="B410" s="5" t="s">
        <v>10</v>
      </c>
      <c r="C410" s="5" t="s">
        <v>5863</v>
      </c>
      <c r="D410" s="7" t="s">
        <v>1208</v>
      </c>
      <c r="E410" s="7" t="s">
        <v>50</v>
      </c>
      <c r="F410" s="7" t="s">
        <v>3583</v>
      </c>
      <c r="G410" s="7" t="s">
        <v>226</v>
      </c>
      <c r="H410" s="7" t="s">
        <v>1188</v>
      </c>
      <c r="I410" s="7" t="s">
        <v>1299</v>
      </c>
      <c r="J410" s="7" t="s">
        <v>4988</v>
      </c>
      <c r="K410" s="5" t="s">
        <v>10</v>
      </c>
      <c r="L410" s="5" t="s">
        <v>10</v>
      </c>
      <c r="M410" s="5" t="s">
        <v>10</v>
      </c>
      <c r="N410" s="5" t="s">
        <v>45</v>
      </c>
      <c r="O410" s="80" t="s">
        <v>56</v>
      </c>
      <c r="P410" s="101">
        <v>46068</v>
      </c>
      <c r="Q410" s="100">
        <f t="shared" si="51"/>
        <v>46433</v>
      </c>
      <c r="R410" s="5" t="s">
        <v>1968</v>
      </c>
      <c r="S410" s="5" t="s">
        <v>4846</v>
      </c>
      <c r="T410" s="7">
        <v>8.9</v>
      </c>
      <c r="U410" s="7" t="s">
        <v>10</v>
      </c>
      <c r="V410" s="7">
        <f t="shared" si="52"/>
        <v>8.9</v>
      </c>
      <c r="W410" s="7">
        <v>60</v>
      </c>
      <c r="X410" s="7" t="s">
        <v>1300</v>
      </c>
      <c r="Y410" s="48" t="str">
        <f t="shared" si="53"/>
        <v>APROVADO</v>
      </c>
      <c r="Z410" s="7" t="s">
        <v>56</v>
      </c>
      <c r="AA410" s="5">
        <v>11541297</v>
      </c>
      <c r="AB410" s="5" t="s">
        <v>2543</v>
      </c>
      <c r="AC410" s="5" t="s">
        <v>48</v>
      </c>
      <c r="AD410" s="5" t="s">
        <v>5530</v>
      </c>
      <c r="AE410" s="5" t="str">
        <f t="shared" ca="1" si="50"/>
        <v>NO PRAZO</v>
      </c>
      <c r="AF410" s="49"/>
    </row>
    <row r="411" spans="1:32" ht="30" customHeight="1" x14ac:dyDescent="0.25">
      <c r="A411" s="5" t="s">
        <v>1313</v>
      </c>
      <c r="B411" s="5" t="s">
        <v>10</v>
      </c>
      <c r="C411" s="5" t="s">
        <v>5863</v>
      </c>
      <c r="D411" s="7" t="s">
        <v>1104</v>
      </c>
      <c r="E411" s="7" t="s">
        <v>50</v>
      </c>
      <c r="F411" s="7" t="s">
        <v>3583</v>
      </c>
      <c r="G411" s="7" t="s">
        <v>226</v>
      </c>
      <c r="H411" s="7" t="s">
        <v>1188</v>
      </c>
      <c r="I411" s="7" t="s">
        <v>1185</v>
      </c>
      <c r="J411" s="7" t="s">
        <v>1189</v>
      </c>
      <c r="K411" s="5" t="s">
        <v>10</v>
      </c>
      <c r="L411" s="5" t="s">
        <v>10</v>
      </c>
      <c r="M411" s="5" t="s">
        <v>10</v>
      </c>
      <c r="N411" s="5" t="s">
        <v>45</v>
      </c>
      <c r="O411" s="80" t="s">
        <v>56</v>
      </c>
      <c r="P411" s="101">
        <v>46068</v>
      </c>
      <c r="Q411" s="100">
        <f t="shared" si="51"/>
        <v>46433</v>
      </c>
      <c r="R411" s="5" t="s">
        <v>1969</v>
      </c>
      <c r="S411" s="5" t="s">
        <v>4848</v>
      </c>
      <c r="T411" s="7">
        <v>5.6000000000000001E-2</v>
      </c>
      <c r="U411" s="7" t="s">
        <v>10</v>
      </c>
      <c r="V411" s="7">
        <f t="shared" si="52"/>
        <v>5.6000000000000001E-2</v>
      </c>
      <c r="W411" s="7">
        <v>0.06</v>
      </c>
      <c r="X411" s="7" t="s">
        <v>1182</v>
      </c>
      <c r="Y411" s="48" t="str">
        <f t="shared" si="53"/>
        <v>APROVADO</v>
      </c>
      <c r="Z411" s="7" t="s">
        <v>56</v>
      </c>
      <c r="AA411" s="5">
        <v>11541407</v>
      </c>
      <c r="AB411" s="5" t="s">
        <v>2544</v>
      </c>
      <c r="AC411" s="5" t="s">
        <v>48</v>
      </c>
      <c r="AD411" s="5" t="s">
        <v>5530</v>
      </c>
      <c r="AE411" s="5" t="str">
        <f t="shared" ca="1" si="50"/>
        <v>NO PRAZO</v>
      </c>
      <c r="AF411" s="49"/>
    </row>
    <row r="412" spans="1:32" ht="30" customHeight="1" x14ac:dyDescent="0.25">
      <c r="A412" s="5" t="s">
        <v>1314</v>
      </c>
      <c r="B412" s="5" t="s">
        <v>10</v>
      </c>
      <c r="C412" s="5" t="s">
        <v>5863</v>
      </c>
      <c r="D412" s="7" t="s">
        <v>1104</v>
      </c>
      <c r="E412" s="7" t="s">
        <v>50</v>
      </c>
      <c r="F412" s="7" t="s">
        <v>589</v>
      </c>
      <c r="G412" s="7" t="s">
        <v>1184</v>
      </c>
      <c r="H412" s="7" t="s">
        <v>1315</v>
      </c>
      <c r="I412" s="7" t="s">
        <v>1291</v>
      </c>
      <c r="J412" s="7" t="s">
        <v>3059</v>
      </c>
      <c r="K412" s="5" t="s">
        <v>10</v>
      </c>
      <c r="L412" s="5" t="s">
        <v>10</v>
      </c>
      <c r="M412" s="5" t="s">
        <v>10</v>
      </c>
      <c r="N412" s="5" t="s">
        <v>45</v>
      </c>
      <c r="O412" s="80" t="s">
        <v>56</v>
      </c>
      <c r="P412" s="101">
        <v>45947</v>
      </c>
      <c r="Q412" s="100">
        <f t="shared" si="51"/>
        <v>46312</v>
      </c>
      <c r="R412" s="5" t="s">
        <v>2245</v>
      </c>
      <c r="S412" s="5" t="s">
        <v>5578</v>
      </c>
      <c r="T412" s="7">
        <v>0.14599999999999999</v>
      </c>
      <c r="U412" s="7" t="s">
        <v>10</v>
      </c>
      <c r="V412" s="7">
        <f t="shared" si="52"/>
        <v>0.14599999999999999</v>
      </c>
      <c r="W412" s="7">
        <v>0.2</v>
      </c>
      <c r="X412" s="7" t="s">
        <v>1182</v>
      </c>
      <c r="Y412" s="48" t="str">
        <f t="shared" si="53"/>
        <v>APROVADO</v>
      </c>
      <c r="Z412" s="7" t="s">
        <v>56</v>
      </c>
      <c r="AA412" s="5">
        <v>11604071</v>
      </c>
      <c r="AB412" s="5" t="s">
        <v>2855</v>
      </c>
      <c r="AC412" s="5" t="s">
        <v>48</v>
      </c>
      <c r="AD412" s="5" t="s">
        <v>5530</v>
      </c>
      <c r="AE412" s="5" t="str">
        <f t="shared" ca="1" si="50"/>
        <v>NO PRAZO</v>
      </c>
      <c r="AF412" s="49"/>
    </row>
    <row r="413" spans="1:32" ht="30" customHeight="1" x14ac:dyDescent="0.25">
      <c r="A413" s="5" t="s">
        <v>1316</v>
      </c>
      <c r="B413" s="5" t="s">
        <v>10</v>
      </c>
      <c r="C413" s="5" t="s">
        <v>5863</v>
      </c>
      <c r="D413" s="7" t="s">
        <v>1208</v>
      </c>
      <c r="E413" s="7" t="s">
        <v>50</v>
      </c>
      <c r="F413" s="7" t="s">
        <v>230</v>
      </c>
      <c r="G413" s="7" t="s">
        <v>51</v>
      </c>
      <c r="H413" s="7" t="s">
        <v>1188</v>
      </c>
      <c r="I413" s="7" t="s">
        <v>1185</v>
      </c>
      <c r="J413" s="7" t="s">
        <v>1189</v>
      </c>
      <c r="K413" s="5" t="s">
        <v>10</v>
      </c>
      <c r="L413" s="5" t="s">
        <v>10</v>
      </c>
      <c r="M413" s="5" t="s">
        <v>10</v>
      </c>
      <c r="N413" s="5" t="s">
        <v>45</v>
      </c>
      <c r="O413" s="80" t="s">
        <v>56</v>
      </c>
      <c r="P413" s="101">
        <v>46068</v>
      </c>
      <c r="Q413" s="100">
        <f t="shared" si="51"/>
        <v>46433</v>
      </c>
      <c r="R413" s="5" t="s">
        <v>1970</v>
      </c>
      <c r="S413" s="5" t="s">
        <v>4850</v>
      </c>
      <c r="T413" s="7">
        <v>3.0679999999999999E-2</v>
      </c>
      <c r="U413" s="7" t="s">
        <v>10</v>
      </c>
      <c r="V413" s="7">
        <f t="shared" si="52"/>
        <v>3.0679999999999999E-2</v>
      </c>
      <c r="W413" s="7">
        <v>0.06</v>
      </c>
      <c r="X413" s="7" t="s">
        <v>1182</v>
      </c>
      <c r="Y413" s="48" t="str">
        <f t="shared" si="53"/>
        <v>APROVADO</v>
      </c>
      <c r="Z413" s="7" t="s">
        <v>56</v>
      </c>
      <c r="AA413" s="5">
        <v>11541838</v>
      </c>
      <c r="AB413" s="5" t="s">
        <v>2545</v>
      </c>
      <c r="AC413" s="5" t="s">
        <v>48</v>
      </c>
      <c r="AD413" s="5" t="s">
        <v>5530</v>
      </c>
      <c r="AE413" s="5" t="str">
        <f t="shared" ca="1" si="50"/>
        <v>NO PRAZO</v>
      </c>
      <c r="AF413" s="51"/>
    </row>
    <row r="414" spans="1:32" ht="30" customHeight="1" x14ac:dyDescent="0.25">
      <c r="A414" s="5" t="s">
        <v>1317</v>
      </c>
      <c r="B414" s="5" t="s">
        <v>10</v>
      </c>
      <c r="C414" s="5" t="s">
        <v>5863</v>
      </c>
      <c r="D414" s="7" t="s">
        <v>1208</v>
      </c>
      <c r="E414" s="7" t="s">
        <v>50</v>
      </c>
      <c r="F414" s="7" t="s">
        <v>230</v>
      </c>
      <c r="G414" s="7" t="s">
        <v>51</v>
      </c>
      <c r="H414" s="7" t="s">
        <v>1188</v>
      </c>
      <c r="I414" s="7" t="s">
        <v>1185</v>
      </c>
      <c r="J414" s="7" t="s">
        <v>1189</v>
      </c>
      <c r="K414" s="5" t="s">
        <v>10</v>
      </c>
      <c r="L414" s="5" t="s">
        <v>10</v>
      </c>
      <c r="M414" s="5" t="s">
        <v>10</v>
      </c>
      <c r="N414" s="5" t="s">
        <v>45</v>
      </c>
      <c r="O414" s="80" t="s">
        <v>56</v>
      </c>
      <c r="P414" s="101">
        <v>46068</v>
      </c>
      <c r="Q414" s="100">
        <f t="shared" si="51"/>
        <v>46433</v>
      </c>
      <c r="R414" s="5" t="s">
        <v>1971</v>
      </c>
      <c r="S414" s="5" t="s">
        <v>4851</v>
      </c>
      <c r="T414" s="7">
        <v>4.7000000000000002E-3</v>
      </c>
      <c r="U414" s="7" t="s">
        <v>10</v>
      </c>
      <c r="V414" s="7">
        <f t="shared" si="52"/>
        <v>4.7000000000000002E-3</v>
      </c>
      <c r="W414" s="7">
        <v>0.06</v>
      </c>
      <c r="X414" s="7" t="s">
        <v>1182</v>
      </c>
      <c r="Y414" s="48" t="str">
        <f t="shared" si="53"/>
        <v>APROVADO</v>
      </c>
      <c r="Z414" s="7" t="s">
        <v>56</v>
      </c>
      <c r="AA414" s="5">
        <v>11541839</v>
      </c>
      <c r="AB414" s="5" t="s">
        <v>2546</v>
      </c>
      <c r="AC414" s="5" t="s">
        <v>48</v>
      </c>
      <c r="AD414" s="5" t="s">
        <v>5530</v>
      </c>
      <c r="AE414" s="5" t="str">
        <f t="shared" ca="1" si="50"/>
        <v>NO PRAZO</v>
      </c>
      <c r="AF414" s="51"/>
    </row>
    <row r="415" spans="1:32" ht="30" customHeight="1" x14ac:dyDescent="0.25">
      <c r="A415" s="5" t="s">
        <v>1318</v>
      </c>
      <c r="B415" s="5" t="s">
        <v>10</v>
      </c>
      <c r="C415" s="5" t="s">
        <v>5863</v>
      </c>
      <c r="D415" s="7" t="s">
        <v>1104</v>
      </c>
      <c r="E415" s="7" t="s">
        <v>50</v>
      </c>
      <c r="F415" s="7" t="s">
        <v>230</v>
      </c>
      <c r="G415" s="7" t="s">
        <v>51</v>
      </c>
      <c r="H415" s="7" t="s">
        <v>1188</v>
      </c>
      <c r="I415" s="7" t="s">
        <v>4989</v>
      </c>
      <c r="J415" s="7" t="s">
        <v>4990</v>
      </c>
      <c r="K415" s="5" t="s">
        <v>10</v>
      </c>
      <c r="L415" s="5" t="s">
        <v>10</v>
      </c>
      <c r="M415" s="5" t="s">
        <v>10</v>
      </c>
      <c r="N415" s="5" t="s">
        <v>45</v>
      </c>
      <c r="O415" s="80" t="s">
        <v>56</v>
      </c>
      <c r="P415" s="101">
        <v>46068</v>
      </c>
      <c r="Q415" s="100">
        <f t="shared" si="51"/>
        <v>46433</v>
      </c>
      <c r="R415" s="7" t="s">
        <v>1972</v>
      </c>
      <c r="S415" s="7" t="s">
        <v>4852</v>
      </c>
      <c r="T415" s="7">
        <v>5.7000000000000002E-2</v>
      </c>
      <c r="U415" s="7" t="s">
        <v>10</v>
      </c>
      <c r="V415" s="7">
        <f t="shared" si="52"/>
        <v>5.7000000000000002E-2</v>
      </c>
      <c r="W415" s="7">
        <v>7.0000000000000007E-2</v>
      </c>
      <c r="X415" s="96" t="s">
        <v>4991</v>
      </c>
      <c r="Y415" s="48" t="str">
        <f t="shared" si="53"/>
        <v>APROVADO</v>
      </c>
      <c r="Z415" s="7" t="s">
        <v>56</v>
      </c>
      <c r="AA415" s="5">
        <v>11541695</v>
      </c>
      <c r="AB415" s="5" t="s">
        <v>2547</v>
      </c>
      <c r="AC415" s="5" t="s">
        <v>48</v>
      </c>
      <c r="AD415" s="5" t="s">
        <v>5530</v>
      </c>
      <c r="AE415" s="5" t="str">
        <f t="shared" ca="1" si="50"/>
        <v>NO PRAZO</v>
      </c>
      <c r="AF415" s="51"/>
    </row>
    <row r="416" spans="1:32" ht="30" customHeight="1" x14ac:dyDescent="0.25">
      <c r="A416" s="5" t="s">
        <v>1319</v>
      </c>
      <c r="B416" s="5" t="s">
        <v>10</v>
      </c>
      <c r="C416" s="5" t="s">
        <v>5863</v>
      </c>
      <c r="D416" s="7" t="s">
        <v>1208</v>
      </c>
      <c r="E416" s="7" t="s">
        <v>50</v>
      </c>
      <c r="F416" s="7" t="s">
        <v>230</v>
      </c>
      <c r="G416" s="7" t="s">
        <v>176</v>
      </c>
      <c r="H416" s="7" t="s">
        <v>1188</v>
      </c>
      <c r="I416" s="7" t="s">
        <v>1185</v>
      </c>
      <c r="J416" s="7" t="s">
        <v>1189</v>
      </c>
      <c r="K416" s="5" t="s">
        <v>10</v>
      </c>
      <c r="L416" s="5" t="s">
        <v>10</v>
      </c>
      <c r="M416" s="5" t="s">
        <v>10</v>
      </c>
      <c r="N416" s="5" t="s">
        <v>45</v>
      </c>
      <c r="O416" s="80" t="s">
        <v>56</v>
      </c>
      <c r="P416" s="101">
        <v>46068</v>
      </c>
      <c r="Q416" s="100">
        <f t="shared" si="51"/>
        <v>46433</v>
      </c>
      <c r="R416" s="5" t="s">
        <v>1973</v>
      </c>
      <c r="S416" s="5" t="s">
        <v>4854</v>
      </c>
      <c r="T416" s="7">
        <v>1.6400000000000001E-2</v>
      </c>
      <c r="U416" s="7" t="s">
        <v>10</v>
      </c>
      <c r="V416" s="7">
        <f t="shared" si="52"/>
        <v>1.6400000000000001E-2</v>
      </c>
      <c r="W416" s="7">
        <v>0.06</v>
      </c>
      <c r="X416" s="7" t="s">
        <v>1182</v>
      </c>
      <c r="Y416" s="48" t="str">
        <f t="shared" si="53"/>
        <v>APROVADO</v>
      </c>
      <c r="Z416" s="7" t="s">
        <v>56</v>
      </c>
      <c r="AA416" s="5">
        <v>11541836</v>
      </c>
      <c r="AB416" s="5" t="s">
        <v>2548</v>
      </c>
      <c r="AC416" s="5" t="s">
        <v>48</v>
      </c>
      <c r="AD416" s="5" t="s">
        <v>5530</v>
      </c>
      <c r="AE416" s="5" t="str">
        <f t="shared" ca="1" si="50"/>
        <v>NO PRAZO</v>
      </c>
      <c r="AF416" s="51"/>
    </row>
    <row r="417" spans="1:32" ht="30" customHeight="1" x14ac:dyDescent="0.25">
      <c r="A417" s="5" t="s">
        <v>1320</v>
      </c>
      <c r="B417" s="5" t="s">
        <v>10</v>
      </c>
      <c r="C417" s="5" t="s">
        <v>5863</v>
      </c>
      <c r="D417" s="7" t="s">
        <v>1208</v>
      </c>
      <c r="E417" s="7" t="s">
        <v>50</v>
      </c>
      <c r="F417" s="7" t="s">
        <v>230</v>
      </c>
      <c r="G417" s="7" t="s">
        <v>176</v>
      </c>
      <c r="H417" s="7" t="s">
        <v>1188</v>
      </c>
      <c r="I417" s="7" t="s">
        <v>1185</v>
      </c>
      <c r="J417" s="7" t="s">
        <v>1189</v>
      </c>
      <c r="K417" s="5" t="s">
        <v>10</v>
      </c>
      <c r="L417" s="5" t="s">
        <v>10</v>
      </c>
      <c r="M417" s="5" t="s">
        <v>10</v>
      </c>
      <c r="N417" s="5" t="s">
        <v>45</v>
      </c>
      <c r="O417" s="80" t="s">
        <v>56</v>
      </c>
      <c r="P417" s="101">
        <v>46068</v>
      </c>
      <c r="Q417" s="100">
        <f t="shared" si="51"/>
        <v>46433</v>
      </c>
      <c r="R417" s="5" t="s">
        <v>1974</v>
      </c>
      <c r="S417" s="5" t="s">
        <v>4855</v>
      </c>
      <c r="T417" s="7">
        <v>1.0619999999999999E-2</v>
      </c>
      <c r="U417" s="7" t="s">
        <v>10</v>
      </c>
      <c r="V417" s="7">
        <f t="shared" si="52"/>
        <v>1.0619999999999999E-2</v>
      </c>
      <c r="W417" s="7">
        <v>0.06</v>
      </c>
      <c r="X417" s="7" t="s">
        <v>1182</v>
      </c>
      <c r="Y417" s="48" t="str">
        <f t="shared" si="53"/>
        <v>APROVADO</v>
      </c>
      <c r="Z417" s="7" t="s">
        <v>56</v>
      </c>
      <c r="AA417" s="5">
        <v>11541837</v>
      </c>
      <c r="AB417" s="5" t="s">
        <v>2549</v>
      </c>
      <c r="AC417" s="5" t="s">
        <v>48</v>
      </c>
      <c r="AD417" s="5" t="s">
        <v>5530</v>
      </c>
      <c r="AE417" s="5" t="str">
        <f t="shared" ca="1" si="50"/>
        <v>NO PRAZO</v>
      </c>
      <c r="AF417" s="51"/>
    </row>
    <row r="418" spans="1:32" ht="30" customHeight="1" x14ac:dyDescent="0.25">
      <c r="A418" s="5" t="s">
        <v>1321</v>
      </c>
      <c r="B418" s="5" t="s">
        <v>10</v>
      </c>
      <c r="C418" s="5" t="s">
        <v>5863</v>
      </c>
      <c r="D418" s="7" t="s">
        <v>1104</v>
      </c>
      <c r="E418" s="7" t="s">
        <v>50</v>
      </c>
      <c r="F418" s="7" t="s">
        <v>230</v>
      </c>
      <c r="G418" s="7" t="s">
        <v>176</v>
      </c>
      <c r="H418" s="7" t="s">
        <v>1188</v>
      </c>
      <c r="I418" s="7" t="s">
        <v>1185</v>
      </c>
      <c r="J418" s="7" t="s">
        <v>1189</v>
      </c>
      <c r="K418" s="5" t="s">
        <v>10</v>
      </c>
      <c r="L418" s="5" t="s">
        <v>10</v>
      </c>
      <c r="M418" s="5" t="s">
        <v>10</v>
      </c>
      <c r="N418" s="5" t="s">
        <v>45</v>
      </c>
      <c r="O418" s="80" t="s">
        <v>56</v>
      </c>
      <c r="P418" s="101">
        <v>46068</v>
      </c>
      <c r="Q418" s="100">
        <f t="shared" si="51"/>
        <v>46433</v>
      </c>
      <c r="R418" s="5" t="s">
        <v>1975</v>
      </c>
      <c r="S418" s="5" t="s">
        <v>4856</v>
      </c>
      <c r="T418" s="7">
        <v>5.5E-2</v>
      </c>
      <c r="U418" s="7" t="s">
        <v>10</v>
      </c>
      <c r="V418" s="7">
        <f t="shared" si="52"/>
        <v>5.5E-2</v>
      </c>
      <c r="W418" s="7">
        <v>0.06</v>
      </c>
      <c r="X418" s="7" t="s">
        <v>1182</v>
      </c>
      <c r="Y418" s="48" t="str">
        <f t="shared" si="53"/>
        <v>APROVADO</v>
      </c>
      <c r="Z418" s="7" t="s">
        <v>56</v>
      </c>
      <c r="AA418" s="5">
        <v>11541694</v>
      </c>
      <c r="AB418" s="5" t="s">
        <v>2550</v>
      </c>
      <c r="AC418" s="5" t="s">
        <v>48</v>
      </c>
      <c r="AD418" s="5" t="s">
        <v>5530</v>
      </c>
      <c r="AE418" s="5" t="str">
        <f t="shared" ca="1" si="50"/>
        <v>NO PRAZO</v>
      </c>
      <c r="AF418" s="51"/>
    </row>
    <row r="419" spans="1:32" ht="30" customHeight="1" x14ac:dyDescent="0.25">
      <c r="A419" s="5" t="s">
        <v>1322</v>
      </c>
      <c r="B419" s="5" t="s">
        <v>10</v>
      </c>
      <c r="C419" s="5" t="s">
        <v>5863</v>
      </c>
      <c r="D419" s="7" t="s">
        <v>1208</v>
      </c>
      <c r="E419" s="7" t="s">
        <v>50</v>
      </c>
      <c r="F419" s="7" t="s">
        <v>230</v>
      </c>
      <c r="G419" s="7" t="s">
        <v>211</v>
      </c>
      <c r="H419" s="7" t="s">
        <v>1188</v>
      </c>
      <c r="I419" s="7" t="s">
        <v>1185</v>
      </c>
      <c r="J419" s="7" t="s">
        <v>1189</v>
      </c>
      <c r="K419" s="5" t="s">
        <v>10</v>
      </c>
      <c r="L419" s="5" t="s">
        <v>10</v>
      </c>
      <c r="M419" s="5" t="s">
        <v>10</v>
      </c>
      <c r="N419" s="5" t="s">
        <v>45</v>
      </c>
      <c r="O419" s="80" t="s">
        <v>56</v>
      </c>
      <c r="P419" s="101">
        <v>46068</v>
      </c>
      <c r="Q419" s="100">
        <f t="shared" si="51"/>
        <v>46433</v>
      </c>
      <c r="R419" s="7" t="s">
        <v>1976</v>
      </c>
      <c r="S419" s="7" t="s">
        <v>4858</v>
      </c>
      <c r="T419" s="7">
        <v>3.5400000000000001E-2</v>
      </c>
      <c r="U419" s="7" t="s">
        <v>10</v>
      </c>
      <c r="V419" s="7">
        <f t="shared" si="52"/>
        <v>3.5400000000000001E-2</v>
      </c>
      <c r="W419" s="7">
        <v>0.06</v>
      </c>
      <c r="X419" s="7" t="s">
        <v>1182</v>
      </c>
      <c r="Y419" s="48" t="str">
        <f t="shared" si="53"/>
        <v>APROVADO</v>
      </c>
      <c r="Z419" s="7" t="s">
        <v>56</v>
      </c>
      <c r="AA419" s="5">
        <v>11541834</v>
      </c>
      <c r="AB419" s="5" t="s">
        <v>2551</v>
      </c>
      <c r="AC419" s="5" t="s">
        <v>48</v>
      </c>
      <c r="AD419" s="5" t="s">
        <v>5530</v>
      </c>
      <c r="AE419" s="5" t="str">
        <f t="shared" ca="1" si="50"/>
        <v>NO PRAZO</v>
      </c>
      <c r="AF419" s="51"/>
    </row>
    <row r="420" spans="1:32" ht="30" customHeight="1" x14ac:dyDescent="0.25">
      <c r="A420" s="5" t="s">
        <v>1323</v>
      </c>
      <c r="B420" s="5" t="s">
        <v>10</v>
      </c>
      <c r="C420" s="5" t="s">
        <v>5863</v>
      </c>
      <c r="D420" s="7" t="s">
        <v>1208</v>
      </c>
      <c r="E420" s="7" t="s">
        <v>50</v>
      </c>
      <c r="F420" s="7" t="s">
        <v>230</v>
      </c>
      <c r="G420" s="7" t="s">
        <v>211</v>
      </c>
      <c r="H420" s="7" t="s">
        <v>1188</v>
      </c>
      <c r="I420" s="7" t="s">
        <v>1185</v>
      </c>
      <c r="J420" s="7" t="s">
        <v>1189</v>
      </c>
      <c r="K420" s="5" t="s">
        <v>10</v>
      </c>
      <c r="L420" s="5" t="s">
        <v>10</v>
      </c>
      <c r="M420" s="5" t="s">
        <v>10</v>
      </c>
      <c r="N420" s="5" t="s">
        <v>45</v>
      </c>
      <c r="O420" s="80" t="s">
        <v>56</v>
      </c>
      <c r="P420" s="101">
        <v>46068</v>
      </c>
      <c r="Q420" s="100">
        <f t="shared" si="51"/>
        <v>46433</v>
      </c>
      <c r="R420" s="5" t="s">
        <v>1977</v>
      </c>
      <c r="S420" s="5" t="s">
        <v>4859</v>
      </c>
      <c r="T420" s="7">
        <v>2.8E-3</v>
      </c>
      <c r="U420" s="7" t="s">
        <v>10</v>
      </c>
      <c r="V420" s="7">
        <f t="shared" si="52"/>
        <v>2.8E-3</v>
      </c>
      <c r="W420" s="7">
        <v>0.06</v>
      </c>
      <c r="X420" s="7" t="s">
        <v>1182</v>
      </c>
      <c r="Y420" s="48" t="str">
        <f t="shared" si="53"/>
        <v>APROVADO</v>
      </c>
      <c r="Z420" s="7" t="s">
        <v>56</v>
      </c>
      <c r="AA420" s="5">
        <v>11541835</v>
      </c>
      <c r="AB420" s="5" t="s">
        <v>2552</v>
      </c>
      <c r="AC420" s="5" t="s">
        <v>48</v>
      </c>
      <c r="AD420" s="5" t="s">
        <v>5530</v>
      </c>
      <c r="AE420" s="5" t="str">
        <f t="shared" ca="1" si="50"/>
        <v>NO PRAZO</v>
      </c>
      <c r="AF420" s="51"/>
    </row>
    <row r="421" spans="1:32" ht="30" customHeight="1" x14ac:dyDescent="0.25">
      <c r="A421" s="5" t="s">
        <v>1324</v>
      </c>
      <c r="B421" s="5" t="s">
        <v>10</v>
      </c>
      <c r="C421" s="5" t="s">
        <v>5863</v>
      </c>
      <c r="D421" s="7" t="s">
        <v>1104</v>
      </c>
      <c r="E421" s="7" t="s">
        <v>50</v>
      </c>
      <c r="F421" s="7" t="s">
        <v>230</v>
      </c>
      <c r="G421" s="7" t="s">
        <v>211</v>
      </c>
      <c r="H421" s="7" t="s">
        <v>1188</v>
      </c>
      <c r="I421" s="7" t="s">
        <v>1185</v>
      </c>
      <c r="J421" s="7" t="s">
        <v>1189</v>
      </c>
      <c r="K421" s="5" t="s">
        <v>10</v>
      </c>
      <c r="L421" s="5" t="s">
        <v>10</v>
      </c>
      <c r="M421" s="5" t="s">
        <v>10</v>
      </c>
      <c r="N421" s="5" t="s">
        <v>45</v>
      </c>
      <c r="O421" s="80" t="s">
        <v>56</v>
      </c>
      <c r="P421" s="101">
        <v>46068</v>
      </c>
      <c r="Q421" s="100">
        <f t="shared" si="51"/>
        <v>46433</v>
      </c>
      <c r="R421" s="5" t="s">
        <v>1978</v>
      </c>
      <c r="S421" s="5" t="s">
        <v>4860</v>
      </c>
      <c r="T421" s="7">
        <v>3.7999999999999999E-2</v>
      </c>
      <c r="U421" s="7" t="s">
        <v>10</v>
      </c>
      <c r="V421" s="7">
        <f t="shared" si="52"/>
        <v>3.7999999999999999E-2</v>
      </c>
      <c r="W421" s="7">
        <v>0.06</v>
      </c>
      <c r="X421" s="7" t="s">
        <v>1182</v>
      </c>
      <c r="Y421" s="48" t="str">
        <f t="shared" si="53"/>
        <v>APROVADO</v>
      </c>
      <c r="Z421" s="7" t="s">
        <v>56</v>
      </c>
      <c r="AA421" s="5">
        <v>11541693</v>
      </c>
      <c r="AB421" s="5" t="s">
        <v>2553</v>
      </c>
      <c r="AC421" s="5" t="s">
        <v>48</v>
      </c>
      <c r="AD421" s="5" t="s">
        <v>5530</v>
      </c>
      <c r="AE421" s="5" t="str">
        <f t="shared" ca="1" si="50"/>
        <v>NO PRAZO</v>
      </c>
      <c r="AF421" s="51"/>
    </row>
    <row r="422" spans="1:32" ht="30" customHeight="1" x14ac:dyDescent="0.25">
      <c r="A422" s="5" t="s">
        <v>1325</v>
      </c>
      <c r="B422" s="5" t="s">
        <v>10</v>
      </c>
      <c r="C422" s="5" t="s">
        <v>5863</v>
      </c>
      <c r="D422" s="7" t="s">
        <v>1208</v>
      </c>
      <c r="E422" s="7" t="s">
        <v>50</v>
      </c>
      <c r="F422" s="7" t="s">
        <v>230</v>
      </c>
      <c r="G422" s="7" t="s">
        <v>216</v>
      </c>
      <c r="H422" s="7" t="s">
        <v>1188</v>
      </c>
      <c r="I422" s="7" t="s">
        <v>1185</v>
      </c>
      <c r="J422" s="7" t="s">
        <v>1189</v>
      </c>
      <c r="K422" s="5" t="s">
        <v>10</v>
      </c>
      <c r="L422" s="5" t="s">
        <v>10</v>
      </c>
      <c r="M422" s="5" t="s">
        <v>10</v>
      </c>
      <c r="N422" s="5" t="s">
        <v>45</v>
      </c>
      <c r="O422" s="80" t="s">
        <v>56</v>
      </c>
      <c r="P422" s="101">
        <v>46068</v>
      </c>
      <c r="Q422" s="100">
        <f t="shared" si="51"/>
        <v>46433</v>
      </c>
      <c r="R422" s="5" t="s">
        <v>1979</v>
      </c>
      <c r="S422" s="5" t="s">
        <v>4862</v>
      </c>
      <c r="T422" s="7">
        <v>1.18E-2</v>
      </c>
      <c r="U422" s="7" t="s">
        <v>10</v>
      </c>
      <c r="V422" s="7">
        <f t="shared" si="52"/>
        <v>1.18E-2</v>
      </c>
      <c r="W422" s="7">
        <v>0.06</v>
      </c>
      <c r="X422" s="7" t="s">
        <v>1182</v>
      </c>
      <c r="Y422" s="48" t="str">
        <f t="shared" si="53"/>
        <v>APROVADO</v>
      </c>
      <c r="Z422" s="7" t="s">
        <v>56</v>
      </c>
      <c r="AA422" s="5">
        <v>11541832</v>
      </c>
      <c r="AB422" s="5" t="s">
        <v>2554</v>
      </c>
      <c r="AC422" s="5" t="s">
        <v>48</v>
      </c>
      <c r="AD422" s="5" t="s">
        <v>5530</v>
      </c>
      <c r="AE422" s="5" t="str">
        <f t="shared" ca="1" si="50"/>
        <v>NO PRAZO</v>
      </c>
      <c r="AF422" s="51"/>
    </row>
    <row r="423" spans="1:32" ht="30" customHeight="1" x14ac:dyDescent="0.25">
      <c r="A423" s="5" t="s">
        <v>1326</v>
      </c>
      <c r="B423" s="5" t="s">
        <v>10</v>
      </c>
      <c r="C423" s="5" t="s">
        <v>5863</v>
      </c>
      <c r="D423" s="7" t="s">
        <v>1208</v>
      </c>
      <c r="E423" s="7" t="s">
        <v>50</v>
      </c>
      <c r="F423" s="7" t="s">
        <v>230</v>
      </c>
      <c r="G423" s="7" t="s">
        <v>216</v>
      </c>
      <c r="H423" s="7" t="s">
        <v>1188</v>
      </c>
      <c r="I423" s="7" t="s">
        <v>1185</v>
      </c>
      <c r="J423" s="7" t="s">
        <v>1189</v>
      </c>
      <c r="K423" s="5" t="s">
        <v>10</v>
      </c>
      <c r="L423" s="5" t="s">
        <v>10</v>
      </c>
      <c r="M423" s="5" t="s">
        <v>10</v>
      </c>
      <c r="N423" s="5" t="s">
        <v>45</v>
      </c>
      <c r="O423" s="80" t="s">
        <v>56</v>
      </c>
      <c r="P423" s="101">
        <v>46068</v>
      </c>
      <c r="Q423" s="100">
        <f t="shared" si="51"/>
        <v>46433</v>
      </c>
      <c r="R423" s="5" t="s">
        <v>1980</v>
      </c>
      <c r="S423" s="5" t="s">
        <v>4863</v>
      </c>
      <c r="T423" s="7">
        <v>5.62E-3</v>
      </c>
      <c r="U423" s="7" t="s">
        <v>10</v>
      </c>
      <c r="V423" s="7">
        <f t="shared" si="52"/>
        <v>5.62E-3</v>
      </c>
      <c r="W423" s="7">
        <v>0.06</v>
      </c>
      <c r="X423" s="7" t="s">
        <v>1182</v>
      </c>
      <c r="Y423" s="48" t="str">
        <f t="shared" si="53"/>
        <v>APROVADO</v>
      </c>
      <c r="Z423" s="7" t="s">
        <v>56</v>
      </c>
      <c r="AA423" s="5">
        <v>11541833</v>
      </c>
      <c r="AB423" s="5" t="s">
        <v>2555</v>
      </c>
      <c r="AC423" s="5" t="s">
        <v>48</v>
      </c>
      <c r="AD423" s="5" t="s">
        <v>5530</v>
      </c>
      <c r="AE423" s="5" t="str">
        <f t="shared" ca="1" si="50"/>
        <v>NO PRAZO</v>
      </c>
      <c r="AF423" s="51"/>
    </row>
    <row r="424" spans="1:32" ht="30" customHeight="1" x14ac:dyDescent="0.25">
      <c r="A424" s="5" t="s">
        <v>1327</v>
      </c>
      <c r="B424" s="5" t="s">
        <v>10</v>
      </c>
      <c r="C424" s="5" t="s">
        <v>5863</v>
      </c>
      <c r="D424" s="7" t="s">
        <v>1104</v>
      </c>
      <c r="E424" s="7" t="s">
        <v>50</v>
      </c>
      <c r="F424" s="7" t="s">
        <v>230</v>
      </c>
      <c r="G424" s="7" t="s">
        <v>216</v>
      </c>
      <c r="H424" s="7" t="s">
        <v>1188</v>
      </c>
      <c r="I424" s="7" t="s">
        <v>1185</v>
      </c>
      <c r="J424" s="7" t="s">
        <v>1189</v>
      </c>
      <c r="K424" s="5" t="s">
        <v>10</v>
      </c>
      <c r="L424" s="5" t="s">
        <v>10</v>
      </c>
      <c r="M424" s="5" t="s">
        <v>10</v>
      </c>
      <c r="N424" s="5" t="s">
        <v>45</v>
      </c>
      <c r="O424" s="80" t="s">
        <v>56</v>
      </c>
      <c r="P424" s="101">
        <v>46068</v>
      </c>
      <c r="Q424" s="100">
        <f t="shared" si="51"/>
        <v>46433</v>
      </c>
      <c r="R424" s="5" t="s">
        <v>1981</v>
      </c>
      <c r="S424" s="5" t="s">
        <v>4864</v>
      </c>
      <c r="T424" s="7">
        <v>3.9E-2</v>
      </c>
      <c r="U424" s="7" t="s">
        <v>10</v>
      </c>
      <c r="V424" s="7">
        <f t="shared" si="52"/>
        <v>3.9E-2</v>
      </c>
      <c r="W424" s="7">
        <v>0.06</v>
      </c>
      <c r="X424" s="7" t="s">
        <v>1182</v>
      </c>
      <c r="Y424" s="48" t="str">
        <f t="shared" si="53"/>
        <v>APROVADO</v>
      </c>
      <c r="Z424" s="7" t="s">
        <v>56</v>
      </c>
      <c r="AA424" s="5">
        <v>11541692</v>
      </c>
      <c r="AB424" s="5" t="s">
        <v>2556</v>
      </c>
      <c r="AC424" s="5" t="s">
        <v>48</v>
      </c>
      <c r="AD424" s="5" t="s">
        <v>5530</v>
      </c>
      <c r="AE424" s="5" t="str">
        <f t="shared" ca="1" si="50"/>
        <v>NO PRAZO</v>
      </c>
      <c r="AF424" s="51"/>
    </row>
    <row r="425" spans="1:32" ht="30" customHeight="1" x14ac:dyDescent="0.25">
      <c r="A425" s="5" t="s">
        <v>5545</v>
      </c>
      <c r="B425" s="5" t="s">
        <v>2975</v>
      </c>
      <c r="C425" s="5" t="s">
        <v>5863</v>
      </c>
      <c r="D425" s="7" t="s">
        <v>5694</v>
      </c>
      <c r="E425" s="7" t="s">
        <v>68</v>
      </c>
      <c r="F425" s="7" t="s">
        <v>86</v>
      </c>
      <c r="G425" s="7" t="s">
        <v>10</v>
      </c>
      <c r="H425" s="7" t="s">
        <v>10</v>
      </c>
      <c r="I425" s="7" t="s">
        <v>2976</v>
      </c>
      <c r="J425" s="7" t="s">
        <v>2977</v>
      </c>
      <c r="K425" s="5" t="s">
        <v>10</v>
      </c>
      <c r="L425" s="5" t="s">
        <v>10</v>
      </c>
      <c r="M425" s="5" t="s">
        <v>10</v>
      </c>
      <c r="N425" s="5" t="s">
        <v>45</v>
      </c>
      <c r="O425" s="80" t="s">
        <v>56</v>
      </c>
      <c r="P425" s="101">
        <v>46163</v>
      </c>
      <c r="Q425" s="100">
        <f t="shared" si="51"/>
        <v>46528</v>
      </c>
      <c r="R425" s="7" t="s">
        <v>2978</v>
      </c>
      <c r="S425" s="7" t="s">
        <v>5547</v>
      </c>
      <c r="T425" s="7">
        <v>1.66E-3</v>
      </c>
      <c r="U425" s="7" t="s">
        <v>10</v>
      </c>
      <c r="V425" s="7">
        <f t="shared" si="52"/>
        <v>1.66E-3</v>
      </c>
      <c r="W425" s="7">
        <v>0.02</v>
      </c>
      <c r="X425" s="7" t="s">
        <v>1182</v>
      </c>
      <c r="Y425" s="48" t="str">
        <f t="shared" si="53"/>
        <v>APROVADO</v>
      </c>
      <c r="Z425" s="7" t="s">
        <v>56</v>
      </c>
      <c r="AA425" s="5">
        <v>11606717</v>
      </c>
      <c r="AB425" s="5" t="s">
        <v>4189</v>
      </c>
      <c r="AC425" s="5" t="s">
        <v>48</v>
      </c>
      <c r="AD425" s="5" t="s">
        <v>5530</v>
      </c>
      <c r="AE425" s="5" t="str">
        <f t="shared" ca="1" si="50"/>
        <v>NO PRAZO</v>
      </c>
      <c r="AF425" s="53"/>
    </row>
    <row r="426" spans="1:32" ht="30" customHeight="1" x14ac:dyDescent="0.25">
      <c r="A426" s="5" t="s">
        <v>2148</v>
      </c>
      <c r="B426" s="5" t="s">
        <v>10</v>
      </c>
      <c r="C426" s="5" t="s">
        <v>5863</v>
      </c>
      <c r="D426" s="7" t="s">
        <v>5351</v>
      </c>
      <c r="E426" s="7" t="s">
        <v>311</v>
      </c>
      <c r="F426" s="7" t="s">
        <v>642</v>
      </c>
      <c r="G426" s="7" t="s">
        <v>2129</v>
      </c>
      <c r="H426" s="7" t="s">
        <v>10</v>
      </c>
      <c r="I426" s="145" t="s">
        <v>5352</v>
      </c>
      <c r="J426" s="145" t="s">
        <v>5352</v>
      </c>
      <c r="K426" s="5" t="s">
        <v>10</v>
      </c>
      <c r="L426" s="5" t="s">
        <v>10</v>
      </c>
      <c r="M426" s="5" t="s">
        <v>10</v>
      </c>
      <c r="N426" s="5" t="s">
        <v>45</v>
      </c>
      <c r="O426" s="95" t="s">
        <v>56</v>
      </c>
      <c r="P426" s="101">
        <v>46128</v>
      </c>
      <c r="Q426" s="100">
        <f t="shared" si="51"/>
        <v>46493</v>
      </c>
      <c r="R426" s="5" t="s">
        <v>2167</v>
      </c>
      <c r="S426" s="5" t="s">
        <v>5278</v>
      </c>
      <c r="T426" s="7">
        <v>1.2999999999999999E-2</v>
      </c>
      <c r="U426" s="7"/>
      <c r="V426" s="7">
        <f t="shared" si="52"/>
        <v>1.2999999999999999E-2</v>
      </c>
      <c r="W426" s="5" t="s">
        <v>10</v>
      </c>
      <c r="X426" s="5" t="s">
        <v>1096</v>
      </c>
      <c r="Y426" s="48" t="str">
        <f t="shared" si="53"/>
        <v>A DEFINIR</v>
      </c>
      <c r="Z426" s="7" t="s">
        <v>56</v>
      </c>
      <c r="AA426" s="5">
        <v>11606740</v>
      </c>
      <c r="AB426" s="5" t="s">
        <v>4214</v>
      </c>
      <c r="AC426" s="5" t="s">
        <v>48</v>
      </c>
      <c r="AD426" s="5" t="s">
        <v>5530</v>
      </c>
      <c r="AE426" s="5" t="str">
        <f t="shared" ca="1" si="50"/>
        <v>NO PRAZO</v>
      </c>
      <c r="AF426" s="49"/>
    </row>
    <row r="427" spans="1:32" ht="30" customHeight="1" x14ac:dyDescent="0.25">
      <c r="A427" s="5" t="s">
        <v>2489</v>
      </c>
      <c r="B427" s="5" t="s">
        <v>10</v>
      </c>
      <c r="C427" s="5" t="s">
        <v>5863</v>
      </c>
      <c r="D427" s="7" t="s">
        <v>1349</v>
      </c>
      <c r="E427" s="7" t="s">
        <v>68</v>
      </c>
      <c r="F427" s="7" t="s">
        <v>86</v>
      </c>
      <c r="G427" s="7" t="s">
        <v>5648</v>
      </c>
      <c r="H427" s="7" t="s">
        <v>10</v>
      </c>
      <c r="I427" s="7" t="s">
        <v>2490</v>
      </c>
      <c r="J427" s="7" t="s">
        <v>2490</v>
      </c>
      <c r="K427" s="5" t="s">
        <v>10</v>
      </c>
      <c r="L427" s="5" t="s">
        <v>10</v>
      </c>
      <c r="M427" s="5" t="s">
        <v>10</v>
      </c>
      <c r="N427" s="5" t="s">
        <v>45</v>
      </c>
      <c r="O427" s="95" t="s">
        <v>56</v>
      </c>
      <c r="P427" s="101">
        <v>46186</v>
      </c>
      <c r="Q427" s="100">
        <f t="shared" si="51"/>
        <v>46551</v>
      </c>
      <c r="R427" s="7" t="s">
        <v>2492</v>
      </c>
      <c r="S427" s="7" t="s">
        <v>5644</v>
      </c>
      <c r="T427" s="7">
        <v>0.01</v>
      </c>
      <c r="U427" s="7" t="s">
        <v>10</v>
      </c>
      <c r="V427" s="7">
        <f t="shared" si="52"/>
        <v>0.01</v>
      </c>
      <c r="W427" s="7">
        <v>0.1</v>
      </c>
      <c r="X427" s="7" t="s">
        <v>1182</v>
      </c>
      <c r="Y427" s="48" t="str">
        <f t="shared" si="53"/>
        <v>APROVADO</v>
      </c>
      <c r="Z427" s="7" t="s">
        <v>56</v>
      </c>
      <c r="AA427" s="5">
        <v>11606715</v>
      </c>
      <c r="AB427" s="5" t="s">
        <v>4187</v>
      </c>
      <c r="AC427" s="5" t="s">
        <v>48</v>
      </c>
      <c r="AD427" s="5" t="s">
        <v>5632</v>
      </c>
      <c r="AE427" s="5" t="str">
        <f t="shared" ca="1" si="50"/>
        <v>NO PRAZO</v>
      </c>
      <c r="AF427" s="53"/>
    </row>
    <row r="428" spans="1:32" ht="30" customHeight="1" x14ac:dyDescent="0.25">
      <c r="A428" s="5" t="s">
        <v>1328</v>
      </c>
      <c r="B428" s="5" t="s">
        <v>10</v>
      </c>
      <c r="C428" s="5" t="s">
        <v>5864</v>
      </c>
      <c r="D428" s="7" t="s">
        <v>1329</v>
      </c>
      <c r="E428" s="7" t="s">
        <v>256</v>
      </c>
      <c r="F428" s="7" t="s">
        <v>257</v>
      </c>
      <c r="G428" s="7" t="s">
        <v>1329</v>
      </c>
      <c r="H428" s="7" t="s">
        <v>1330</v>
      </c>
      <c r="I428" s="7" t="s">
        <v>1160</v>
      </c>
      <c r="J428" s="7" t="s">
        <v>1161</v>
      </c>
      <c r="K428" s="5" t="s">
        <v>10</v>
      </c>
      <c r="L428" s="5" t="s">
        <v>10</v>
      </c>
      <c r="M428" s="5" t="s">
        <v>10</v>
      </c>
      <c r="N428" s="5" t="s">
        <v>45</v>
      </c>
      <c r="O428" s="80" t="s">
        <v>56</v>
      </c>
      <c r="P428" s="101">
        <v>45994</v>
      </c>
      <c r="Q428" s="100">
        <f t="shared" si="51"/>
        <v>46359</v>
      </c>
      <c r="R428" s="5" t="s">
        <v>1818</v>
      </c>
      <c r="S428" s="5" t="s">
        <v>4242</v>
      </c>
      <c r="T428" s="7">
        <v>6.0000000000000001E-3</v>
      </c>
      <c r="U428" s="7" t="s">
        <v>10</v>
      </c>
      <c r="V428" s="7">
        <f t="shared" si="52"/>
        <v>6.0000000000000001E-3</v>
      </c>
      <c r="W428" s="5" t="s">
        <v>10</v>
      </c>
      <c r="X428" s="5" t="s">
        <v>330</v>
      </c>
      <c r="Y428" s="48" t="str">
        <f t="shared" si="53"/>
        <v>A DEFINIR</v>
      </c>
      <c r="Z428" s="7" t="s">
        <v>56</v>
      </c>
      <c r="AA428" s="5">
        <v>11599725</v>
      </c>
      <c r="AB428" s="5" t="s">
        <v>3933</v>
      </c>
      <c r="AC428" s="5" t="s">
        <v>48</v>
      </c>
      <c r="AD428" s="5" t="s">
        <v>5530</v>
      </c>
      <c r="AE428" s="5" t="str">
        <f t="shared" ca="1" si="50"/>
        <v>NO PRAZO</v>
      </c>
      <c r="AF428" s="53"/>
    </row>
    <row r="429" spans="1:32" ht="30" customHeight="1" x14ac:dyDescent="0.25">
      <c r="A429" s="5" t="s">
        <v>1331</v>
      </c>
      <c r="B429" s="5" t="s">
        <v>10</v>
      </c>
      <c r="C429" s="5" t="s">
        <v>5864</v>
      </c>
      <c r="D429" s="7" t="s">
        <v>1329</v>
      </c>
      <c r="E429" s="7" t="s">
        <v>256</v>
      </c>
      <c r="F429" s="7" t="s">
        <v>257</v>
      </c>
      <c r="G429" s="7" t="s">
        <v>1329</v>
      </c>
      <c r="H429" s="7" t="s">
        <v>1329</v>
      </c>
      <c r="I429" s="7" t="s">
        <v>1160</v>
      </c>
      <c r="J429" s="7" t="s">
        <v>1161</v>
      </c>
      <c r="K429" s="5" t="s">
        <v>10</v>
      </c>
      <c r="L429" s="5" t="s">
        <v>10</v>
      </c>
      <c r="M429" s="5" t="s">
        <v>10</v>
      </c>
      <c r="N429" s="5" t="s">
        <v>45</v>
      </c>
      <c r="O429" s="80" t="s">
        <v>56</v>
      </c>
      <c r="P429" s="101">
        <v>45994</v>
      </c>
      <c r="Q429" s="100">
        <f t="shared" si="51"/>
        <v>46359</v>
      </c>
      <c r="R429" s="7" t="s">
        <v>1829</v>
      </c>
      <c r="S429" s="7" t="s">
        <v>4243</v>
      </c>
      <c r="T429" s="7">
        <v>6.0000000000000001E-3</v>
      </c>
      <c r="U429" s="7" t="s">
        <v>10</v>
      </c>
      <c r="V429" s="7">
        <f t="shared" si="52"/>
        <v>6.0000000000000001E-3</v>
      </c>
      <c r="W429" s="5" t="s">
        <v>10</v>
      </c>
      <c r="X429" s="5" t="s">
        <v>330</v>
      </c>
      <c r="Y429" s="48" t="str">
        <f t="shared" si="53"/>
        <v>A DEFINIR</v>
      </c>
      <c r="Z429" s="7" t="s">
        <v>56</v>
      </c>
      <c r="AA429" s="5">
        <v>11599726</v>
      </c>
      <c r="AB429" s="5" t="s">
        <v>3934</v>
      </c>
      <c r="AC429" s="5" t="s">
        <v>48</v>
      </c>
      <c r="AD429" s="5" t="s">
        <v>5530</v>
      </c>
      <c r="AE429" s="5" t="str">
        <f t="shared" ca="1" si="50"/>
        <v>NO PRAZO</v>
      </c>
      <c r="AF429" s="53"/>
    </row>
    <row r="430" spans="1:32" ht="30" customHeight="1" x14ac:dyDescent="0.25">
      <c r="A430" s="5" t="s">
        <v>1332</v>
      </c>
      <c r="B430" s="5" t="s">
        <v>10</v>
      </c>
      <c r="C430" s="5" t="s">
        <v>5864</v>
      </c>
      <c r="D430" s="7" t="s">
        <v>5695</v>
      </c>
      <c r="E430" s="7" t="s">
        <v>256</v>
      </c>
      <c r="F430" s="7" t="s">
        <v>257</v>
      </c>
      <c r="G430" s="7" t="s">
        <v>1329</v>
      </c>
      <c r="H430" s="7" t="s">
        <v>1329</v>
      </c>
      <c r="I430" s="7" t="s">
        <v>1160</v>
      </c>
      <c r="J430" s="7" t="s">
        <v>1161</v>
      </c>
      <c r="K430" s="5" t="s">
        <v>10</v>
      </c>
      <c r="L430" s="5" t="s">
        <v>45</v>
      </c>
      <c r="M430" s="5" t="s">
        <v>10</v>
      </c>
      <c r="N430" s="5" t="s">
        <v>10</v>
      </c>
      <c r="O430" s="46" t="s">
        <v>46</v>
      </c>
      <c r="P430" s="101">
        <v>46142</v>
      </c>
      <c r="Q430" s="100">
        <f t="shared" si="51"/>
        <v>46507</v>
      </c>
      <c r="R430" s="5" t="s">
        <v>2229</v>
      </c>
      <c r="S430" s="5" t="s">
        <v>5362</v>
      </c>
      <c r="T430" s="7">
        <v>9.9000000000000008E-3</v>
      </c>
      <c r="U430" s="7" t="s">
        <v>10</v>
      </c>
      <c r="V430" s="7">
        <f t="shared" si="52"/>
        <v>9.9000000000000008E-3</v>
      </c>
      <c r="W430" s="5" t="s">
        <v>10</v>
      </c>
      <c r="X430" s="5" t="s">
        <v>330</v>
      </c>
      <c r="Y430" s="48" t="str">
        <f t="shared" si="53"/>
        <v>A DEFINIR</v>
      </c>
      <c r="Z430" s="7" t="s">
        <v>56</v>
      </c>
      <c r="AA430" s="5">
        <v>11599508</v>
      </c>
      <c r="AB430" s="5" t="s">
        <v>2856</v>
      </c>
      <c r="AC430" s="5" t="s">
        <v>48</v>
      </c>
      <c r="AD430" s="5" t="s">
        <v>5530</v>
      </c>
      <c r="AE430" s="5" t="str">
        <f t="shared" ca="1" si="50"/>
        <v>NO PRAZO</v>
      </c>
      <c r="AF430" s="49"/>
    </row>
    <row r="431" spans="1:32" ht="30" customHeight="1" x14ac:dyDescent="0.25">
      <c r="A431" s="5" t="s">
        <v>1333</v>
      </c>
      <c r="B431" s="5" t="s">
        <v>10</v>
      </c>
      <c r="C431" s="5" t="s">
        <v>5864</v>
      </c>
      <c r="D431" s="7" t="s">
        <v>5695</v>
      </c>
      <c r="E431" s="7" t="s">
        <v>256</v>
      </c>
      <c r="F431" s="7" t="s">
        <v>257</v>
      </c>
      <c r="G431" s="7" t="s">
        <v>1329</v>
      </c>
      <c r="H431" s="7" t="s">
        <v>1329</v>
      </c>
      <c r="I431" s="7" t="s">
        <v>1160</v>
      </c>
      <c r="J431" s="7" t="s">
        <v>1161</v>
      </c>
      <c r="K431" s="5" t="s">
        <v>10</v>
      </c>
      <c r="L431" s="5" t="s">
        <v>45</v>
      </c>
      <c r="M431" s="5" t="s">
        <v>10</v>
      </c>
      <c r="N431" s="5" t="s">
        <v>10</v>
      </c>
      <c r="O431" s="46" t="s">
        <v>46</v>
      </c>
      <c r="P431" s="101">
        <v>46142</v>
      </c>
      <c r="Q431" s="100">
        <f t="shared" si="51"/>
        <v>46507</v>
      </c>
      <c r="R431" s="5" t="s">
        <v>2230</v>
      </c>
      <c r="S431" s="5" t="s">
        <v>5363</v>
      </c>
      <c r="T431" s="7">
        <v>9.9000000000000008E-3</v>
      </c>
      <c r="U431" s="7" t="s">
        <v>10</v>
      </c>
      <c r="V431" s="7">
        <f t="shared" si="52"/>
        <v>9.9000000000000008E-3</v>
      </c>
      <c r="W431" s="5" t="s">
        <v>10</v>
      </c>
      <c r="X431" s="5" t="s">
        <v>330</v>
      </c>
      <c r="Y431" s="48" t="str">
        <f t="shared" si="53"/>
        <v>A DEFINIR</v>
      </c>
      <c r="Z431" s="7" t="s">
        <v>56</v>
      </c>
      <c r="AA431" s="5">
        <v>11599509</v>
      </c>
      <c r="AB431" s="5" t="s">
        <v>2857</v>
      </c>
      <c r="AC431" s="5" t="s">
        <v>48</v>
      </c>
      <c r="AD431" s="5" t="s">
        <v>5530</v>
      </c>
      <c r="AE431" s="5" t="str">
        <f t="shared" ca="1" si="50"/>
        <v>NO PRAZO</v>
      </c>
      <c r="AF431" s="49"/>
    </row>
    <row r="432" spans="1:32" ht="30" customHeight="1" x14ac:dyDescent="0.25">
      <c r="A432" s="9" t="s">
        <v>3236</v>
      </c>
      <c r="B432" s="5" t="s">
        <v>10</v>
      </c>
      <c r="C432" s="5" t="s">
        <v>5864</v>
      </c>
      <c r="D432" s="61" t="s">
        <v>1334</v>
      </c>
      <c r="E432" s="7" t="s">
        <v>256</v>
      </c>
      <c r="F432" s="7" t="s">
        <v>312</v>
      </c>
      <c r="G432" s="61" t="s">
        <v>1334</v>
      </c>
      <c r="H432" s="61" t="s">
        <v>10</v>
      </c>
      <c r="I432" s="62" t="s">
        <v>1335</v>
      </c>
      <c r="J432" s="62" t="s">
        <v>1336</v>
      </c>
      <c r="K432" s="5" t="s">
        <v>10</v>
      </c>
      <c r="L432" s="5" t="s">
        <v>10</v>
      </c>
      <c r="M432" s="5" t="s">
        <v>10</v>
      </c>
      <c r="N432" s="5" t="s">
        <v>45</v>
      </c>
      <c r="O432" s="80" t="s">
        <v>56</v>
      </c>
      <c r="P432" s="99">
        <v>46205</v>
      </c>
      <c r="Q432" s="100">
        <f t="shared" si="51"/>
        <v>46570</v>
      </c>
      <c r="R432" s="63" t="s">
        <v>2694</v>
      </c>
      <c r="S432" s="63" t="s">
        <v>5742</v>
      </c>
      <c r="T432" s="7">
        <v>6.8000000000000005E-2</v>
      </c>
      <c r="U432" s="7" t="s">
        <v>10</v>
      </c>
      <c r="V432" s="7">
        <f t="shared" si="52"/>
        <v>6.8000000000000005E-2</v>
      </c>
      <c r="W432" s="5" t="s">
        <v>10</v>
      </c>
      <c r="X432" s="5" t="s">
        <v>1337</v>
      </c>
      <c r="Y432" s="48" t="str">
        <f t="shared" si="53"/>
        <v>A DEFINIR</v>
      </c>
      <c r="Z432" s="7" t="s">
        <v>56</v>
      </c>
      <c r="AA432" s="5">
        <v>11599863</v>
      </c>
      <c r="AB432" s="5" t="s">
        <v>2932</v>
      </c>
      <c r="AC432" s="5" t="s">
        <v>48</v>
      </c>
      <c r="AD432" s="5" t="s">
        <v>5632</v>
      </c>
      <c r="AE432" s="5" t="str">
        <f t="shared" ca="1" si="50"/>
        <v>NO PRAZO</v>
      </c>
      <c r="AF432" s="51"/>
    </row>
    <row r="433" spans="1:32" ht="30" customHeight="1" x14ac:dyDescent="0.25">
      <c r="A433" s="9" t="s">
        <v>1338</v>
      </c>
      <c r="B433" s="5" t="s">
        <v>10</v>
      </c>
      <c r="C433" s="5" t="s">
        <v>5864</v>
      </c>
      <c r="D433" s="61" t="s">
        <v>1334</v>
      </c>
      <c r="E433" s="7" t="s">
        <v>256</v>
      </c>
      <c r="F433" s="7" t="s">
        <v>312</v>
      </c>
      <c r="G433" s="61" t="s">
        <v>1339</v>
      </c>
      <c r="H433" s="61" t="s">
        <v>10</v>
      </c>
      <c r="I433" s="61" t="s">
        <v>1340</v>
      </c>
      <c r="J433" s="62" t="s">
        <v>315</v>
      </c>
      <c r="K433" s="5" t="s">
        <v>10</v>
      </c>
      <c r="L433" s="5" t="s">
        <v>10</v>
      </c>
      <c r="M433" s="5" t="s">
        <v>10</v>
      </c>
      <c r="N433" s="5" t="s">
        <v>45</v>
      </c>
      <c r="O433" s="80" t="s">
        <v>56</v>
      </c>
      <c r="P433" s="99">
        <v>45853</v>
      </c>
      <c r="Q433" s="100">
        <f t="shared" si="51"/>
        <v>46218</v>
      </c>
      <c r="R433" s="63" t="s">
        <v>1341</v>
      </c>
      <c r="S433" s="63" t="s">
        <v>3052</v>
      </c>
      <c r="T433" s="7">
        <v>3.2000000000000001E-2</v>
      </c>
      <c r="U433" s="7" t="s">
        <v>10</v>
      </c>
      <c r="V433" s="7">
        <f t="shared" si="52"/>
        <v>3.2000000000000001E-2</v>
      </c>
      <c r="W433" s="5" t="s">
        <v>10</v>
      </c>
      <c r="X433" s="5" t="s">
        <v>1342</v>
      </c>
      <c r="Y433" s="48" t="str">
        <f t="shared" si="53"/>
        <v>A DEFINIR</v>
      </c>
      <c r="Z433" s="7" t="s">
        <v>56</v>
      </c>
      <c r="AA433" s="5">
        <v>11599862</v>
      </c>
      <c r="AB433" s="5" t="s">
        <v>2959</v>
      </c>
      <c r="AC433" s="5" t="s">
        <v>48</v>
      </c>
      <c r="AD433" s="5" t="s">
        <v>5530</v>
      </c>
      <c r="AE433" s="5" t="s">
        <v>5906</v>
      </c>
      <c r="AF433" s="49"/>
    </row>
    <row r="434" spans="1:32" ht="30" customHeight="1" x14ac:dyDescent="0.25">
      <c r="A434" s="5" t="s">
        <v>4958</v>
      </c>
      <c r="B434" s="5" t="s">
        <v>10</v>
      </c>
      <c r="C434" s="5" t="s">
        <v>5863</v>
      </c>
      <c r="D434" s="7" t="s">
        <v>1343</v>
      </c>
      <c r="E434" s="7" t="s">
        <v>311</v>
      </c>
      <c r="F434" s="7" t="s">
        <v>642</v>
      </c>
      <c r="G434" s="7" t="s">
        <v>713</v>
      </c>
      <c r="H434" s="7" t="s">
        <v>1187</v>
      </c>
      <c r="I434" s="7" t="s">
        <v>5036</v>
      </c>
      <c r="J434" s="7" t="s">
        <v>5037</v>
      </c>
      <c r="K434" s="5" t="s">
        <v>10</v>
      </c>
      <c r="L434" s="5" t="s">
        <v>10</v>
      </c>
      <c r="M434" s="5" t="s">
        <v>10</v>
      </c>
      <c r="N434" s="5" t="s">
        <v>45</v>
      </c>
      <c r="O434" s="80" t="s">
        <v>56</v>
      </c>
      <c r="P434" s="101">
        <v>46079</v>
      </c>
      <c r="Q434" s="100">
        <f t="shared" si="51"/>
        <v>46444</v>
      </c>
      <c r="R434" s="63" t="s">
        <v>2085</v>
      </c>
      <c r="S434" s="63" t="s">
        <v>4959</v>
      </c>
      <c r="T434" s="7">
        <v>0.1132</v>
      </c>
      <c r="U434" s="7" t="s">
        <v>10</v>
      </c>
      <c r="V434" s="7">
        <f t="shared" si="52"/>
        <v>0.1132</v>
      </c>
      <c r="W434" s="5" t="s">
        <v>10</v>
      </c>
      <c r="X434" s="5" t="s">
        <v>1182</v>
      </c>
      <c r="Y434" s="48" t="str">
        <f t="shared" si="53"/>
        <v>A DEFINIR</v>
      </c>
      <c r="Z434" s="7" t="s">
        <v>56</v>
      </c>
      <c r="AA434" s="5">
        <v>11541393</v>
      </c>
      <c r="AB434" s="5" t="s">
        <v>2557</v>
      </c>
      <c r="AC434" s="5" t="s">
        <v>48</v>
      </c>
      <c r="AD434" s="5" t="s">
        <v>5530</v>
      </c>
      <c r="AE434" s="5" t="str">
        <f t="shared" ca="1" si="50"/>
        <v>NO PRAZO</v>
      </c>
      <c r="AF434" s="49"/>
    </row>
    <row r="435" spans="1:32" ht="30" customHeight="1" x14ac:dyDescent="0.25">
      <c r="A435" s="5" t="s">
        <v>1344</v>
      </c>
      <c r="B435" s="5" t="s">
        <v>10</v>
      </c>
      <c r="C435" s="5" t="s">
        <v>5863</v>
      </c>
      <c r="D435" s="7" t="s">
        <v>1343</v>
      </c>
      <c r="E435" s="7" t="s">
        <v>311</v>
      </c>
      <c r="F435" s="7" t="s">
        <v>642</v>
      </c>
      <c r="G435" s="7" t="s">
        <v>1078</v>
      </c>
      <c r="H435" s="7" t="s">
        <v>1187</v>
      </c>
      <c r="I435" s="7" t="s">
        <v>5356</v>
      </c>
      <c r="J435" s="7" t="s">
        <v>5356</v>
      </c>
      <c r="K435" s="5" t="s">
        <v>10</v>
      </c>
      <c r="L435" s="5" t="s">
        <v>10</v>
      </c>
      <c r="M435" s="5" t="s">
        <v>10</v>
      </c>
      <c r="N435" s="5" t="s">
        <v>45</v>
      </c>
      <c r="O435" s="80" t="s">
        <v>56</v>
      </c>
      <c r="P435" s="101">
        <v>46128</v>
      </c>
      <c r="Q435" s="100">
        <f t="shared" si="51"/>
        <v>46493</v>
      </c>
      <c r="R435" s="5" t="s">
        <v>2169</v>
      </c>
      <c r="S435" s="5" t="s">
        <v>5271</v>
      </c>
      <c r="T435" s="7">
        <v>8.8999999999999999E-3</v>
      </c>
      <c r="U435" s="7" t="s">
        <v>10</v>
      </c>
      <c r="V435" s="7">
        <f t="shared" si="52"/>
        <v>8.8999999999999999E-3</v>
      </c>
      <c r="W435" s="5" t="s">
        <v>10</v>
      </c>
      <c r="X435" s="5" t="s">
        <v>1182</v>
      </c>
      <c r="Y435" s="48" t="str">
        <f t="shared" si="53"/>
        <v>A DEFINIR</v>
      </c>
      <c r="Z435" s="7" t="s">
        <v>56</v>
      </c>
      <c r="AA435" s="5">
        <v>11603567</v>
      </c>
      <c r="AB435" s="5" t="s">
        <v>2822</v>
      </c>
      <c r="AC435" s="5" t="s">
        <v>48</v>
      </c>
      <c r="AD435" s="5" t="s">
        <v>5530</v>
      </c>
      <c r="AE435" s="5" t="str">
        <f t="shared" ca="1" si="50"/>
        <v>NO PRAZO</v>
      </c>
      <c r="AF435" s="51"/>
    </row>
    <row r="436" spans="1:32" ht="30" customHeight="1" x14ac:dyDescent="0.25">
      <c r="A436" s="5" t="s">
        <v>1345</v>
      </c>
      <c r="B436" s="5" t="s">
        <v>10</v>
      </c>
      <c r="C436" s="5" t="s">
        <v>5863</v>
      </c>
      <c r="D436" s="7" t="s">
        <v>1343</v>
      </c>
      <c r="E436" s="7" t="s">
        <v>311</v>
      </c>
      <c r="F436" s="7" t="s">
        <v>642</v>
      </c>
      <c r="G436" s="7" t="s">
        <v>1078</v>
      </c>
      <c r="H436" s="7" t="s">
        <v>1187</v>
      </c>
      <c r="I436" s="7" t="s">
        <v>5357</v>
      </c>
      <c r="J436" s="7" t="s">
        <v>5357</v>
      </c>
      <c r="K436" s="5" t="s">
        <v>10</v>
      </c>
      <c r="L436" s="5" t="s">
        <v>10</v>
      </c>
      <c r="M436" s="5" t="s">
        <v>10</v>
      </c>
      <c r="N436" s="5" t="s">
        <v>45</v>
      </c>
      <c r="O436" s="80" t="s">
        <v>56</v>
      </c>
      <c r="P436" s="101">
        <v>46128</v>
      </c>
      <c r="Q436" s="100">
        <f t="shared" si="51"/>
        <v>46493</v>
      </c>
      <c r="R436" s="5" t="s">
        <v>2106</v>
      </c>
      <c r="S436" s="5" t="s">
        <v>5272</v>
      </c>
      <c r="T436" s="7">
        <v>2.0199999999999999E-2</v>
      </c>
      <c r="U436" s="7" t="s">
        <v>10</v>
      </c>
      <c r="V436" s="7">
        <f t="shared" si="52"/>
        <v>2.0199999999999999E-2</v>
      </c>
      <c r="W436" s="5" t="s">
        <v>10</v>
      </c>
      <c r="X436" s="5" t="s">
        <v>1182</v>
      </c>
      <c r="Y436" s="48" t="str">
        <f t="shared" si="53"/>
        <v>A DEFINIR</v>
      </c>
      <c r="Z436" s="7" t="s">
        <v>56</v>
      </c>
      <c r="AA436" s="5">
        <v>11541394</v>
      </c>
      <c r="AB436" s="5" t="s">
        <v>2823</v>
      </c>
      <c r="AC436" s="5" t="s">
        <v>48</v>
      </c>
      <c r="AD436" s="5" t="s">
        <v>5530</v>
      </c>
      <c r="AE436" s="5" t="str">
        <f t="shared" ca="1" si="50"/>
        <v>NO PRAZO</v>
      </c>
      <c r="AF436" s="51"/>
    </row>
    <row r="437" spans="1:32" ht="30" customHeight="1" x14ac:dyDescent="0.25">
      <c r="A437" s="5" t="s">
        <v>1346</v>
      </c>
      <c r="B437" s="5" t="s">
        <v>10</v>
      </c>
      <c r="C437" s="5" t="s">
        <v>5863</v>
      </c>
      <c r="D437" s="7" t="s">
        <v>1343</v>
      </c>
      <c r="E437" s="7" t="s">
        <v>311</v>
      </c>
      <c r="F437" s="7" t="s">
        <v>642</v>
      </c>
      <c r="G437" s="7" t="s">
        <v>710</v>
      </c>
      <c r="H437" s="7" t="s">
        <v>1187</v>
      </c>
      <c r="I437" s="7" t="s">
        <v>1347</v>
      </c>
      <c r="J437" s="7" t="s">
        <v>1347</v>
      </c>
      <c r="K437" s="5" t="s">
        <v>10</v>
      </c>
      <c r="L437" s="5" t="s">
        <v>10</v>
      </c>
      <c r="M437" s="5" t="s">
        <v>10</v>
      </c>
      <c r="N437" s="5" t="s">
        <v>45</v>
      </c>
      <c r="O437" s="80" t="s">
        <v>56</v>
      </c>
      <c r="P437" s="101">
        <v>46158</v>
      </c>
      <c r="Q437" s="100">
        <f t="shared" si="51"/>
        <v>46523</v>
      </c>
      <c r="R437" s="5" t="s">
        <v>2325</v>
      </c>
      <c r="S437" s="5" t="s">
        <v>5478</v>
      </c>
      <c r="T437" s="7">
        <v>7.4000000000000003E-3</v>
      </c>
      <c r="U437" s="7"/>
      <c r="V437" s="7">
        <f t="shared" si="52"/>
        <v>7.4000000000000003E-3</v>
      </c>
      <c r="W437" s="7" t="s">
        <v>10</v>
      </c>
      <c r="X437" s="7" t="s">
        <v>1182</v>
      </c>
      <c r="Y437" s="48" t="str">
        <f t="shared" si="53"/>
        <v>A DEFINIR</v>
      </c>
      <c r="Z437" s="7" t="s">
        <v>56</v>
      </c>
      <c r="AA437" s="5">
        <v>11599302</v>
      </c>
      <c r="AB437" s="5" t="s">
        <v>2858</v>
      </c>
      <c r="AC437" s="5" t="s">
        <v>48</v>
      </c>
      <c r="AD437" s="5" t="s">
        <v>5530</v>
      </c>
      <c r="AE437" s="5" t="str">
        <f t="shared" ca="1" si="50"/>
        <v>NO PRAZO</v>
      </c>
      <c r="AF437" s="49"/>
    </row>
    <row r="438" spans="1:32" ht="30" customHeight="1" x14ac:dyDescent="0.25">
      <c r="A438" s="5" t="s">
        <v>2130</v>
      </c>
      <c r="B438" s="5" t="s">
        <v>10</v>
      </c>
      <c r="C438" s="5" t="s">
        <v>5863</v>
      </c>
      <c r="D438" s="7" t="s">
        <v>1343</v>
      </c>
      <c r="E438" s="7" t="s">
        <v>311</v>
      </c>
      <c r="F438" s="7" t="s">
        <v>642</v>
      </c>
      <c r="G438" s="7" t="s">
        <v>2129</v>
      </c>
      <c r="H438" s="7" t="s">
        <v>10</v>
      </c>
      <c r="I438" s="7" t="s">
        <v>5353</v>
      </c>
      <c r="J438" s="7" t="s">
        <v>5353</v>
      </c>
      <c r="K438" s="5" t="s">
        <v>10</v>
      </c>
      <c r="L438" s="5" t="s">
        <v>10</v>
      </c>
      <c r="M438" s="5" t="s">
        <v>10</v>
      </c>
      <c r="N438" s="5" t="s">
        <v>45</v>
      </c>
      <c r="O438" s="95" t="s">
        <v>56</v>
      </c>
      <c r="P438" s="101">
        <v>46128</v>
      </c>
      <c r="Q438" s="100">
        <f t="shared" si="51"/>
        <v>46493</v>
      </c>
      <c r="R438" s="5" t="s">
        <v>2214</v>
      </c>
      <c r="S438" s="5" t="s">
        <v>5279</v>
      </c>
      <c r="T438" s="7">
        <v>2.4E-2</v>
      </c>
      <c r="U438" s="7"/>
      <c r="V438" s="7">
        <f t="shared" si="52"/>
        <v>2.4E-2</v>
      </c>
      <c r="W438" s="5" t="s">
        <v>10</v>
      </c>
      <c r="X438" s="5" t="s">
        <v>1182</v>
      </c>
      <c r="Y438" s="48" t="str">
        <f t="shared" si="53"/>
        <v>A DEFINIR</v>
      </c>
      <c r="Z438" s="7" t="s">
        <v>56</v>
      </c>
      <c r="AA438" s="5">
        <v>11606726</v>
      </c>
      <c r="AB438" s="5" t="s">
        <v>4200</v>
      </c>
      <c r="AC438" s="5" t="s">
        <v>48</v>
      </c>
      <c r="AD438" s="5" t="s">
        <v>5530</v>
      </c>
      <c r="AE438" s="5" t="str">
        <f t="shared" ca="1" si="50"/>
        <v>NO PRAZO</v>
      </c>
      <c r="AF438" s="49"/>
    </row>
    <row r="439" spans="1:32" ht="30" customHeight="1" x14ac:dyDescent="0.25">
      <c r="A439" s="5" t="s">
        <v>3746</v>
      </c>
      <c r="B439" s="130" t="s">
        <v>10</v>
      </c>
      <c r="C439" s="5" t="s">
        <v>5865</v>
      </c>
      <c r="D439" s="7" t="s">
        <v>3748</v>
      </c>
      <c r="E439" s="134" t="s">
        <v>256</v>
      </c>
      <c r="F439" s="134" t="s">
        <v>317</v>
      </c>
      <c r="G439" s="7" t="s">
        <v>1877</v>
      </c>
      <c r="H439" s="7" t="s">
        <v>10</v>
      </c>
      <c r="I439" s="7" t="s">
        <v>3749</v>
      </c>
      <c r="J439" s="7" t="s">
        <v>3750</v>
      </c>
      <c r="K439" s="7" t="s">
        <v>10</v>
      </c>
      <c r="L439" s="7" t="s">
        <v>10</v>
      </c>
      <c r="M439" s="7" t="s">
        <v>10</v>
      </c>
      <c r="N439" s="7" t="s">
        <v>45</v>
      </c>
      <c r="O439" s="119" t="s">
        <v>46</v>
      </c>
      <c r="P439" s="100">
        <v>45952</v>
      </c>
      <c r="Q439" s="100">
        <f t="shared" si="51"/>
        <v>46317</v>
      </c>
      <c r="R439" s="5" t="s">
        <v>273</v>
      </c>
      <c r="S439" s="7" t="s">
        <v>3751</v>
      </c>
      <c r="T439" s="7">
        <v>0.106</v>
      </c>
      <c r="U439" s="7"/>
      <c r="V439" s="7">
        <f t="shared" si="52"/>
        <v>0.106</v>
      </c>
      <c r="W439" s="5" t="s">
        <v>10</v>
      </c>
      <c r="X439" s="5" t="s">
        <v>5185</v>
      </c>
      <c r="Y439" s="48" t="str">
        <f t="shared" si="53"/>
        <v>A DEFINIR</v>
      </c>
      <c r="Z439" s="7" t="s">
        <v>56</v>
      </c>
      <c r="AA439" s="5">
        <v>11606760</v>
      </c>
      <c r="AB439" s="5" t="s">
        <v>4233</v>
      </c>
      <c r="AC439" s="5" t="s">
        <v>48</v>
      </c>
      <c r="AD439" s="5" t="s">
        <v>5530</v>
      </c>
      <c r="AE439" s="5" t="str">
        <f t="shared" ca="1" si="50"/>
        <v>NO PRAZO</v>
      </c>
      <c r="AF439" s="51"/>
    </row>
    <row r="440" spans="1:32" ht="30" customHeight="1" x14ac:dyDescent="0.25">
      <c r="A440" s="5" t="s">
        <v>3747</v>
      </c>
      <c r="B440" s="130" t="s">
        <v>10</v>
      </c>
      <c r="C440" s="5" t="s">
        <v>5865</v>
      </c>
      <c r="D440" s="7" t="s">
        <v>3748</v>
      </c>
      <c r="E440" s="134" t="s">
        <v>256</v>
      </c>
      <c r="F440" s="134" t="s">
        <v>317</v>
      </c>
      <c r="G440" s="7" t="s">
        <v>1877</v>
      </c>
      <c r="H440" s="7" t="s">
        <v>10</v>
      </c>
      <c r="I440" s="7" t="s">
        <v>3749</v>
      </c>
      <c r="J440" s="7" t="s">
        <v>3750</v>
      </c>
      <c r="K440" s="7" t="s">
        <v>10</v>
      </c>
      <c r="L440" s="7" t="s">
        <v>10</v>
      </c>
      <c r="M440" s="7" t="s">
        <v>10</v>
      </c>
      <c r="N440" s="7" t="s">
        <v>45</v>
      </c>
      <c r="O440" s="119" t="s">
        <v>46</v>
      </c>
      <c r="P440" s="100">
        <v>45952</v>
      </c>
      <c r="Q440" s="100">
        <f t="shared" si="51"/>
        <v>46317</v>
      </c>
      <c r="R440" s="5" t="s">
        <v>273</v>
      </c>
      <c r="S440" s="7" t="s">
        <v>3752</v>
      </c>
      <c r="T440" s="7">
        <v>0.03</v>
      </c>
      <c r="U440" s="7"/>
      <c r="V440" s="7">
        <f t="shared" si="52"/>
        <v>0.03</v>
      </c>
      <c r="W440" s="5" t="s">
        <v>10</v>
      </c>
      <c r="X440" s="5" t="s">
        <v>5185</v>
      </c>
      <c r="Y440" s="48" t="str">
        <f t="shared" si="53"/>
        <v>A DEFINIR</v>
      </c>
      <c r="Z440" s="7" t="s">
        <v>56</v>
      </c>
      <c r="AA440" s="5">
        <v>11606761</v>
      </c>
      <c r="AB440" s="5" t="s">
        <v>4234</v>
      </c>
      <c r="AC440" s="5" t="s">
        <v>48</v>
      </c>
      <c r="AD440" s="5" t="s">
        <v>5530</v>
      </c>
      <c r="AE440" s="5" t="str">
        <f t="shared" ca="1" si="50"/>
        <v>NO PRAZO</v>
      </c>
      <c r="AF440" s="51"/>
    </row>
    <row r="441" spans="1:32" ht="30" customHeight="1" x14ac:dyDescent="0.25">
      <c r="A441" s="5" t="s">
        <v>4955</v>
      </c>
      <c r="B441" s="5" t="s">
        <v>1348</v>
      </c>
      <c r="C441" s="5" t="s">
        <v>5863</v>
      </c>
      <c r="D441" s="7" t="s">
        <v>1349</v>
      </c>
      <c r="E441" s="7" t="s">
        <v>311</v>
      </c>
      <c r="F441" s="7" t="s">
        <v>642</v>
      </c>
      <c r="G441" s="7" t="s">
        <v>713</v>
      </c>
      <c r="H441" s="7" t="s">
        <v>1350</v>
      </c>
      <c r="I441" s="62" t="s">
        <v>2209</v>
      </c>
      <c r="J441" s="62" t="s">
        <v>1351</v>
      </c>
      <c r="K441" s="5" t="s">
        <v>10</v>
      </c>
      <c r="L441" s="5" t="s">
        <v>45</v>
      </c>
      <c r="M441" s="5" t="s">
        <v>10</v>
      </c>
      <c r="N441" s="5" t="s">
        <v>10</v>
      </c>
      <c r="O441" s="46" t="s">
        <v>46</v>
      </c>
      <c r="P441" s="101">
        <v>46079</v>
      </c>
      <c r="Q441" s="100">
        <f t="shared" si="51"/>
        <v>46444</v>
      </c>
      <c r="R441" s="63" t="s">
        <v>2208</v>
      </c>
      <c r="S441" s="63" t="s">
        <v>4956</v>
      </c>
      <c r="T441" s="7">
        <v>3.0700000000000002E-2</v>
      </c>
      <c r="U441" s="7" t="s">
        <v>10</v>
      </c>
      <c r="V441" s="7">
        <f t="shared" si="52"/>
        <v>3.0700000000000002E-2</v>
      </c>
      <c r="W441" s="5">
        <v>0.4</v>
      </c>
      <c r="X441" s="5" t="s">
        <v>1182</v>
      </c>
      <c r="Y441" s="48" t="str">
        <f t="shared" si="53"/>
        <v>APROVADO</v>
      </c>
      <c r="Z441" s="7" t="s">
        <v>56</v>
      </c>
      <c r="AA441" s="5">
        <v>11542232</v>
      </c>
      <c r="AB441" s="5" t="s">
        <v>2558</v>
      </c>
      <c r="AC441" s="5" t="s">
        <v>48</v>
      </c>
      <c r="AD441" s="5" t="s">
        <v>5530</v>
      </c>
      <c r="AE441" s="5" t="str">
        <f t="shared" ca="1" si="50"/>
        <v>NO PRAZO</v>
      </c>
      <c r="AF441" s="49"/>
    </row>
    <row r="442" spans="1:32" ht="30" customHeight="1" x14ac:dyDescent="0.25">
      <c r="A442" s="5" t="s">
        <v>1352</v>
      </c>
      <c r="B442" s="5" t="s">
        <v>10</v>
      </c>
      <c r="C442" s="5" t="s">
        <v>5863</v>
      </c>
      <c r="D442" s="7" t="s">
        <v>1349</v>
      </c>
      <c r="E442" s="7" t="s">
        <v>311</v>
      </c>
      <c r="F442" s="7" t="s">
        <v>642</v>
      </c>
      <c r="G442" s="7" t="s">
        <v>713</v>
      </c>
      <c r="H442" s="7" t="s">
        <v>1353</v>
      </c>
      <c r="I442" s="62" t="s">
        <v>1354</v>
      </c>
      <c r="J442" s="62" t="s">
        <v>1354</v>
      </c>
      <c r="K442" s="5" t="s">
        <v>10</v>
      </c>
      <c r="L442" s="5" t="s">
        <v>45</v>
      </c>
      <c r="M442" s="5" t="s">
        <v>10</v>
      </c>
      <c r="N442" s="5" t="s">
        <v>10</v>
      </c>
      <c r="O442" s="46" t="s">
        <v>46</v>
      </c>
      <c r="P442" s="101">
        <v>46079</v>
      </c>
      <c r="Q442" s="100">
        <f t="shared" si="51"/>
        <v>46444</v>
      </c>
      <c r="R442" s="63" t="s">
        <v>2015</v>
      </c>
      <c r="S442" s="63" t="s">
        <v>4960</v>
      </c>
      <c r="T442" s="7">
        <v>3.3</v>
      </c>
      <c r="U442" s="7" t="s">
        <v>10</v>
      </c>
      <c r="V442" s="7">
        <f t="shared" si="52"/>
        <v>3.3</v>
      </c>
      <c r="W442" s="5" t="s">
        <v>10</v>
      </c>
      <c r="X442" s="5" t="s">
        <v>1182</v>
      </c>
      <c r="Y442" s="48" t="str">
        <f t="shared" si="53"/>
        <v>A DEFINIR</v>
      </c>
      <c r="Z442" s="7" t="s">
        <v>56</v>
      </c>
      <c r="AA442" s="5">
        <v>11603771</v>
      </c>
      <c r="AB442" s="5" t="s">
        <v>2559</v>
      </c>
      <c r="AC442" s="5" t="s">
        <v>48</v>
      </c>
      <c r="AD442" s="5" t="s">
        <v>5530</v>
      </c>
      <c r="AE442" s="5" t="str">
        <f t="shared" ca="1" si="50"/>
        <v>NO PRAZO</v>
      </c>
      <c r="AF442" s="49"/>
    </row>
    <row r="443" spans="1:32" ht="30" customHeight="1" x14ac:dyDescent="0.25">
      <c r="A443" s="5" t="s">
        <v>5567</v>
      </c>
      <c r="B443" s="5" t="s">
        <v>1355</v>
      </c>
      <c r="C443" s="5" t="s">
        <v>5863</v>
      </c>
      <c r="D443" s="7" t="s">
        <v>1349</v>
      </c>
      <c r="E443" s="7" t="s">
        <v>311</v>
      </c>
      <c r="F443" s="7" t="s">
        <v>642</v>
      </c>
      <c r="G443" s="7" t="s">
        <v>710</v>
      </c>
      <c r="H443" s="7" t="s">
        <v>710</v>
      </c>
      <c r="I443" s="7" t="s">
        <v>1209</v>
      </c>
      <c r="J443" s="7" t="s">
        <v>1209</v>
      </c>
      <c r="K443" s="5" t="s">
        <v>10</v>
      </c>
      <c r="L443" s="5" t="s">
        <v>10</v>
      </c>
      <c r="M443" s="5" t="s">
        <v>10</v>
      </c>
      <c r="N443" s="5" t="s">
        <v>45</v>
      </c>
      <c r="O443" s="80" t="s">
        <v>56</v>
      </c>
      <c r="P443" s="101">
        <v>46158</v>
      </c>
      <c r="Q443" s="100">
        <f t="shared" si="51"/>
        <v>46523</v>
      </c>
      <c r="R443" s="5" t="s">
        <v>2326</v>
      </c>
      <c r="S443" s="5" t="s">
        <v>5480</v>
      </c>
      <c r="T443" s="7">
        <v>1.6299999999999999E-2</v>
      </c>
      <c r="U443" s="7" t="s">
        <v>10</v>
      </c>
      <c r="V443" s="7">
        <f t="shared" si="52"/>
        <v>1.6299999999999999E-2</v>
      </c>
      <c r="W443" s="7">
        <v>0.25</v>
      </c>
      <c r="X443" s="7" t="s">
        <v>682</v>
      </c>
      <c r="Y443" s="48" t="str">
        <f t="shared" si="53"/>
        <v>APROVADO</v>
      </c>
      <c r="Z443" s="7" t="s">
        <v>56</v>
      </c>
      <c r="AA443" s="5">
        <v>11540958</v>
      </c>
      <c r="AB443" s="5" t="s">
        <v>2859</v>
      </c>
      <c r="AC443" s="5" t="s">
        <v>48</v>
      </c>
      <c r="AD443" s="5" t="s">
        <v>5530</v>
      </c>
      <c r="AE443" s="5" t="str">
        <f t="shared" ca="1" si="50"/>
        <v>NO PRAZO</v>
      </c>
      <c r="AF443" s="49"/>
    </row>
    <row r="444" spans="1:32" ht="30" customHeight="1" x14ac:dyDescent="0.25">
      <c r="A444" s="5" t="s">
        <v>5696</v>
      </c>
      <c r="B444" s="5" t="s">
        <v>1356</v>
      </c>
      <c r="C444" s="5" t="s">
        <v>5863</v>
      </c>
      <c r="D444" s="7" t="s">
        <v>1349</v>
      </c>
      <c r="E444" s="7" t="s">
        <v>311</v>
      </c>
      <c r="F444" s="7" t="s">
        <v>642</v>
      </c>
      <c r="G444" s="7" t="s">
        <v>710</v>
      </c>
      <c r="H444" s="7" t="s">
        <v>710</v>
      </c>
      <c r="I444" s="7" t="s">
        <v>1211</v>
      </c>
      <c r="J444" s="7" t="s">
        <v>1211</v>
      </c>
      <c r="K444" s="5" t="s">
        <v>10</v>
      </c>
      <c r="L444" s="5" t="s">
        <v>10</v>
      </c>
      <c r="M444" s="5" t="s">
        <v>10</v>
      </c>
      <c r="N444" s="5" t="s">
        <v>45</v>
      </c>
      <c r="O444" s="80" t="s">
        <v>56</v>
      </c>
      <c r="P444" s="101">
        <v>46158</v>
      </c>
      <c r="Q444" s="100">
        <f t="shared" si="51"/>
        <v>46523</v>
      </c>
      <c r="R444" s="5" t="s">
        <v>2327</v>
      </c>
      <c r="S444" s="5" t="s">
        <v>5481</v>
      </c>
      <c r="T444" s="7">
        <v>2.5</v>
      </c>
      <c r="U444" s="7" t="s">
        <v>10</v>
      </c>
      <c r="V444" s="7">
        <f t="shared" si="52"/>
        <v>2.5</v>
      </c>
      <c r="W444" s="7" t="s">
        <v>10</v>
      </c>
      <c r="X444" s="7" t="s">
        <v>1212</v>
      </c>
      <c r="Y444" s="48" t="str">
        <f t="shared" si="53"/>
        <v>A DEFINIR</v>
      </c>
      <c r="Z444" s="7" t="s">
        <v>56</v>
      </c>
      <c r="AA444" s="5">
        <v>11557572</v>
      </c>
      <c r="AB444" s="5" t="s">
        <v>2860</v>
      </c>
      <c r="AC444" s="5" t="s">
        <v>48</v>
      </c>
      <c r="AD444" s="5" t="s">
        <v>5530</v>
      </c>
      <c r="AE444" s="5" t="str">
        <f t="shared" ca="1" si="50"/>
        <v>NO PRAZO</v>
      </c>
      <c r="AF444" s="49"/>
    </row>
    <row r="445" spans="1:32" ht="30" customHeight="1" x14ac:dyDescent="0.25">
      <c r="A445" s="5" t="s">
        <v>2131</v>
      </c>
      <c r="B445" s="5" t="s">
        <v>10</v>
      </c>
      <c r="C445" s="5" t="s">
        <v>5863</v>
      </c>
      <c r="D445" s="7" t="s">
        <v>712</v>
      </c>
      <c r="E445" s="7" t="s">
        <v>311</v>
      </c>
      <c r="F445" s="7" t="s">
        <v>642</v>
      </c>
      <c r="G445" s="7" t="s">
        <v>2129</v>
      </c>
      <c r="H445" s="7" t="s">
        <v>10</v>
      </c>
      <c r="I445" s="145" t="s">
        <v>5352</v>
      </c>
      <c r="J445" s="145" t="s">
        <v>5352</v>
      </c>
      <c r="K445" s="5" t="s">
        <v>10</v>
      </c>
      <c r="L445" s="5" t="s">
        <v>10</v>
      </c>
      <c r="M445" s="5" t="s">
        <v>10</v>
      </c>
      <c r="N445" s="5" t="s">
        <v>45</v>
      </c>
      <c r="O445" s="95" t="s">
        <v>56</v>
      </c>
      <c r="P445" s="101">
        <v>46128</v>
      </c>
      <c r="Q445" s="100">
        <f t="shared" si="51"/>
        <v>46493</v>
      </c>
      <c r="R445" s="5" t="s">
        <v>2154</v>
      </c>
      <c r="S445" s="5" t="s">
        <v>5280</v>
      </c>
      <c r="T445" s="7">
        <v>11.4</v>
      </c>
      <c r="U445" s="7"/>
      <c r="V445" s="7">
        <f t="shared" si="52"/>
        <v>11.4</v>
      </c>
      <c r="W445" s="5" t="s">
        <v>10</v>
      </c>
      <c r="X445" s="5" t="s">
        <v>5186</v>
      </c>
      <c r="Y445" s="48" t="str">
        <f t="shared" si="53"/>
        <v>A DEFINIR</v>
      </c>
      <c r="Z445" s="7" t="s">
        <v>56</v>
      </c>
      <c r="AA445" s="5">
        <v>11606727</v>
      </c>
      <c r="AB445" s="5" t="s">
        <v>4201</v>
      </c>
      <c r="AC445" s="5" t="s">
        <v>48</v>
      </c>
      <c r="AD445" s="5" t="s">
        <v>5530</v>
      </c>
      <c r="AE445" s="5" t="str">
        <f t="shared" ca="1" si="50"/>
        <v>NO PRAZO</v>
      </c>
      <c r="AF445" s="49"/>
    </row>
    <row r="446" spans="1:32" ht="30" customHeight="1" x14ac:dyDescent="0.25">
      <c r="A446" s="7" t="s">
        <v>4720</v>
      </c>
      <c r="B446" s="5" t="s">
        <v>4965</v>
      </c>
      <c r="C446" s="5" t="s">
        <v>5863</v>
      </c>
      <c r="D446" s="7" t="s">
        <v>1349</v>
      </c>
      <c r="E446" s="7" t="s">
        <v>50</v>
      </c>
      <c r="F446" s="7" t="s">
        <v>221</v>
      </c>
      <c r="G446" s="7" t="s">
        <v>286</v>
      </c>
      <c r="H446" s="7" t="s">
        <v>1188</v>
      </c>
      <c r="I446" s="7" t="s">
        <v>1266</v>
      </c>
      <c r="J446" s="7" t="s">
        <v>1189</v>
      </c>
      <c r="K446" s="7" t="s">
        <v>10</v>
      </c>
      <c r="L446" s="7" t="s">
        <v>10</v>
      </c>
      <c r="M446" s="7" t="s">
        <v>10</v>
      </c>
      <c r="N446" s="7" t="s">
        <v>45</v>
      </c>
      <c r="O446" s="80" t="s">
        <v>56</v>
      </c>
      <c r="P446" s="100">
        <v>46061</v>
      </c>
      <c r="Q446" s="100">
        <f t="shared" si="51"/>
        <v>46426</v>
      </c>
      <c r="R446" s="5" t="s">
        <v>1941</v>
      </c>
      <c r="S446" s="5" t="s">
        <v>4764</v>
      </c>
      <c r="T446" s="7">
        <v>4.1999999999999997E-3</v>
      </c>
      <c r="U446" s="7" t="s">
        <v>10</v>
      </c>
      <c r="V446" s="7">
        <f t="shared" si="52"/>
        <v>4.1999999999999997E-3</v>
      </c>
      <c r="W446" s="7">
        <v>0.05</v>
      </c>
      <c r="X446" s="7" t="s">
        <v>1182</v>
      </c>
      <c r="Y446" s="48" t="str">
        <f t="shared" si="53"/>
        <v>APROVADO</v>
      </c>
      <c r="Z446" s="7" t="s">
        <v>56</v>
      </c>
      <c r="AA446" s="5">
        <v>11542343</v>
      </c>
      <c r="AB446" s="5" t="s">
        <v>4675</v>
      </c>
      <c r="AC446" s="5" t="s">
        <v>48</v>
      </c>
      <c r="AD446" s="5" t="s">
        <v>5530</v>
      </c>
      <c r="AE446" s="5" t="str">
        <f t="shared" ca="1" si="50"/>
        <v>NO PRAZO</v>
      </c>
      <c r="AF446" s="52"/>
    </row>
    <row r="447" spans="1:32" ht="30" customHeight="1" x14ac:dyDescent="0.25">
      <c r="A447" s="7" t="s">
        <v>4721</v>
      </c>
      <c r="B447" s="5" t="s">
        <v>4966</v>
      </c>
      <c r="C447" s="5" t="s">
        <v>5863</v>
      </c>
      <c r="D447" s="7" t="s">
        <v>1349</v>
      </c>
      <c r="E447" s="7" t="s">
        <v>50</v>
      </c>
      <c r="F447" s="7" t="s">
        <v>221</v>
      </c>
      <c r="G447" s="7" t="s">
        <v>286</v>
      </c>
      <c r="H447" s="7" t="s">
        <v>1188</v>
      </c>
      <c r="I447" s="7" t="s">
        <v>1266</v>
      </c>
      <c r="J447" s="7" t="s">
        <v>1189</v>
      </c>
      <c r="K447" s="7" t="s">
        <v>10</v>
      </c>
      <c r="L447" s="7" t="s">
        <v>10</v>
      </c>
      <c r="M447" s="7" t="s">
        <v>10</v>
      </c>
      <c r="N447" s="7" t="s">
        <v>45</v>
      </c>
      <c r="O447" s="80" t="s">
        <v>56</v>
      </c>
      <c r="P447" s="100">
        <v>46061</v>
      </c>
      <c r="Q447" s="100">
        <f t="shared" si="51"/>
        <v>46426</v>
      </c>
      <c r="R447" s="5" t="s">
        <v>1942</v>
      </c>
      <c r="S447" s="5" t="s">
        <v>4765</v>
      </c>
      <c r="T447" s="7">
        <v>4.4999999999999997E-3</v>
      </c>
      <c r="U447" s="7" t="s">
        <v>10</v>
      </c>
      <c r="V447" s="7">
        <f t="shared" si="52"/>
        <v>4.4999999999999997E-3</v>
      </c>
      <c r="W447" s="7">
        <v>0.05</v>
      </c>
      <c r="X447" s="7" t="s">
        <v>1182</v>
      </c>
      <c r="Y447" s="48" t="str">
        <f t="shared" si="53"/>
        <v>APROVADO</v>
      </c>
      <c r="Z447" s="7" t="s">
        <v>56</v>
      </c>
      <c r="AA447" s="5">
        <v>11596924</v>
      </c>
      <c r="AB447" s="5" t="s">
        <v>4675</v>
      </c>
      <c r="AC447" s="5" t="s">
        <v>48</v>
      </c>
      <c r="AD447" s="5" t="s">
        <v>5530</v>
      </c>
      <c r="AE447" s="5" t="str">
        <f t="shared" ca="1" si="50"/>
        <v>NO PRAZO</v>
      </c>
      <c r="AF447" s="52"/>
    </row>
    <row r="448" spans="1:32" ht="30" customHeight="1" x14ac:dyDescent="0.25">
      <c r="A448" s="7" t="s">
        <v>1357</v>
      </c>
      <c r="B448" s="5" t="s">
        <v>10</v>
      </c>
      <c r="C448" s="5" t="s">
        <v>5863</v>
      </c>
      <c r="D448" s="7" t="s">
        <v>1349</v>
      </c>
      <c r="E448" s="7" t="s">
        <v>50</v>
      </c>
      <c r="F448" s="7" t="s">
        <v>221</v>
      </c>
      <c r="G448" s="7" t="s">
        <v>222</v>
      </c>
      <c r="H448" s="7" t="s">
        <v>1188</v>
      </c>
      <c r="I448" s="7" t="s">
        <v>1266</v>
      </c>
      <c r="J448" s="7" t="s">
        <v>1189</v>
      </c>
      <c r="K448" s="7" t="s">
        <v>10</v>
      </c>
      <c r="L448" s="7" t="s">
        <v>10</v>
      </c>
      <c r="M448" s="7" t="s">
        <v>10</v>
      </c>
      <c r="N448" s="7" t="s">
        <v>45</v>
      </c>
      <c r="O448" s="80" t="s">
        <v>56</v>
      </c>
      <c r="P448" s="100">
        <v>46061</v>
      </c>
      <c r="Q448" s="100">
        <f t="shared" si="51"/>
        <v>46426</v>
      </c>
      <c r="R448" s="5" t="s">
        <v>1943</v>
      </c>
      <c r="S448" s="5" t="s">
        <v>4766</v>
      </c>
      <c r="T448" s="7">
        <v>1.3100000000000001E-2</v>
      </c>
      <c r="U448" s="7" t="s">
        <v>10</v>
      </c>
      <c r="V448" s="7">
        <f t="shared" si="52"/>
        <v>1.3100000000000001E-2</v>
      </c>
      <c r="W448" s="7">
        <v>0.05</v>
      </c>
      <c r="X448" s="7" t="s">
        <v>1182</v>
      </c>
      <c r="Y448" s="48" t="str">
        <f t="shared" si="53"/>
        <v>APROVADO</v>
      </c>
      <c r="Z448" s="7" t="s">
        <v>56</v>
      </c>
      <c r="AA448" s="5">
        <v>11542346</v>
      </c>
      <c r="AB448" s="5" t="s">
        <v>2560</v>
      </c>
      <c r="AC448" s="5" t="s">
        <v>48</v>
      </c>
      <c r="AD448" s="5" t="s">
        <v>5530</v>
      </c>
      <c r="AE448" s="5" t="str">
        <f t="shared" ca="1" si="50"/>
        <v>NO PRAZO</v>
      </c>
      <c r="AF448" s="52"/>
    </row>
    <row r="449" spans="1:32" ht="30" customHeight="1" x14ac:dyDescent="0.25">
      <c r="A449" s="7" t="s">
        <v>1358</v>
      </c>
      <c r="B449" s="5" t="s">
        <v>10</v>
      </c>
      <c r="C449" s="5" t="s">
        <v>5863</v>
      </c>
      <c r="D449" s="7" t="s">
        <v>1349</v>
      </c>
      <c r="E449" s="7" t="s">
        <v>50</v>
      </c>
      <c r="F449" s="7" t="s">
        <v>221</v>
      </c>
      <c r="G449" s="7" t="s">
        <v>290</v>
      </c>
      <c r="H449" s="7" t="s">
        <v>1188</v>
      </c>
      <c r="I449" s="7" t="s">
        <v>1185</v>
      </c>
      <c r="J449" s="7" t="s">
        <v>1189</v>
      </c>
      <c r="K449" s="7" t="s">
        <v>10</v>
      </c>
      <c r="L449" s="7" t="s">
        <v>10</v>
      </c>
      <c r="M449" s="7" t="s">
        <v>10</v>
      </c>
      <c r="N449" s="7" t="s">
        <v>45</v>
      </c>
      <c r="O449" s="80" t="s">
        <v>56</v>
      </c>
      <c r="P449" s="100">
        <v>46059</v>
      </c>
      <c r="Q449" s="100">
        <f t="shared" si="51"/>
        <v>46424</v>
      </c>
      <c r="R449" s="5" t="s">
        <v>1944</v>
      </c>
      <c r="S449" s="5" t="s">
        <v>4713</v>
      </c>
      <c r="T449" s="7">
        <v>1.38E-2</v>
      </c>
      <c r="U449" s="7" t="s">
        <v>10</v>
      </c>
      <c r="V449" s="7">
        <f t="shared" si="52"/>
        <v>1.38E-2</v>
      </c>
      <c r="W449" s="7">
        <v>0.06</v>
      </c>
      <c r="X449" s="7" t="s">
        <v>1182</v>
      </c>
      <c r="Y449" s="48" t="str">
        <f t="shared" si="53"/>
        <v>APROVADO</v>
      </c>
      <c r="Z449" s="7" t="s">
        <v>56</v>
      </c>
      <c r="AA449" s="5">
        <v>11542347</v>
      </c>
      <c r="AB449" s="5" t="s">
        <v>2561</v>
      </c>
      <c r="AC449" s="5" t="s">
        <v>48</v>
      </c>
      <c r="AD449" s="5" t="s">
        <v>5530</v>
      </c>
      <c r="AE449" s="5" t="str">
        <f t="shared" ca="1" si="50"/>
        <v>NO PRAZO</v>
      </c>
      <c r="AF449" s="51"/>
    </row>
    <row r="450" spans="1:32" ht="30" customHeight="1" x14ac:dyDescent="0.25">
      <c r="A450" s="7" t="s">
        <v>1359</v>
      </c>
      <c r="B450" s="5" t="s">
        <v>10</v>
      </c>
      <c r="C450" s="5" t="s">
        <v>5863</v>
      </c>
      <c r="D450" s="7" t="s">
        <v>1349</v>
      </c>
      <c r="E450" s="7" t="s">
        <v>50</v>
      </c>
      <c r="F450" s="7" t="s">
        <v>221</v>
      </c>
      <c r="G450" s="7" t="s">
        <v>290</v>
      </c>
      <c r="H450" s="7" t="s">
        <v>1188</v>
      </c>
      <c r="I450" s="7" t="s">
        <v>1266</v>
      </c>
      <c r="J450" s="7" t="s">
        <v>1189</v>
      </c>
      <c r="K450" s="7" t="s">
        <v>10</v>
      </c>
      <c r="L450" s="7" t="s">
        <v>10</v>
      </c>
      <c r="M450" s="7" t="s">
        <v>10</v>
      </c>
      <c r="N450" s="7" t="s">
        <v>45</v>
      </c>
      <c r="O450" s="80" t="s">
        <v>56</v>
      </c>
      <c r="P450" s="100">
        <v>46059</v>
      </c>
      <c r="Q450" s="100">
        <f t="shared" si="51"/>
        <v>46424</v>
      </c>
      <c r="R450" s="5" t="s">
        <v>1945</v>
      </c>
      <c r="S450" s="5" t="s">
        <v>4714</v>
      </c>
      <c r="T450" s="7">
        <v>1.84E-2</v>
      </c>
      <c r="U450" s="7" t="s">
        <v>10</v>
      </c>
      <c r="V450" s="7">
        <f t="shared" si="52"/>
        <v>1.84E-2</v>
      </c>
      <c r="W450" s="7">
        <v>0.05</v>
      </c>
      <c r="X450" s="7" t="s">
        <v>1182</v>
      </c>
      <c r="Y450" s="48" t="str">
        <f t="shared" si="53"/>
        <v>APROVADO</v>
      </c>
      <c r="Z450" s="7" t="s">
        <v>56</v>
      </c>
      <c r="AA450" s="5">
        <v>11596925</v>
      </c>
      <c r="AB450" s="5" t="s">
        <v>2562</v>
      </c>
      <c r="AC450" s="5" t="s">
        <v>48</v>
      </c>
      <c r="AD450" s="5" t="s">
        <v>5530</v>
      </c>
      <c r="AE450" s="5" t="str">
        <f t="shared" ca="1" si="50"/>
        <v>NO PRAZO</v>
      </c>
      <c r="AF450" s="51"/>
    </row>
    <row r="451" spans="1:32" ht="30" customHeight="1" x14ac:dyDescent="0.25">
      <c r="A451" s="7" t="s">
        <v>1360</v>
      </c>
      <c r="B451" s="5" t="s">
        <v>10</v>
      </c>
      <c r="C451" s="5" t="s">
        <v>5863</v>
      </c>
      <c r="D451" s="7" t="s">
        <v>1349</v>
      </c>
      <c r="E451" s="7" t="s">
        <v>50</v>
      </c>
      <c r="F451" s="7" t="s">
        <v>221</v>
      </c>
      <c r="G451" s="7" t="s">
        <v>303</v>
      </c>
      <c r="H451" s="7" t="s">
        <v>1188</v>
      </c>
      <c r="I451" s="7" t="s">
        <v>1266</v>
      </c>
      <c r="J451" s="7" t="s">
        <v>1189</v>
      </c>
      <c r="K451" s="7" t="s">
        <v>10</v>
      </c>
      <c r="L451" s="7" t="s">
        <v>10</v>
      </c>
      <c r="M451" s="7" t="s">
        <v>10</v>
      </c>
      <c r="N451" s="7" t="s">
        <v>45</v>
      </c>
      <c r="O451" s="80" t="s">
        <v>56</v>
      </c>
      <c r="P451" s="100">
        <v>46061</v>
      </c>
      <c r="Q451" s="100">
        <f t="shared" si="51"/>
        <v>46426</v>
      </c>
      <c r="R451" s="5" t="s">
        <v>1946</v>
      </c>
      <c r="S451" s="5" t="s">
        <v>4767</v>
      </c>
      <c r="T451" s="7">
        <v>1.24E-2</v>
      </c>
      <c r="U451" s="7" t="s">
        <v>10</v>
      </c>
      <c r="V451" s="7">
        <f t="shared" si="52"/>
        <v>1.24E-2</v>
      </c>
      <c r="W451" s="7">
        <v>0.05</v>
      </c>
      <c r="X451" s="7" t="s">
        <v>1182</v>
      </c>
      <c r="Y451" s="48" t="str">
        <f t="shared" si="53"/>
        <v>APROVADO</v>
      </c>
      <c r="Z451" s="7" t="s">
        <v>56</v>
      </c>
      <c r="AA451" s="5">
        <v>11542348</v>
      </c>
      <c r="AB451" s="5" t="s">
        <v>2563</v>
      </c>
      <c r="AC451" s="5" t="s">
        <v>48</v>
      </c>
      <c r="AD451" s="5" t="s">
        <v>5530</v>
      </c>
      <c r="AE451" s="5" t="str">
        <f t="shared" ca="1" si="50"/>
        <v>NO PRAZO</v>
      </c>
      <c r="AF451" s="52"/>
    </row>
    <row r="452" spans="1:32" ht="30" customHeight="1" x14ac:dyDescent="0.25">
      <c r="A452" s="7" t="s">
        <v>1361</v>
      </c>
      <c r="B452" s="5" t="s">
        <v>10</v>
      </c>
      <c r="C452" s="5" t="s">
        <v>5863</v>
      </c>
      <c r="D452" s="7" t="s">
        <v>1349</v>
      </c>
      <c r="E452" s="7" t="s">
        <v>50</v>
      </c>
      <c r="F452" s="7" t="s">
        <v>221</v>
      </c>
      <c r="G452" s="7" t="s">
        <v>303</v>
      </c>
      <c r="H452" s="7" t="s">
        <v>1188</v>
      </c>
      <c r="I452" s="7" t="s">
        <v>1266</v>
      </c>
      <c r="J452" s="7" t="s">
        <v>1189</v>
      </c>
      <c r="K452" s="7" t="s">
        <v>10</v>
      </c>
      <c r="L452" s="7" t="s">
        <v>10</v>
      </c>
      <c r="M452" s="7" t="s">
        <v>10</v>
      </c>
      <c r="N452" s="7" t="s">
        <v>45</v>
      </c>
      <c r="O452" s="80" t="s">
        <v>56</v>
      </c>
      <c r="P452" s="100">
        <v>46061</v>
      </c>
      <c r="Q452" s="100">
        <f t="shared" si="51"/>
        <v>46426</v>
      </c>
      <c r="R452" s="5" t="s">
        <v>1947</v>
      </c>
      <c r="S452" s="5" t="s">
        <v>4768</v>
      </c>
      <c r="T452" s="7">
        <v>1.5299999999999999E-2</v>
      </c>
      <c r="U452" s="7" t="s">
        <v>10</v>
      </c>
      <c r="V452" s="7">
        <f t="shared" si="52"/>
        <v>1.5299999999999999E-2</v>
      </c>
      <c r="W452" s="7">
        <v>0.05</v>
      </c>
      <c r="X452" s="7" t="s">
        <v>1182</v>
      </c>
      <c r="Y452" s="48" t="str">
        <f t="shared" si="53"/>
        <v>APROVADO</v>
      </c>
      <c r="Z452" s="7" t="s">
        <v>56</v>
      </c>
      <c r="AA452" s="5">
        <v>11596926</v>
      </c>
      <c r="AB452" s="5" t="s">
        <v>2564</v>
      </c>
      <c r="AC452" s="5" t="s">
        <v>48</v>
      </c>
      <c r="AD452" s="5" t="s">
        <v>5530</v>
      </c>
      <c r="AE452" s="5" t="str">
        <f t="shared" ca="1" si="50"/>
        <v>NO PRAZO</v>
      </c>
      <c r="AF452" s="52"/>
    </row>
    <row r="453" spans="1:32" ht="30" customHeight="1" x14ac:dyDescent="0.25">
      <c r="A453" s="7" t="s">
        <v>1362</v>
      </c>
      <c r="B453" s="5" t="s">
        <v>10</v>
      </c>
      <c r="C453" s="5" t="s">
        <v>5863</v>
      </c>
      <c r="D453" s="7" t="s">
        <v>1349</v>
      </c>
      <c r="E453" s="7" t="s">
        <v>50</v>
      </c>
      <c r="F453" s="7" t="s">
        <v>221</v>
      </c>
      <c r="G453" s="7" t="s">
        <v>236</v>
      </c>
      <c r="H453" s="7" t="s">
        <v>1188</v>
      </c>
      <c r="I453" s="7" t="s">
        <v>1269</v>
      </c>
      <c r="J453" s="7" t="s">
        <v>1189</v>
      </c>
      <c r="K453" s="7" t="s">
        <v>10</v>
      </c>
      <c r="L453" s="7" t="s">
        <v>10</v>
      </c>
      <c r="M453" s="7" t="s">
        <v>10</v>
      </c>
      <c r="N453" s="7" t="s">
        <v>45</v>
      </c>
      <c r="O453" s="80" t="s">
        <v>56</v>
      </c>
      <c r="P453" s="100">
        <v>46059</v>
      </c>
      <c r="Q453" s="100">
        <f t="shared" si="51"/>
        <v>46424</v>
      </c>
      <c r="R453" s="5" t="s">
        <v>1948</v>
      </c>
      <c r="S453" s="5" t="s">
        <v>4716</v>
      </c>
      <c r="T453" s="7">
        <v>3.5099999999999999E-2</v>
      </c>
      <c r="U453" s="7" t="s">
        <v>10</v>
      </c>
      <c r="V453" s="7">
        <f t="shared" si="52"/>
        <v>3.5099999999999999E-2</v>
      </c>
      <c r="W453" s="7">
        <v>0.04</v>
      </c>
      <c r="X453" s="7" t="s">
        <v>1182</v>
      </c>
      <c r="Y453" s="48" t="str">
        <f t="shared" si="53"/>
        <v>APROVADO</v>
      </c>
      <c r="Z453" s="7" t="s">
        <v>56</v>
      </c>
      <c r="AA453" s="5">
        <v>11542349</v>
      </c>
      <c r="AB453" s="5" t="s">
        <v>2565</v>
      </c>
      <c r="AC453" s="5" t="s">
        <v>48</v>
      </c>
      <c r="AD453" s="5" t="s">
        <v>5530</v>
      </c>
      <c r="AE453" s="5" t="str">
        <f t="shared" ca="1" si="50"/>
        <v>NO PRAZO</v>
      </c>
      <c r="AF453" s="51"/>
    </row>
    <row r="454" spans="1:32" ht="30" customHeight="1" x14ac:dyDescent="0.25">
      <c r="A454" s="7" t="s">
        <v>4712</v>
      </c>
      <c r="B454" s="5" t="s">
        <v>10</v>
      </c>
      <c r="C454" s="5" t="s">
        <v>5863</v>
      </c>
      <c r="D454" s="7" t="s">
        <v>1349</v>
      </c>
      <c r="E454" s="7" t="s">
        <v>50</v>
      </c>
      <c r="F454" s="7" t="s">
        <v>221</v>
      </c>
      <c r="G454" s="7" t="s">
        <v>236</v>
      </c>
      <c r="H454" s="7" t="s">
        <v>1188</v>
      </c>
      <c r="I454" s="7" t="s">
        <v>1266</v>
      </c>
      <c r="J454" s="7" t="s">
        <v>1189</v>
      </c>
      <c r="K454" s="7" t="s">
        <v>10</v>
      </c>
      <c r="L454" s="7" t="s">
        <v>10</v>
      </c>
      <c r="M454" s="7" t="s">
        <v>10</v>
      </c>
      <c r="N454" s="7" t="s">
        <v>45</v>
      </c>
      <c r="O454" s="80" t="s">
        <v>56</v>
      </c>
      <c r="P454" s="100">
        <v>46059</v>
      </c>
      <c r="Q454" s="100">
        <f t="shared" si="51"/>
        <v>46424</v>
      </c>
      <c r="R454" s="5" t="s">
        <v>10</v>
      </c>
      <c r="S454" s="5" t="s">
        <v>4715</v>
      </c>
      <c r="T454" s="7">
        <v>2.2100000000000002E-2</v>
      </c>
      <c r="U454" s="7" t="s">
        <v>10</v>
      </c>
      <c r="V454" s="7">
        <f t="shared" si="52"/>
        <v>2.2100000000000002E-2</v>
      </c>
      <c r="W454" s="7">
        <v>0.05</v>
      </c>
      <c r="X454" s="7" t="s">
        <v>1182</v>
      </c>
      <c r="Y454" s="48" t="str">
        <f t="shared" si="53"/>
        <v>APROVADO</v>
      </c>
      <c r="Z454" s="7" t="s">
        <v>56</v>
      </c>
      <c r="AA454" s="5">
        <v>11542345</v>
      </c>
      <c r="AB454" s="5" t="s">
        <v>4924</v>
      </c>
      <c r="AC454" s="5" t="s">
        <v>48</v>
      </c>
      <c r="AD454" s="5" t="s">
        <v>5530</v>
      </c>
      <c r="AE454" s="5" t="str">
        <f t="shared" ca="1" si="50"/>
        <v>NO PRAZO</v>
      </c>
      <c r="AF454" s="51"/>
    </row>
    <row r="455" spans="1:32" ht="30" customHeight="1" x14ac:dyDescent="0.25">
      <c r="A455" s="7" t="s">
        <v>1363</v>
      </c>
      <c r="B455" s="5" t="s">
        <v>10</v>
      </c>
      <c r="C455" s="5" t="s">
        <v>5863</v>
      </c>
      <c r="D455" s="7" t="s">
        <v>1349</v>
      </c>
      <c r="E455" s="7" t="s">
        <v>50</v>
      </c>
      <c r="F455" s="7" t="s">
        <v>221</v>
      </c>
      <c r="G455" s="7" t="s">
        <v>307</v>
      </c>
      <c r="H455" s="7" t="s">
        <v>1188</v>
      </c>
      <c r="I455" s="7" t="s">
        <v>1269</v>
      </c>
      <c r="J455" s="7" t="s">
        <v>1189</v>
      </c>
      <c r="K455" s="7" t="s">
        <v>10</v>
      </c>
      <c r="L455" s="7" t="s">
        <v>10</v>
      </c>
      <c r="M455" s="7" t="s">
        <v>10</v>
      </c>
      <c r="N455" s="7" t="s">
        <v>45</v>
      </c>
      <c r="O455" s="80" t="s">
        <v>56</v>
      </c>
      <c r="P455" s="100">
        <v>46061</v>
      </c>
      <c r="Q455" s="100">
        <f t="shared" si="51"/>
        <v>46426</v>
      </c>
      <c r="R455" s="5" t="s">
        <v>1949</v>
      </c>
      <c r="S455" s="5" t="s">
        <v>4769</v>
      </c>
      <c r="T455" s="7">
        <v>1.0999999999999999E-2</v>
      </c>
      <c r="U455" s="7" t="s">
        <v>10</v>
      </c>
      <c r="V455" s="7">
        <f t="shared" si="52"/>
        <v>1.0999999999999999E-2</v>
      </c>
      <c r="W455" s="7">
        <v>0.04</v>
      </c>
      <c r="X455" s="7" t="s">
        <v>1182</v>
      </c>
      <c r="Y455" s="48" t="str">
        <f t="shared" si="53"/>
        <v>APROVADO</v>
      </c>
      <c r="Z455" s="7" t="s">
        <v>56</v>
      </c>
      <c r="AA455" s="5">
        <v>11542350</v>
      </c>
      <c r="AB455" s="5" t="s">
        <v>2566</v>
      </c>
      <c r="AC455" s="5" t="s">
        <v>48</v>
      </c>
      <c r="AD455" s="5" t="s">
        <v>5530</v>
      </c>
      <c r="AE455" s="5" t="str">
        <f t="shared" ca="1" si="50"/>
        <v>NO PRAZO</v>
      </c>
      <c r="AF455" s="52"/>
    </row>
    <row r="456" spans="1:32" ht="30" customHeight="1" x14ac:dyDescent="0.25">
      <c r="A456" s="7" t="s">
        <v>1364</v>
      </c>
      <c r="B456" s="5" t="s">
        <v>10</v>
      </c>
      <c r="C456" s="5" t="s">
        <v>5863</v>
      </c>
      <c r="D456" s="7" t="s">
        <v>1349</v>
      </c>
      <c r="E456" s="7" t="s">
        <v>50</v>
      </c>
      <c r="F456" s="7" t="s">
        <v>221</v>
      </c>
      <c r="G456" s="7" t="s">
        <v>307</v>
      </c>
      <c r="H456" s="7" t="s">
        <v>1188</v>
      </c>
      <c r="I456" s="7" t="s">
        <v>1266</v>
      </c>
      <c r="J456" s="7" t="s">
        <v>1189</v>
      </c>
      <c r="K456" s="7" t="s">
        <v>10</v>
      </c>
      <c r="L456" s="7" t="s">
        <v>10</v>
      </c>
      <c r="M456" s="7" t="s">
        <v>10</v>
      </c>
      <c r="N456" s="7" t="s">
        <v>45</v>
      </c>
      <c r="O456" s="80" t="s">
        <v>56</v>
      </c>
      <c r="P456" s="100">
        <v>46061</v>
      </c>
      <c r="Q456" s="100">
        <f t="shared" si="51"/>
        <v>46426</v>
      </c>
      <c r="R456" s="7" t="s">
        <v>1950</v>
      </c>
      <c r="S456" s="7" t="s">
        <v>4770</v>
      </c>
      <c r="T456" s="7">
        <v>5.1999999999999998E-3</v>
      </c>
      <c r="U456" s="7" t="s">
        <v>10</v>
      </c>
      <c r="V456" s="7">
        <f t="shared" si="52"/>
        <v>5.1999999999999998E-3</v>
      </c>
      <c r="W456" s="7">
        <v>0.05</v>
      </c>
      <c r="X456" s="7" t="s">
        <v>1182</v>
      </c>
      <c r="Y456" s="48" t="str">
        <f t="shared" si="53"/>
        <v>APROVADO</v>
      </c>
      <c r="Z456" s="7" t="s">
        <v>56</v>
      </c>
      <c r="AA456" s="5">
        <v>11596927</v>
      </c>
      <c r="AB456" s="5" t="s">
        <v>2567</v>
      </c>
      <c r="AC456" s="5" t="s">
        <v>48</v>
      </c>
      <c r="AD456" s="5" t="s">
        <v>5530</v>
      </c>
      <c r="AE456" s="5" t="str">
        <f t="shared" ca="1" si="50"/>
        <v>NO PRAZO</v>
      </c>
      <c r="AF456" s="52"/>
    </row>
    <row r="457" spans="1:32" ht="30" customHeight="1" x14ac:dyDescent="0.25">
      <c r="A457" s="7" t="s">
        <v>1365</v>
      </c>
      <c r="B457" s="5" t="s">
        <v>10</v>
      </c>
      <c r="C457" s="5" t="s">
        <v>5863</v>
      </c>
      <c r="D457" s="7" t="s">
        <v>1349</v>
      </c>
      <c r="E457" s="7" t="s">
        <v>50</v>
      </c>
      <c r="F457" s="7" t="s">
        <v>221</v>
      </c>
      <c r="G457" s="7" t="s">
        <v>265</v>
      </c>
      <c r="H457" s="7" t="s">
        <v>1188</v>
      </c>
      <c r="I457" s="7" t="s">
        <v>1269</v>
      </c>
      <c r="J457" s="7" t="s">
        <v>1189</v>
      </c>
      <c r="K457" s="7" t="s">
        <v>10</v>
      </c>
      <c r="L457" s="7" t="s">
        <v>10</v>
      </c>
      <c r="M457" s="7" t="s">
        <v>10</v>
      </c>
      <c r="N457" s="7" t="s">
        <v>45</v>
      </c>
      <c r="O457" s="80" t="s">
        <v>56</v>
      </c>
      <c r="P457" s="100">
        <v>46061</v>
      </c>
      <c r="Q457" s="100">
        <f t="shared" si="51"/>
        <v>46426</v>
      </c>
      <c r="R457" s="5" t="s">
        <v>1951</v>
      </c>
      <c r="S457" s="5" t="s">
        <v>4771</v>
      </c>
      <c r="T457" s="7">
        <v>4.1000000000000003E-3</v>
      </c>
      <c r="U457" s="7" t="s">
        <v>10</v>
      </c>
      <c r="V457" s="7">
        <f t="shared" si="52"/>
        <v>4.1000000000000003E-3</v>
      </c>
      <c r="W457" s="7">
        <v>0.04</v>
      </c>
      <c r="X457" s="7" t="s">
        <v>1182</v>
      </c>
      <c r="Y457" s="48" t="str">
        <f t="shared" si="53"/>
        <v>APROVADO</v>
      </c>
      <c r="Z457" s="7" t="s">
        <v>56</v>
      </c>
      <c r="AA457" s="5">
        <v>11542351</v>
      </c>
      <c r="AB457" s="5" t="s">
        <v>2568</v>
      </c>
      <c r="AC457" s="5" t="s">
        <v>48</v>
      </c>
      <c r="AD457" s="5" t="s">
        <v>5530</v>
      </c>
      <c r="AE457" s="5" t="str">
        <f t="shared" ref="AE457:AE521" ca="1" si="54">IFERROR(IF(OR(AND(YEAR(Q457)=YEAR(TODAY()),MONTH(Q457)&gt;MONTH(TODAY())),(YEAR(Q457)&gt;YEAR(TODAY()))),$AK$4,IF(AND(YEAR(Q457)=YEAR(TODAY()),MONTH(Q457)=MONTH(TODAY())),$AK$5,IF(Q457="",$AK$6,$AK$7))),"-")</f>
        <v>NO PRAZO</v>
      </c>
      <c r="AF457" s="52"/>
    </row>
    <row r="458" spans="1:32" ht="30" customHeight="1" x14ac:dyDescent="0.25">
      <c r="A458" s="5" t="s">
        <v>1366</v>
      </c>
      <c r="B458" s="5" t="s">
        <v>10</v>
      </c>
      <c r="C458" s="5" t="s">
        <v>5863</v>
      </c>
      <c r="D458" s="7" t="s">
        <v>1349</v>
      </c>
      <c r="E458" s="7" t="s">
        <v>50</v>
      </c>
      <c r="F458" s="7" t="s">
        <v>221</v>
      </c>
      <c r="G458" s="7" t="s">
        <v>265</v>
      </c>
      <c r="H458" s="7" t="s">
        <v>1188</v>
      </c>
      <c r="I458" s="7" t="s">
        <v>1266</v>
      </c>
      <c r="J458" s="7" t="s">
        <v>1189</v>
      </c>
      <c r="K458" s="7" t="s">
        <v>10</v>
      </c>
      <c r="L458" s="7" t="s">
        <v>10</v>
      </c>
      <c r="M458" s="7" t="s">
        <v>10</v>
      </c>
      <c r="N458" s="7" t="s">
        <v>45</v>
      </c>
      <c r="O458" s="80" t="s">
        <v>56</v>
      </c>
      <c r="P458" s="100">
        <v>46061</v>
      </c>
      <c r="Q458" s="100">
        <f t="shared" si="51"/>
        <v>46426</v>
      </c>
      <c r="R458" s="7" t="s">
        <v>1952</v>
      </c>
      <c r="S458" s="7" t="s">
        <v>4772</v>
      </c>
      <c r="T458" s="7">
        <v>2.1600000000000001E-2</v>
      </c>
      <c r="U458" s="7" t="s">
        <v>10</v>
      </c>
      <c r="V458" s="7">
        <f t="shared" si="52"/>
        <v>2.1600000000000001E-2</v>
      </c>
      <c r="W458" s="7">
        <v>0.05</v>
      </c>
      <c r="X458" s="7" t="s">
        <v>1182</v>
      </c>
      <c r="Y458" s="48" t="str">
        <f t="shared" si="53"/>
        <v>APROVADO</v>
      </c>
      <c r="Z458" s="7" t="s">
        <v>56</v>
      </c>
      <c r="AA458" s="5">
        <v>11596928</v>
      </c>
      <c r="AB458" s="5" t="s">
        <v>2569</v>
      </c>
      <c r="AC458" s="5" t="s">
        <v>48</v>
      </c>
      <c r="AD458" s="5" t="s">
        <v>5530</v>
      </c>
      <c r="AE458" s="5" t="str">
        <f t="shared" ca="1" si="54"/>
        <v>NO PRAZO</v>
      </c>
      <c r="AF458" s="52"/>
    </row>
    <row r="459" spans="1:32" ht="30" customHeight="1" x14ac:dyDescent="0.25">
      <c r="A459" s="5" t="s">
        <v>1367</v>
      </c>
      <c r="B459" s="5" t="s">
        <v>10</v>
      </c>
      <c r="C459" s="5" t="s">
        <v>5863</v>
      </c>
      <c r="D459" s="7" t="s">
        <v>1349</v>
      </c>
      <c r="E459" s="7" t="s">
        <v>50</v>
      </c>
      <c r="F459" s="7" t="s">
        <v>221</v>
      </c>
      <c r="G459" s="7" t="s">
        <v>298</v>
      </c>
      <c r="H459" s="7" t="s">
        <v>1188</v>
      </c>
      <c r="I459" s="7" t="s">
        <v>1185</v>
      </c>
      <c r="J459" s="7" t="s">
        <v>1189</v>
      </c>
      <c r="K459" s="7" t="s">
        <v>10</v>
      </c>
      <c r="L459" s="7" t="s">
        <v>10</v>
      </c>
      <c r="M459" s="7" t="s">
        <v>10</v>
      </c>
      <c r="N459" s="7" t="s">
        <v>45</v>
      </c>
      <c r="O459" s="80" t="s">
        <v>56</v>
      </c>
      <c r="P459" s="100">
        <v>46059</v>
      </c>
      <c r="Q459" s="100">
        <f t="shared" si="51"/>
        <v>46424</v>
      </c>
      <c r="R459" s="5" t="s">
        <v>1953</v>
      </c>
      <c r="S459" s="5" t="s">
        <v>4717</v>
      </c>
      <c r="T459" s="7">
        <v>3.1399999999999997E-2</v>
      </c>
      <c r="U459" s="7" t="s">
        <v>10</v>
      </c>
      <c r="V459" s="7">
        <f t="shared" si="52"/>
        <v>3.1399999999999997E-2</v>
      </c>
      <c r="W459" s="7">
        <v>0.06</v>
      </c>
      <c r="X459" s="7" t="s">
        <v>1182</v>
      </c>
      <c r="Y459" s="48" t="str">
        <f t="shared" si="53"/>
        <v>APROVADO</v>
      </c>
      <c r="Z459" s="7" t="s">
        <v>56</v>
      </c>
      <c r="AA459" s="5">
        <v>11596929</v>
      </c>
      <c r="AB459" s="5" t="s">
        <v>2570</v>
      </c>
      <c r="AC459" s="5" t="s">
        <v>48</v>
      </c>
      <c r="AD459" s="5" t="s">
        <v>5530</v>
      </c>
      <c r="AE459" s="5" t="str">
        <f t="shared" ca="1" si="54"/>
        <v>NO PRAZO</v>
      </c>
      <c r="AF459" s="51"/>
    </row>
    <row r="460" spans="1:32" ht="30" customHeight="1" x14ac:dyDescent="0.25">
      <c r="A460" s="5" t="s">
        <v>1368</v>
      </c>
      <c r="B460" s="5" t="s">
        <v>10</v>
      </c>
      <c r="C460" s="5" t="s">
        <v>5863</v>
      </c>
      <c r="D460" s="7" t="s">
        <v>1349</v>
      </c>
      <c r="E460" s="7" t="s">
        <v>50</v>
      </c>
      <c r="F460" s="7" t="s">
        <v>221</v>
      </c>
      <c r="G460" s="7" t="s">
        <v>267</v>
      </c>
      <c r="H460" s="7" t="s">
        <v>1188</v>
      </c>
      <c r="I460" s="7" t="s">
        <v>1185</v>
      </c>
      <c r="J460" s="7" t="s">
        <v>1189</v>
      </c>
      <c r="K460" s="7" t="s">
        <v>10</v>
      </c>
      <c r="L460" s="7" t="s">
        <v>10</v>
      </c>
      <c r="M460" s="7" t="s">
        <v>10</v>
      </c>
      <c r="N460" s="7" t="s">
        <v>45</v>
      </c>
      <c r="O460" s="80" t="s">
        <v>56</v>
      </c>
      <c r="P460" s="100">
        <v>46061</v>
      </c>
      <c r="Q460" s="100">
        <f t="shared" si="51"/>
        <v>46426</v>
      </c>
      <c r="R460" s="5" t="s">
        <v>1954</v>
      </c>
      <c r="S460" s="5" t="s">
        <v>4773</v>
      </c>
      <c r="T460" s="7">
        <v>1.2999999999999999E-2</v>
      </c>
      <c r="U460" s="7" t="s">
        <v>10</v>
      </c>
      <c r="V460" s="7">
        <f t="shared" si="52"/>
        <v>1.2999999999999999E-2</v>
      </c>
      <c r="W460" s="7">
        <v>0.06</v>
      </c>
      <c r="X460" s="7" t="s">
        <v>1182</v>
      </c>
      <c r="Y460" s="48" t="str">
        <f t="shared" si="53"/>
        <v>APROVADO</v>
      </c>
      <c r="Z460" s="7" t="s">
        <v>56</v>
      </c>
      <c r="AA460" s="5">
        <v>11596930</v>
      </c>
      <c r="AB460" s="5" t="s">
        <v>3319</v>
      </c>
      <c r="AC460" s="5" t="s">
        <v>48</v>
      </c>
      <c r="AD460" s="5" t="s">
        <v>5530</v>
      </c>
      <c r="AE460" s="5" t="str">
        <f t="shared" ca="1" si="54"/>
        <v>NO PRAZO</v>
      </c>
      <c r="AF460" s="52"/>
    </row>
    <row r="461" spans="1:32" ht="30" customHeight="1" x14ac:dyDescent="0.25">
      <c r="A461" s="5" t="s">
        <v>5274</v>
      </c>
      <c r="B461" s="5" t="s">
        <v>1369</v>
      </c>
      <c r="C461" s="5" t="s">
        <v>5863</v>
      </c>
      <c r="D461" s="7" t="s">
        <v>1349</v>
      </c>
      <c r="E461" s="7" t="s">
        <v>311</v>
      </c>
      <c r="F461" s="7" t="s">
        <v>642</v>
      </c>
      <c r="G461" s="7" t="s">
        <v>1078</v>
      </c>
      <c r="H461" s="7" t="s">
        <v>1349</v>
      </c>
      <c r="I461" s="7" t="s">
        <v>1370</v>
      </c>
      <c r="J461" s="7" t="s">
        <v>1370</v>
      </c>
      <c r="K461" s="5" t="s">
        <v>10</v>
      </c>
      <c r="L461" s="5" t="s">
        <v>10</v>
      </c>
      <c r="M461" s="5" t="s">
        <v>10</v>
      </c>
      <c r="N461" s="5" t="s">
        <v>45</v>
      </c>
      <c r="O461" s="80" t="s">
        <v>56</v>
      </c>
      <c r="P461" s="101">
        <v>46128</v>
      </c>
      <c r="Q461" s="100">
        <f t="shared" si="51"/>
        <v>46493</v>
      </c>
      <c r="R461" s="5" t="s">
        <v>2107</v>
      </c>
      <c r="S461" s="5" t="s">
        <v>5273</v>
      </c>
      <c r="T461" s="7">
        <v>0.121</v>
      </c>
      <c r="U461" s="7" t="s">
        <v>10</v>
      </c>
      <c r="V461" s="7">
        <f t="shared" si="52"/>
        <v>0.121</v>
      </c>
      <c r="W461" s="5">
        <v>0.16</v>
      </c>
      <c r="X461" s="5" t="s">
        <v>1182</v>
      </c>
      <c r="Y461" s="48" t="str">
        <f t="shared" si="53"/>
        <v>APROVADO</v>
      </c>
      <c r="Z461" s="7" t="s">
        <v>56</v>
      </c>
      <c r="AA461" s="5">
        <v>11603568</v>
      </c>
      <c r="AB461" s="5" t="s">
        <v>2825</v>
      </c>
      <c r="AC461" s="5" t="s">
        <v>48</v>
      </c>
      <c r="AD461" s="5" t="s">
        <v>5530</v>
      </c>
      <c r="AE461" s="5" t="str">
        <f t="shared" ca="1" si="54"/>
        <v>NO PRAZO</v>
      </c>
      <c r="AF461" s="51"/>
    </row>
    <row r="462" spans="1:32" ht="30" customHeight="1" x14ac:dyDescent="0.25">
      <c r="A462" s="5" t="s">
        <v>1371</v>
      </c>
      <c r="B462" s="5" t="s">
        <v>10</v>
      </c>
      <c r="C462" s="5" t="s">
        <v>5863</v>
      </c>
      <c r="D462" s="7" t="s">
        <v>1349</v>
      </c>
      <c r="E462" s="7" t="s">
        <v>50</v>
      </c>
      <c r="F462" s="7" t="s">
        <v>3583</v>
      </c>
      <c r="G462" s="7" t="s">
        <v>51</v>
      </c>
      <c r="H462" s="7" t="s">
        <v>1188</v>
      </c>
      <c r="I462" s="7" t="s">
        <v>1185</v>
      </c>
      <c r="J462" s="7" t="s">
        <v>1189</v>
      </c>
      <c r="K462" s="5" t="s">
        <v>10</v>
      </c>
      <c r="L462" s="5" t="s">
        <v>10</v>
      </c>
      <c r="M462" s="5" t="s">
        <v>10</v>
      </c>
      <c r="N462" s="5" t="s">
        <v>45</v>
      </c>
      <c r="O462" s="80" t="s">
        <v>56</v>
      </c>
      <c r="P462" s="101">
        <v>46068</v>
      </c>
      <c r="Q462" s="100">
        <f t="shared" si="51"/>
        <v>46433</v>
      </c>
      <c r="R462" s="5" t="s">
        <v>1982</v>
      </c>
      <c r="S462" s="5" t="s">
        <v>4833</v>
      </c>
      <c r="T462" s="7">
        <v>3.0200000000000001E-2</v>
      </c>
      <c r="U462" s="7" t="s">
        <v>10</v>
      </c>
      <c r="V462" s="7">
        <f t="shared" si="52"/>
        <v>3.0200000000000001E-2</v>
      </c>
      <c r="W462" s="7">
        <v>0.06</v>
      </c>
      <c r="X462" s="7" t="s">
        <v>1182</v>
      </c>
      <c r="Y462" s="48" t="str">
        <f t="shared" si="53"/>
        <v>APROVADO</v>
      </c>
      <c r="Z462" s="7" t="s">
        <v>56</v>
      </c>
      <c r="AA462" s="5">
        <v>11540960</v>
      </c>
      <c r="AB462" s="5" t="s">
        <v>2571</v>
      </c>
      <c r="AC462" s="5" t="s">
        <v>48</v>
      </c>
      <c r="AD462" s="5" t="s">
        <v>5530</v>
      </c>
      <c r="AE462" s="5" t="str">
        <f t="shared" ca="1" si="54"/>
        <v>NO PRAZO</v>
      </c>
      <c r="AF462" s="49"/>
    </row>
    <row r="463" spans="1:32" ht="30" customHeight="1" x14ac:dyDescent="0.25">
      <c r="A463" s="5" t="s">
        <v>1372</v>
      </c>
      <c r="B463" s="5" t="s">
        <v>10</v>
      </c>
      <c r="C463" s="5" t="s">
        <v>5863</v>
      </c>
      <c r="D463" s="7" t="s">
        <v>1349</v>
      </c>
      <c r="E463" s="7" t="s">
        <v>50</v>
      </c>
      <c r="F463" s="7" t="s">
        <v>3583</v>
      </c>
      <c r="G463" s="7" t="s">
        <v>176</v>
      </c>
      <c r="H463" s="7" t="s">
        <v>1188</v>
      </c>
      <c r="I463" s="7" t="s">
        <v>1185</v>
      </c>
      <c r="J463" s="7" t="s">
        <v>1189</v>
      </c>
      <c r="K463" s="5" t="s">
        <v>10</v>
      </c>
      <c r="L463" s="5" t="s">
        <v>10</v>
      </c>
      <c r="M463" s="5" t="s">
        <v>10</v>
      </c>
      <c r="N463" s="5" t="s">
        <v>45</v>
      </c>
      <c r="O463" s="80" t="s">
        <v>56</v>
      </c>
      <c r="P463" s="101">
        <v>46068</v>
      </c>
      <c r="Q463" s="100">
        <f t="shared" ref="Q463:Q527" si="55">IF(P463="","",P463+365)</f>
        <v>46433</v>
      </c>
      <c r="R463" s="5" t="s">
        <v>1983</v>
      </c>
      <c r="S463" s="5" t="s">
        <v>4837</v>
      </c>
      <c r="T463" s="7">
        <v>2.24E-2</v>
      </c>
      <c r="U463" s="7" t="s">
        <v>10</v>
      </c>
      <c r="V463" s="7">
        <f t="shared" ref="V463:V527" si="56">IFERROR(IF(U463&gt;0,T463*100/U463,T463),T463)</f>
        <v>2.24E-2</v>
      </c>
      <c r="W463" s="7">
        <v>0.06</v>
      </c>
      <c r="X463" s="7" t="s">
        <v>1182</v>
      </c>
      <c r="Y463" s="48" t="str">
        <f t="shared" ref="Y463:Y527" si="57">IFERROR(IF(W463="-",$AL$6,CHOOSE(IF(T463="",1,2),$AL$7,IF(V463&gt;W463,$AL$5,$AL$4))),"-")</f>
        <v>APROVADO</v>
      </c>
      <c r="Z463" s="7" t="s">
        <v>56</v>
      </c>
      <c r="AA463" s="5">
        <v>11542309</v>
      </c>
      <c r="AB463" s="5" t="s">
        <v>2572</v>
      </c>
      <c r="AC463" s="5" t="s">
        <v>48</v>
      </c>
      <c r="AD463" s="5" t="s">
        <v>5530</v>
      </c>
      <c r="AE463" s="5" t="str">
        <f t="shared" ca="1" si="54"/>
        <v>NO PRAZO</v>
      </c>
      <c r="AF463" s="49"/>
    </row>
    <row r="464" spans="1:32" ht="30" customHeight="1" x14ac:dyDescent="0.25">
      <c r="A464" s="5" t="s">
        <v>1373</v>
      </c>
      <c r="B464" s="5" t="s">
        <v>10</v>
      </c>
      <c r="C464" s="5" t="s">
        <v>5863</v>
      </c>
      <c r="D464" s="7" t="s">
        <v>1349</v>
      </c>
      <c r="E464" s="7" t="s">
        <v>50</v>
      </c>
      <c r="F464" s="7" t="s">
        <v>3583</v>
      </c>
      <c r="G464" s="7" t="s">
        <v>211</v>
      </c>
      <c r="H464" s="7" t="s">
        <v>1188</v>
      </c>
      <c r="I464" s="7" t="s">
        <v>1185</v>
      </c>
      <c r="J464" s="7" t="s">
        <v>1189</v>
      </c>
      <c r="K464" s="5" t="s">
        <v>10</v>
      </c>
      <c r="L464" s="5" t="s">
        <v>10</v>
      </c>
      <c r="M464" s="5" t="s">
        <v>10</v>
      </c>
      <c r="N464" s="5" t="s">
        <v>45</v>
      </c>
      <c r="O464" s="80" t="s">
        <v>56</v>
      </c>
      <c r="P464" s="101">
        <v>46068</v>
      </c>
      <c r="Q464" s="100">
        <f t="shared" si="55"/>
        <v>46433</v>
      </c>
      <c r="R464" s="5" t="s">
        <v>1984</v>
      </c>
      <c r="S464" s="5" t="s">
        <v>4841</v>
      </c>
      <c r="T464" s="7">
        <v>1.03E-2</v>
      </c>
      <c r="U464" s="7" t="s">
        <v>10</v>
      </c>
      <c r="V464" s="7">
        <f t="shared" si="56"/>
        <v>1.03E-2</v>
      </c>
      <c r="W464" s="7">
        <v>0.06</v>
      </c>
      <c r="X464" s="7" t="s">
        <v>1182</v>
      </c>
      <c r="Y464" s="48" t="str">
        <f t="shared" si="57"/>
        <v>APROVADO</v>
      </c>
      <c r="Z464" s="7" t="s">
        <v>56</v>
      </c>
      <c r="AA464" s="5">
        <v>11542310</v>
      </c>
      <c r="AB464" s="5" t="s">
        <v>2573</v>
      </c>
      <c r="AC464" s="5" t="s">
        <v>48</v>
      </c>
      <c r="AD464" s="5" t="s">
        <v>5530</v>
      </c>
      <c r="AE464" s="5" t="str">
        <f t="shared" ca="1" si="54"/>
        <v>NO PRAZO</v>
      </c>
      <c r="AF464" s="49"/>
    </row>
    <row r="465" spans="1:32" ht="30" customHeight="1" x14ac:dyDescent="0.25">
      <c r="A465" s="5" t="s">
        <v>1374</v>
      </c>
      <c r="B465" s="5" t="s">
        <v>10</v>
      </c>
      <c r="C465" s="5" t="s">
        <v>5863</v>
      </c>
      <c r="D465" s="7" t="s">
        <v>1349</v>
      </c>
      <c r="E465" s="7" t="s">
        <v>50</v>
      </c>
      <c r="F465" s="7" t="s">
        <v>3583</v>
      </c>
      <c r="G465" s="7" t="s">
        <v>216</v>
      </c>
      <c r="H465" s="7" t="s">
        <v>1188</v>
      </c>
      <c r="I465" s="7" t="s">
        <v>1185</v>
      </c>
      <c r="J465" s="7" t="s">
        <v>1189</v>
      </c>
      <c r="K465" s="5" t="s">
        <v>10</v>
      </c>
      <c r="L465" s="5" t="s">
        <v>10</v>
      </c>
      <c r="M465" s="5" t="s">
        <v>10</v>
      </c>
      <c r="N465" s="5" t="s">
        <v>45</v>
      </c>
      <c r="O465" s="80" t="s">
        <v>56</v>
      </c>
      <c r="P465" s="101">
        <v>46068</v>
      </c>
      <c r="Q465" s="100">
        <f t="shared" si="55"/>
        <v>46433</v>
      </c>
      <c r="R465" s="7" t="s">
        <v>1985</v>
      </c>
      <c r="S465" s="5" t="s">
        <v>4845</v>
      </c>
      <c r="T465" s="7">
        <v>2.5999999999999999E-2</v>
      </c>
      <c r="U465" s="7" t="s">
        <v>10</v>
      </c>
      <c r="V465" s="7">
        <f t="shared" si="56"/>
        <v>2.5999999999999999E-2</v>
      </c>
      <c r="W465" s="7">
        <v>0.06</v>
      </c>
      <c r="X465" s="7" t="s">
        <v>1182</v>
      </c>
      <c r="Y465" s="48" t="str">
        <f t="shared" si="57"/>
        <v>APROVADO</v>
      </c>
      <c r="Z465" s="7" t="s">
        <v>56</v>
      </c>
      <c r="AA465" s="5">
        <v>11542311</v>
      </c>
      <c r="AB465" s="5" t="s">
        <v>2574</v>
      </c>
      <c r="AC465" s="5" t="s">
        <v>48</v>
      </c>
      <c r="AD465" s="5" t="s">
        <v>5530</v>
      </c>
      <c r="AE465" s="5" t="str">
        <f t="shared" ca="1" si="54"/>
        <v>NO PRAZO</v>
      </c>
      <c r="AF465" s="49"/>
    </row>
    <row r="466" spans="1:32" ht="30" customHeight="1" x14ac:dyDescent="0.25">
      <c r="A466" s="5" t="s">
        <v>1375</v>
      </c>
      <c r="B466" s="5" t="s">
        <v>10</v>
      </c>
      <c r="C466" s="5" t="s">
        <v>5863</v>
      </c>
      <c r="D466" s="7" t="s">
        <v>1349</v>
      </c>
      <c r="E466" s="7" t="s">
        <v>50</v>
      </c>
      <c r="F466" s="7" t="s">
        <v>3583</v>
      </c>
      <c r="G466" s="7" t="s">
        <v>226</v>
      </c>
      <c r="H466" s="7" t="s">
        <v>1188</v>
      </c>
      <c r="I466" s="7" t="s">
        <v>1185</v>
      </c>
      <c r="J466" s="7" t="s">
        <v>1189</v>
      </c>
      <c r="K466" s="5" t="s">
        <v>10</v>
      </c>
      <c r="L466" s="5" t="s">
        <v>10</v>
      </c>
      <c r="M466" s="5" t="s">
        <v>10</v>
      </c>
      <c r="N466" s="5" t="s">
        <v>45</v>
      </c>
      <c r="O466" s="80" t="s">
        <v>56</v>
      </c>
      <c r="P466" s="101">
        <v>46068</v>
      </c>
      <c r="Q466" s="100">
        <f t="shared" si="55"/>
        <v>46433</v>
      </c>
      <c r="R466" s="5" t="s">
        <v>1986</v>
      </c>
      <c r="S466" s="5" t="s">
        <v>4849</v>
      </c>
      <c r="T466" s="7">
        <v>7.4999999999999997E-3</v>
      </c>
      <c r="U466" s="7" t="s">
        <v>10</v>
      </c>
      <c r="V466" s="7">
        <f t="shared" si="56"/>
        <v>7.4999999999999997E-3</v>
      </c>
      <c r="W466" s="7">
        <v>0.06</v>
      </c>
      <c r="X466" s="7" t="s">
        <v>1182</v>
      </c>
      <c r="Y466" s="48" t="str">
        <f t="shared" si="57"/>
        <v>APROVADO</v>
      </c>
      <c r="Z466" s="7" t="s">
        <v>56</v>
      </c>
      <c r="AA466" s="5">
        <v>11542312</v>
      </c>
      <c r="AB466" s="5" t="s">
        <v>2575</v>
      </c>
      <c r="AC466" s="5" t="s">
        <v>48</v>
      </c>
      <c r="AD466" s="5" t="s">
        <v>5530</v>
      </c>
      <c r="AE466" s="5" t="str">
        <f t="shared" ca="1" si="54"/>
        <v>NO PRAZO</v>
      </c>
      <c r="AF466" s="49"/>
    </row>
    <row r="467" spans="1:32" ht="30" customHeight="1" x14ac:dyDescent="0.25">
      <c r="A467" s="5" t="s">
        <v>1376</v>
      </c>
      <c r="B467" s="5" t="s">
        <v>10</v>
      </c>
      <c r="C467" s="5" t="s">
        <v>5863</v>
      </c>
      <c r="D467" s="7" t="s">
        <v>1349</v>
      </c>
      <c r="E467" s="7" t="s">
        <v>50</v>
      </c>
      <c r="F467" s="7" t="s">
        <v>230</v>
      </c>
      <c r="G467" s="7" t="s">
        <v>51</v>
      </c>
      <c r="H467" s="7" t="s">
        <v>1188</v>
      </c>
      <c r="I467" s="7" t="s">
        <v>1185</v>
      </c>
      <c r="J467" s="7" t="s">
        <v>1189</v>
      </c>
      <c r="K467" s="5" t="s">
        <v>10</v>
      </c>
      <c r="L467" s="5" t="s">
        <v>10</v>
      </c>
      <c r="M467" s="5" t="s">
        <v>10</v>
      </c>
      <c r="N467" s="5" t="s">
        <v>45</v>
      </c>
      <c r="O467" s="80" t="s">
        <v>56</v>
      </c>
      <c r="P467" s="101">
        <v>46068</v>
      </c>
      <c r="Q467" s="100">
        <f t="shared" si="55"/>
        <v>46433</v>
      </c>
      <c r="R467" s="5" t="s">
        <v>1987</v>
      </c>
      <c r="S467" s="5" t="s">
        <v>4853</v>
      </c>
      <c r="T467" s="7">
        <v>4.8999999999999998E-3</v>
      </c>
      <c r="U467" s="7" t="s">
        <v>10</v>
      </c>
      <c r="V467" s="7">
        <f t="shared" si="56"/>
        <v>4.8999999999999998E-3</v>
      </c>
      <c r="W467" s="7">
        <v>0.06</v>
      </c>
      <c r="X467" s="7" t="s">
        <v>1182</v>
      </c>
      <c r="Y467" s="48" t="str">
        <f t="shared" si="57"/>
        <v>APROVADO</v>
      </c>
      <c r="Z467" s="7" t="s">
        <v>56</v>
      </c>
      <c r="AA467" s="5">
        <v>11540964</v>
      </c>
      <c r="AB467" s="5" t="s">
        <v>2576</v>
      </c>
      <c r="AC467" s="5" t="s">
        <v>48</v>
      </c>
      <c r="AD467" s="5" t="s">
        <v>5530</v>
      </c>
      <c r="AE467" s="5" t="str">
        <f t="shared" ca="1" si="54"/>
        <v>NO PRAZO</v>
      </c>
      <c r="AF467" s="51"/>
    </row>
    <row r="468" spans="1:32" ht="30" customHeight="1" x14ac:dyDescent="0.25">
      <c r="A468" s="5" t="s">
        <v>1377</v>
      </c>
      <c r="B468" s="5" t="s">
        <v>10</v>
      </c>
      <c r="C468" s="5" t="s">
        <v>5863</v>
      </c>
      <c r="D468" s="7" t="s">
        <v>1349</v>
      </c>
      <c r="E468" s="7" t="s">
        <v>50</v>
      </c>
      <c r="F468" s="7" t="s">
        <v>230</v>
      </c>
      <c r="G468" s="7" t="s">
        <v>176</v>
      </c>
      <c r="H468" s="7" t="s">
        <v>1188</v>
      </c>
      <c r="I468" s="7" t="s">
        <v>1185</v>
      </c>
      <c r="J468" s="7" t="s">
        <v>1189</v>
      </c>
      <c r="K468" s="5" t="s">
        <v>10</v>
      </c>
      <c r="L468" s="5" t="s">
        <v>10</v>
      </c>
      <c r="M468" s="5" t="s">
        <v>10</v>
      </c>
      <c r="N468" s="5" t="s">
        <v>45</v>
      </c>
      <c r="O468" s="80" t="s">
        <v>56</v>
      </c>
      <c r="P468" s="101">
        <v>46068</v>
      </c>
      <c r="Q468" s="100">
        <f t="shared" si="55"/>
        <v>46433</v>
      </c>
      <c r="R468" s="7" t="s">
        <v>1988</v>
      </c>
      <c r="S468" s="7" t="s">
        <v>4857</v>
      </c>
      <c r="T468" s="7">
        <v>7.4999999999999997E-3</v>
      </c>
      <c r="U468" s="7" t="s">
        <v>10</v>
      </c>
      <c r="V468" s="7">
        <f t="shared" si="56"/>
        <v>7.4999999999999997E-3</v>
      </c>
      <c r="W468" s="7">
        <v>0.06</v>
      </c>
      <c r="X468" s="7" t="s">
        <v>1182</v>
      </c>
      <c r="Y468" s="48" t="str">
        <f t="shared" si="57"/>
        <v>APROVADO</v>
      </c>
      <c r="Z468" s="7" t="s">
        <v>56</v>
      </c>
      <c r="AA468" s="5">
        <v>11540963</v>
      </c>
      <c r="AB468" s="5" t="s">
        <v>2577</v>
      </c>
      <c r="AC468" s="5" t="s">
        <v>48</v>
      </c>
      <c r="AD468" s="5" t="s">
        <v>5530</v>
      </c>
      <c r="AE468" s="5" t="str">
        <f t="shared" ca="1" si="54"/>
        <v>NO PRAZO</v>
      </c>
      <c r="AF468" s="51"/>
    </row>
    <row r="469" spans="1:32" ht="30" customHeight="1" x14ac:dyDescent="0.25">
      <c r="A469" s="5" t="s">
        <v>1378</v>
      </c>
      <c r="B469" s="5" t="s">
        <v>10</v>
      </c>
      <c r="C469" s="5" t="s">
        <v>5863</v>
      </c>
      <c r="D469" s="7" t="s">
        <v>1349</v>
      </c>
      <c r="E469" s="7" t="s">
        <v>50</v>
      </c>
      <c r="F469" s="7" t="s">
        <v>230</v>
      </c>
      <c r="G469" s="7" t="s">
        <v>211</v>
      </c>
      <c r="H469" s="7" t="s">
        <v>1188</v>
      </c>
      <c r="I469" s="7" t="s">
        <v>1185</v>
      </c>
      <c r="J469" s="7" t="s">
        <v>1189</v>
      </c>
      <c r="K469" s="5" t="s">
        <v>10</v>
      </c>
      <c r="L469" s="5" t="s">
        <v>10</v>
      </c>
      <c r="M469" s="5" t="s">
        <v>10</v>
      </c>
      <c r="N469" s="5" t="s">
        <v>45</v>
      </c>
      <c r="O469" s="80" t="s">
        <v>56</v>
      </c>
      <c r="P469" s="101">
        <v>46068</v>
      </c>
      <c r="Q469" s="100">
        <f t="shared" si="55"/>
        <v>46433</v>
      </c>
      <c r="R469" s="5" t="s">
        <v>1989</v>
      </c>
      <c r="S469" s="5" t="s">
        <v>4861</v>
      </c>
      <c r="T469" s="7">
        <v>7.4999999999999997E-3</v>
      </c>
      <c r="U469" s="7" t="s">
        <v>10</v>
      </c>
      <c r="V469" s="7">
        <f t="shared" si="56"/>
        <v>7.4999999999999997E-3</v>
      </c>
      <c r="W469" s="7">
        <v>0.06</v>
      </c>
      <c r="X469" s="7" t="s">
        <v>1182</v>
      </c>
      <c r="Y469" s="48" t="str">
        <f t="shared" si="57"/>
        <v>APROVADO</v>
      </c>
      <c r="Z469" s="7" t="s">
        <v>56</v>
      </c>
      <c r="AA469" s="5">
        <v>11540962</v>
      </c>
      <c r="AB469" s="5" t="s">
        <v>3320</v>
      </c>
      <c r="AC469" s="5" t="s">
        <v>48</v>
      </c>
      <c r="AD469" s="5" t="s">
        <v>5530</v>
      </c>
      <c r="AE469" s="5" t="str">
        <f t="shared" ca="1" si="54"/>
        <v>NO PRAZO</v>
      </c>
      <c r="AF469" s="51"/>
    </row>
    <row r="470" spans="1:32" ht="30" customHeight="1" x14ac:dyDescent="0.25">
      <c r="A470" s="5" t="s">
        <v>1379</v>
      </c>
      <c r="B470" s="5" t="s">
        <v>10</v>
      </c>
      <c r="C470" s="5" t="s">
        <v>5863</v>
      </c>
      <c r="D470" s="7" t="s">
        <v>1349</v>
      </c>
      <c r="E470" s="7" t="s">
        <v>50</v>
      </c>
      <c r="F470" s="7" t="s">
        <v>230</v>
      </c>
      <c r="G470" s="7" t="s">
        <v>216</v>
      </c>
      <c r="H470" s="7" t="s">
        <v>1188</v>
      </c>
      <c r="I470" s="7" t="s">
        <v>1185</v>
      </c>
      <c r="J470" s="7" t="s">
        <v>1189</v>
      </c>
      <c r="K470" s="5" t="s">
        <v>10</v>
      </c>
      <c r="L470" s="5" t="s">
        <v>10</v>
      </c>
      <c r="M470" s="5" t="s">
        <v>10</v>
      </c>
      <c r="N470" s="5" t="s">
        <v>45</v>
      </c>
      <c r="O470" s="80" t="s">
        <v>56</v>
      </c>
      <c r="P470" s="101">
        <v>46068</v>
      </c>
      <c r="Q470" s="100">
        <f t="shared" si="55"/>
        <v>46433</v>
      </c>
      <c r="R470" s="5" t="s">
        <v>1990</v>
      </c>
      <c r="S470" s="5" t="s">
        <v>4865</v>
      </c>
      <c r="T470" s="7">
        <v>8.6999999999999994E-3</v>
      </c>
      <c r="U470" s="7" t="s">
        <v>10</v>
      </c>
      <c r="V470" s="7">
        <f t="shared" si="56"/>
        <v>8.6999999999999994E-3</v>
      </c>
      <c r="W470" s="7">
        <v>0.06</v>
      </c>
      <c r="X470" s="7" t="s">
        <v>1182</v>
      </c>
      <c r="Y470" s="48" t="str">
        <f t="shared" si="57"/>
        <v>APROVADO</v>
      </c>
      <c r="Z470" s="7" t="s">
        <v>56</v>
      </c>
      <c r="AA470" s="5">
        <v>11540961</v>
      </c>
      <c r="AB470" s="5" t="s">
        <v>2578</v>
      </c>
      <c r="AC470" s="5" t="s">
        <v>48</v>
      </c>
      <c r="AD470" s="5" t="s">
        <v>5530</v>
      </c>
      <c r="AE470" s="5" t="str">
        <f t="shared" ca="1" si="54"/>
        <v>NO PRAZO</v>
      </c>
      <c r="AF470" s="51"/>
    </row>
    <row r="471" spans="1:32" ht="30" customHeight="1" x14ac:dyDescent="0.25">
      <c r="A471" s="5" t="s">
        <v>1693</v>
      </c>
      <c r="B471" s="5" t="s">
        <v>10</v>
      </c>
      <c r="C471" s="5" t="s">
        <v>5863</v>
      </c>
      <c r="D471" s="7" t="s">
        <v>249</v>
      </c>
      <c r="E471" s="7" t="s">
        <v>68</v>
      </c>
      <c r="F471" s="7" t="s">
        <v>69</v>
      </c>
      <c r="G471" s="7" t="s">
        <v>70</v>
      </c>
      <c r="H471" s="7" t="s">
        <v>250</v>
      </c>
      <c r="I471" s="7" t="s">
        <v>251</v>
      </c>
      <c r="J471" s="7" t="s">
        <v>252</v>
      </c>
      <c r="K471" s="5" t="s">
        <v>10</v>
      </c>
      <c r="L471" s="5" t="s">
        <v>45</v>
      </c>
      <c r="M471" s="5" t="s">
        <v>10</v>
      </c>
      <c r="N471" s="5" t="s">
        <v>10</v>
      </c>
      <c r="O471" s="46" t="s">
        <v>56</v>
      </c>
      <c r="P471" s="101">
        <v>45888</v>
      </c>
      <c r="Q471" s="100">
        <f t="shared" si="55"/>
        <v>46253</v>
      </c>
      <c r="R471" s="7" t="s">
        <v>1694</v>
      </c>
      <c r="S471" s="7" t="s">
        <v>3151</v>
      </c>
      <c r="T471" s="7">
        <v>0.69</v>
      </c>
      <c r="U471" s="7" t="s">
        <v>10</v>
      </c>
      <c r="V471" s="7">
        <f t="shared" si="56"/>
        <v>0.69</v>
      </c>
      <c r="W471" s="7">
        <v>30</v>
      </c>
      <c r="X471" s="7" t="s">
        <v>253</v>
      </c>
      <c r="Y471" s="48" t="str">
        <f t="shared" si="57"/>
        <v>APROVADO</v>
      </c>
      <c r="Z471" s="7" t="s">
        <v>56</v>
      </c>
      <c r="AA471" s="5">
        <v>11603010</v>
      </c>
      <c r="AB471" s="5" t="s">
        <v>3323</v>
      </c>
      <c r="AC471" s="5" t="s">
        <v>48</v>
      </c>
      <c r="AD471" s="5" t="s">
        <v>5530</v>
      </c>
      <c r="AE471" s="5" t="str">
        <f t="shared" ca="1" si="54"/>
        <v>CALIBRAR</v>
      </c>
      <c r="AF471" s="49"/>
    </row>
    <row r="472" spans="1:32" ht="30" customHeight="1" x14ac:dyDescent="0.25">
      <c r="A472" s="5" t="s">
        <v>1695</v>
      </c>
      <c r="B472" s="5" t="s">
        <v>10</v>
      </c>
      <c r="C472" s="5" t="s">
        <v>5863</v>
      </c>
      <c r="D472" s="7" t="s">
        <v>249</v>
      </c>
      <c r="E472" s="7" t="s">
        <v>40</v>
      </c>
      <c r="F472" s="7" t="s">
        <v>156</v>
      </c>
      <c r="G472" s="7" t="s">
        <v>250</v>
      </c>
      <c r="H472" s="7" t="s">
        <v>250</v>
      </c>
      <c r="I472" s="7" t="s">
        <v>251</v>
      </c>
      <c r="J472" s="7" t="s">
        <v>252</v>
      </c>
      <c r="K472" s="5" t="s">
        <v>10</v>
      </c>
      <c r="L472" s="5" t="s">
        <v>45</v>
      </c>
      <c r="M472" s="5" t="s">
        <v>10</v>
      </c>
      <c r="N472" s="5" t="s">
        <v>10</v>
      </c>
      <c r="O472" s="46" t="s">
        <v>56</v>
      </c>
      <c r="P472" s="101">
        <v>45898</v>
      </c>
      <c r="Q472" s="100">
        <f t="shared" si="55"/>
        <v>46263</v>
      </c>
      <c r="R472" s="7" t="s">
        <v>1696</v>
      </c>
      <c r="S472" s="7" t="s">
        <v>3357</v>
      </c>
      <c r="T472" s="7">
        <v>0.69</v>
      </c>
      <c r="U472" s="7" t="s">
        <v>10</v>
      </c>
      <c r="V472" s="7">
        <f t="shared" si="56"/>
        <v>0.69</v>
      </c>
      <c r="W472" s="7">
        <v>30</v>
      </c>
      <c r="X472" s="7" t="s">
        <v>253</v>
      </c>
      <c r="Y472" s="48" t="str">
        <f t="shared" si="57"/>
        <v>APROVADO</v>
      </c>
      <c r="Z472" s="7" t="s">
        <v>56</v>
      </c>
      <c r="AA472" s="5">
        <v>11603011</v>
      </c>
      <c r="AB472" s="5" t="s">
        <v>3324</v>
      </c>
      <c r="AC472" s="5" t="s">
        <v>48</v>
      </c>
      <c r="AD472" s="5" t="s">
        <v>5530</v>
      </c>
      <c r="AE472" s="5" t="str">
        <f t="shared" ca="1" si="54"/>
        <v>CALIBRAR</v>
      </c>
      <c r="AF472" s="49"/>
    </row>
    <row r="473" spans="1:32" ht="30" customHeight="1" x14ac:dyDescent="0.25">
      <c r="A473" s="5" t="s">
        <v>1697</v>
      </c>
      <c r="B473" s="5" t="s">
        <v>10</v>
      </c>
      <c r="C473" s="5" t="s">
        <v>5863</v>
      </c>
      <c r="D473" s="7" t="s">
        <v>249</v>
      </c>
      <c r="E473" s="7" t="s">
        <v>50</v>
      </c>
      <c r="F473" s="7" t="s">
        <v>156</v>
      </c>
      <c r="G473" s="7" t="s">
        <v>3646</v>
      </c>
      <c r="H473" s="7" t="s">
        <v>250</v>
      </c>
      <c r="I473" s="7" t="s">
        <v>251</v>
      </c>
      <c r="J473" s="7" t="s">
        <v>252</v>
      </c>
      <c r="K473" s="5" t="s">
        <v>10</v>
      </c>
      <c r="L473" s="5" t="s">
        <v>45</v>
      </c>
      <c r="M473" s="5" t="s">
        <v>10</v>
      </c>
      <c r="N473" s="5" t="s">
        <v>10</v>
      </c>
      <c r="O473" s="46" t="s">
        <v>56</v>
      </c>
      <c r="P473" s="101">
        <v>45898</v>
      </c>
      <c r="Q473" s="100">
        <f t="shared" si="55"/>
        <v>46263</v>
      </c>
      <c r="R473" s="7" t="s">
        <v>1698</v>
      </c>
      <c r="S473" s="7" t="s">
        <v>3358</v>
      </c>
      <c r="T473" s="7">
        <v>0.69</v>
      </c>
      <c r="U473" s="7" t="s">
        <v>10</v>
      </c>
      <c r="V473" s="7">
        <f t="shared" si="56"/>
        <v>0.69</v>
      </c>
      <c r="W473" s="7">
        <v>30</v>
      </c>
      <c r="X473" s="7" t="s">
        <v>253</v>
      </c>
      <c r="Y473" s="48" t="str">
        <f t="shared" si="57"/>
        <v>APROVADO</v>
      </c>
      <c r="Z473" s="7" t="s">
        <v>56</v>
      </c>
      <c r="AA473" s="5">
        <v>11603012</v>
      </c>
      <c r="AB473" s="5" t="s">
        <v>3325</v>
      </c>
      <c r="AC473" s="5" t="s">
        <v>48</v>
      </c>
      <c r="AD473" s="5" t="s">
        <v>5530</v>
      </c>
      <c r="AE473" s="5" t="str">
        <f t="shared" ca="1" si="54"/>
        <v>CALIBRAR</v>
      </c>
      <c r="AF473" s="49"/>
    </row>
    <row r="474" spans="1:32" ht="30" customHeight="1" x14ac:dyDescent="0.25">
      <c r="A474" s="5" t="s">
        <v>3544</v>
      </c>
      <c r="B474" s="5" t="s">
        <v>10</v>
      </c>
      <c r="C474" s="5" t="s">
        <v>5864</v>
      </c>
      <c r="D474" s="7" t="s">
        <v>1380</v>
      </c>
      <c r="E474" s="7" t="s">
        <v>256</v>
      </c>
      <c r="F474" s="7" t="s">
        <v>652</v>
      </c>
      <c r="G474" s="7" t="s">
        <v>1380</v>
      </c>
      <c r="H474" s="7" t="s">
        <v>1384</v>
      </c>
      <c r="I474" s="7" t="s">
        <v>1385</v>
      </c>
      <c r="J474" s="7" t="s">
        <v>1386</v>
      </c>
      <c r="K474" s="5" t="s">
        <v>10</v>
      </c>
      <c r="L474" s="5" t="s">
        <v>10</v>
      </c>
      <c r="M474" s="5" t="s">
        <v>10</v>
      </c>
      <c r="N474" s="5" t="s">
        <v>45</v>
      </c>
      <c r="O474" s="80" t="s">
        <v>56</v>
      </c>
      <c r="P474" s="101">
        <v>45944</v>
      </c>
      <c r="Q474" s="100">
        <f t="shared" si="55"/>
        <v>46309</v>
      </c>
      <c r="R474" s="5" t="s">
        <v>3545</v>
      </c>
      <c r="S474" s="5" t="s">
        <v>3548</v>
      </c>
      <c r="T474" s="7">
        <v>0.3</v>
      </c>
      <c r="U474" s="7" t="s">
        <v>10</v>
      </c>
      <c r="V474" s="7">
        <f t="shared" si="56"/>
        <v>0.3</v>
      </c>
      <c r="W474" s="5" t="s">
        <v>10</v>
      </c>
      <c r="X474" s="5" t="s">
        <v>1382</v>
      </c>
      <c r="Y474" s="48" t="str">
        <f t="shared" si="57"/>
        <v>A DEFINIR</v>
      </c>
      <c r="Z474" s="7" t="s">
        <v>56</v>
      </c>
      <c r="AA474" s="5">
        <v>11599727</v>
      </c>
      <c r="AB474" s="5" t="s">
        <v>3935</v>
      </c>
      <c r="AC474" s="5" t="s">
        <v>48</v>
      </c>
      <c r="AD474" s="5" t="s">
        <v>5530</v>
      </c>
      <c r="AE474" s="5" t="str">
        <f t="shared" ca="1" si="54"/>
        <v>NO PRAZO</v>
      </c>
      <c r="AF474" s="51"/>
    </row>
    <row r="475" spans="1:32" ht="30" customHeight="1" x14ac:dyDescent="0.25">
      <c r="A475" s="5" t="s">
        <v>1383</v>
      </c>
      <c r="B475" s="5" t="s">
        <v>10</v>
      </c>
      <c r="C475" s="5" t="s">
        <v>5864</v>
      </c>
      <c r="D475" s="7" t="s">
        <v>1380</v>
      </c>
      <c r="E475" s="7" t="s">
        <v>256</v>
      </c>
      <c r="F475" s="7" t="s">
        <v>276</v>
      </c>
      <c r="G475" s="7" t="s">
        <v>1380</v>
      </c>
      <c r="H475" s="7" t="s">
        <v>1384</v>
      </c>
      <c r="I475" s="7" t="s">
        <v>1385</v>
      </c>
      <c r="J475" s="7" t="s">
        <v>1386</v>
      </c>
      <c r="K475" s="5" t="s">
        <v>10</v>
      </c>
      <c r="L475" s="5" t="s">
        <v>10</v>
      </c>
      <c r="M475" s="5" t="s">
        <v>10</v>
      </c>
      <c r="N475" s="5" t="s">
        <v>45</v>
      </c>
      <c r="O475" s="80" t="s">
        <v>56</v>
      </c>
      <c r="P475" s="101">
        <v>46186</v>
      </c>
      <c r="Q475" s="100">
        <f t="shared" si="55"/>
        <v>46551</v>
      </c>
      <c r="R475" s="5" t="s">
        <v>2401</v>
      </c>
      <c r="S475" s="5" t="s">
        <v>5647</v>
      </c>
      <c r="T475" s="7">
        <v>0.23</v>
      </c>
      <c r="U475" s="7" t="s">
        <v>10</v>
      </c>
      <c r="V475" s="7">
        <f t="shared" si="56"/>
        <v>0.23</v>
      </c>
      <c r="W475" s="5" t="s">
        <v>10</v>
      </c>
      <c r="X475" s="5" t="s">
        <v>1382</v>
      </c>
      <c r="Y475" s="48" t="str">
        <f t="shared" si="57"/>
        <v>A DEFINIR</v>
      </c>
      <c r="Z475" s="7" t="s">
        <v>56</v>
      </c>
      <c r="AA475" s="5">
        <v>11599729</v>
      </c>
      <c r="AB475" s="5" t="s">
        <v>2933</v>
      </c>
      <c r="AC475" s="5" t="s">
        <v>48</v>
      </c>
      <c r="AD475" s="5" t="s">
        <v>5632</v>
      </c>
      <c r="AE475" s="5" t="str">
        <f t="shared" ca="1" si="54"/>
        <v>NO PRAZO</v>
      </c>
      <c r="AF475" s="53"/>
    </row>
    <row r="476" spans="1:32" ht="30" customHeight="1" x14ac:dyDescent="0.25">
      <c r="A476" s="5" t="s">
        <v>2400</v>
      </c>
      <c r="B476" s="5" t="s">
        <v>10</v>
      </c>
      <c r="C476" s="5" t="s">
        <v>5864</v>
      </c>
      <c r="D476" s="7" t="s">
        <v>1380</v>
      </c>
      <c r="E476" s="7" t="s">
        <v>256</v>
      </c>
      <c r="F476" s="7" t="s">
        <v>444</v>
      </c>
      <c r="G476" s="7" t="s">
        <v>1380</v>
      </c>
      <c r="H476" s="7" t="s">
        <v>1384</v>
      </c>
      <c r="I476" s="7" t="s">
        <v>1385</v>
      </c>
      <c r="J476" s="7" t="s">
        <v>1386</v>
      </c>
      <c r="K476" s="5" t="s">
        <v>10</v>
      </c>
      <c r="L476" s="5" t="s">
        <v>10</v>
      </c>
      <c r="M476" s="5" t="s">
        <v>10</v>
      </c>
      <c r="N476" s="5" t="s">
        <v>45</v>
      </c>
      <c r="O476" s="80" t="s">
        <v>56</v>
      </c>
      <c r="P476" s="101">
        <v>46205</v>
      </c>
      <c r="Q476" s="100">
        <f t="shared" si="55"/>
        <v>46570</v>
      </c>
      <c r="R476" s="5" t="s">
        <v>2402</v>
      </c>
      <c r="S476" s="5" t="s">
        <v>5743</v>
      </c>
      <c r="T476" s="7">
        <v>0.28999999999999998</v>
      </c>
      <c r="U476" s="7" t="s">
        <v>10</v>
      </c>
      <c r="V476" s="7">
        <f t="shared" si="56"/>
        <v>0.28999999999999998</v>
      </c>
      <c r="W476" s="5" t="s">
        <v>10</v>
      </c>
      <c r="X476" s="5" t="s">
        <v>1382</v>
      </c>
      <c r="Y476" s="48" t="str">
        <f t="shared" si="57"/>
        <v>A DEFINIR</v>
      </c>
      <c r="Z476" s="7" t="s">
        <v>56</v>
      </c>
      <c r="AA476" s="5">
        <v>11599730</v>
      </c>
      <c r="AB476" s="5" t="s">
        <v>3936</v>
      </c>
      <c r="AC476" s="5" t="s">
        <v>48</v>
      </c>
      <c r="AD476" s="5" t="s">
        <v>5632</v>
      </c>
      <c r="AE476" s="5" t="str">
        <f t="shared" ca="1" si="54"/>
        <v>NO PRAZO</v>
      </c>
      <c r="AF476" s="51"/>
    </row>
    <row r="477" spans="1:32" ht="30" customHeight="1" x14ac:dyDescent="0.25">
      <c r="A477" s="5" t="s">
        <v>1387</v>
      </c>
      <c r="B477" s="5" t="s">
        <v>10</v>
      </c>
      <c r="C477" s="5" t="s">
        <v>5864</v>
      </c>
      <c r="D477" s="7" t="s">
        <v>1380</v>
      </c>
      <c r="E477" s="7" t="s">
        <v>256</v>
      </c>
      <c r="F477" s="7" t="s">
        <v>257</v>
      </c>
      <c r="G477" s="7" t="s">
        <v>1380</v>
      </c>
      <c r="H477" s="7" t="s">
        <v>1388</v>
      </c>
      <c r="I477" s="7" t="s">
        <v>1389</v>
      </c>
      <c r="J477" s="7" t="s">
        <v>1381</v>
      </c>
      <c r="K477" s="5" t="s">
        <v>10</v>
      </c>
      <c r="L477" s="5" t="s">
        <v>10</v>
      </c>
      <c r="M477" s="5" t="s">
        <v>10</v>
      </c>
      <c r="N477" s="5" t="s">
        <v>45</v>
      </c>
      <c r="O477" s="80" t="s">
        <v>56</v>
      </c>
      <c r="P477" s="101">
        <v>46034</v>
      </c>
      <c r="Q477" s="100">
        <f t="shared" si="55"/>
        <v>46399</v>
      </c>
      <c r="R477" s="5" t="s">
        <v>1884</v>
      </c>
      <c r="S477" s="5" t="s">
        <v>5027</v>
      </c>
      <c r="T477" s="7">
        <v>0.28000000000000003</v>
      </c>
      <c r="U477" s="7"/>
      <c r="V477" s="7">
        <f t="shared" si="56"/>
        <v>0.28000000000000003</v>
      </c>
      <c r="W477" s="5" t="s">
        <v>10</v>
      </c>
      <c r="X477" s="5" t="s">
        <v>1382</v>
      </c>
      <c r="Y477" s="48" t="str">
        <f t="shared" si="57"/>
        <v>A DEFINIR</v>
      </c>
      <c r="Z477" s="7" t="s">
        <v>56</v>
      </c>
      <c r="AA477" s="5">
        <v>11602475</v>
      </c>
      <c r="AB477" s="5" t="s">
        <v>3938</v>
      </c>
      <c r="AC477" s="5" t="s">
        <v>48</v>
      </c>
      <c r="AD477" s="5" t="s">
        <v>5530</v>
      </c>
      <c r="AE477" s="5" t="str">
        <f t="shared" ca="1" si="54"/>
        <v>NO PRAZO</v>
      </c>
      <c r="AF477" s="53"/>
    </row>
    <row r="478" spans="1:32" ht="30" customHeight="1" x14ac:dyDescent="0.25">
      <c r="A478" s="5" t="s">
        <v>1391</v>
      </c>
      <c r="B478" s="5" t="s">
        <v>10</v>
      </c>
      <c r="C478" s="5" t="s">
        <v>5864</v>
      </c>
      <c r="D478" s="7" t="s">
        <v>4392</v>
      </c>
      <c r="E478" s="7" t="s">
        <v>256</v>
      </c>
      <c r="F478" s="7" t="s">
        <v>257</v>
      </c>
      <c r="G478" s="7" t="s">
        <v>1380</v>
      </c>
      <c r="H478" s="7" t="s">
        <v>1380</v>
      </c>
      <c r="I478" s="7" t="s">
        <v>1390</v>
      </c>
      <c r="J478" s="7" t="s">
        <v>1392</v>
      </c>
      <c r="K478" s="5" t="s">
        <v>10</v>
      </c>
      <c r="L478" s="5" t="s">
        <v>10</v>
      </c>
      <c r="M478" s="5" t="s">
        <v>10</v>
      </c>
      <c r="N478" s="5" t="s">
        <v>45</v>
      </c>
      <c r="O478" s="80" t="s">
        <v>56</v>
      </c>
      <c r="P478" s="101">
        <v>45995</v>
      </c>
      <c r="Q478" s="100">
        <f t="shared" si="55"/>
        <v>46360</v>
      </c>
      <c r="R478" s="5" t="s">
        <v>1819</v>
      </c>
      <c r="S478" s="5" t="s">
        <v>4245</v>
      </c>
      <c r="T478" s="7">
        <v>0.52</v>
      </c>
      <c r="U478" s="7" t="s">
        <v>10</v>
      </c>
      <c r="V478" s="7">
        <f t="shared" si="56"/>
        <v>0.52</v>
      </c>
      <c r="W478" s="5" t="s">
        <v>10</v>
      </c>
      <c r="X478" s="5" t="s">
        <v>1382</v>
      </c>
      <c r="Y478" s="48" t="str">
        <f t="shared" si="57"/>
        <v>A DEFINIR</v>
      </c>
      <c r="Z478" s="7" t="s">
        <v>56</v>
      </c>
      <c r="AA478" s="5">
        <v>11599732</v>
      </c>
      <c r="AB478" s="5" t="s">
        <v>3939</v>
      </c>
      <c r="AC478" s="5" t="s">
        <v>48</v>
      </c>
      <c r="AD478" s="5" t="s">
        <v>5530</v>
      </c>
      <c r="AE478" s="5" t="str">
        <f t="shared" ca="1" si="54"/>
        <v>NO PRAZO</v>
      </c>
      <c r="AF478" s="52"/>
    </row>
    <row r="479" spans="1:32" ht="30" customHeight="1" x14ac:dyDescent="0.25">
      <c r="A479" s="5" t="s">
        <v>1393</v>
      </c>
      <c r="B479" s="5" t="s">
        <v>10</v>
      </c>
      <c r="C479" s="5" t="s">
        <v>5864</v>
      </c>
      <c r="D479" s="7" t="s">
        <v>4392</v>
      </c>
      <c r="E479" s="7" t="s">
        <v>256</v>
      </c>
      <c r="F479" s="7" t="s">
        <v>257</v>
      </c>
      <c r="G479" s="7" t="s">
        <v>1380</v>
      </c>
      <c r="H479" s="7" t="s">
        <v>1394</v>
      </c>
      <c r="I479" s="7" t="s">
        <v>1389</v>
      </c>
      <c r="J479" s="7" t="s">
        <v>1381</v>
      </c>
      <c r="K479" s="5" t="s">
        <v>10</v>
      </c>
      <c r="L479" s="5" t="s">
        <v>10</v>
      </c>
      <c r="M479" s="5" t="s">
        <v>10</v>
      </c>
      <c r="N479" s="5" t="s">
        <v>45</v>
      </c>
      <c r="O479" s="80" t="s">
        <v>56</v>
      </c>
      <c r="P479" s="101">
        <v>45995</v>
      </c>
      <c r="Q479" s="100">
        <f t="shared" si="55"/>
        <v>46360</v>
      </c>
      <c r="R479" s="5" t="s">
        <v>1830</v>
      </c>
      <c r="S479" s="5" t="s">
        <v>4246</v>
      </c>
      <c r="T479" s="7">
        <v>0.28000000000000003</v>
      </c>
      <c r="U479" s="7" t="s">
        <v>10</v>
      </c>
      <c r="V479" s="7">
        <f t="shared" si="56"/>
        <v>0.28000000000000003</v>
      </c>
      <c r="W479" s="5" t="s">
        <v>10</v>
      </c>
      <c r="X479" s="5" t="s">
        <v>1382</v>
      </c>
      <c r="Y479" s="48" t="str">
        <f t="shared" si="57"/>
        <v>A DEFINIR</v>
      </c>
      <c r="Z479" s="7" t="s">
        <v>56</v>
      </c>
      <c r="AA479" s="5">
        <v>11599733</v>
      </c>
      <c r="AB479" s="5" t="s">
        <v>3940</v>
      </c>
      <c r="AC479" s="5" t="s">
        <v>48</v>
      </c>
      <c r="AD479" s="5" t="s">
        <v>5530</v>
      </c>
      <c r="AE479" s="5" t="str">
        <f t="shared" ca="1" si="54"/>
        <v>NO PRAZO</v>
      </c>
      <c r="AF479" s="52"/>
    </row>
    <row r="480" spans="1:32" ht="30" customHeight="1" x14ac:dyDescent="0.25">
      <c r="A480" s="5" t="s">
        <v>1395</v>
      </c>
      <c r="B480" s="5" t="s">
        <v>10</v>
      </c>
      <c r="C480" s="5" t="s">
        <v>5864</v>
      </c>
      <c r="D480" s="7" t="s">
        <v>1380</v>
      </c>
      <c r="E480" s="7" t="s">
        <v>256</v>
      </c>
      <c r="F480" s="7" t="s">
        <v>257</v>
      </c>
      <c r="G480" s="7" t="s">
        <v>1380</v>
      </c>
      <c r="H480" s="7" t="s">
        <v>1396</v>
      </c>
      <c r="I480" s="7" t="s">
        <v>1397</v>
      </c>
      <c r="J480" s="7" t="s">
        <v>1381</v>
      </c>
      <c r="K480" s="5" t="s">
        <v>10</v>
      </c>
      <c r="L480" s="5" t="s">
        <v>45</v>
      </c>
      <c r="M480" s="5" t="s">
        <v>10</v>
      </c>
      <c r="N480" s="5" t="s">
        <v>10</v>
      </c>
      <c r="O480" s="46" t="s">
        <v>46</v>
      </c>
      <c r="P480" s="101">
        <v>45996</v>
      </c>
      <c r="Q480" s="100">
        <f t="shared" si="55"/>
        <v>46361</v>
      </c>
      <c r="R480" s="5" t="s">
        <v>1857</v>
      </c>
      <c r="S480" s="5" t="s">
        <v>4261</v>
      </c>
      <c r="T480" s="7">
        <v>0.28999999999999998</v>
      </c>
      <c r="U480" s="7" t="s">
        <v>10</v>
      </c>
      <c r="V480" s="7">
        <f t="shared" si="56"/>
        <v>0.28999999999999998</v>
      </c>
      <c r="W480" s="5" t="s">
        <v>10</v>
      </c>
      <c r="X480" s="5" t="s">
        <v>1398</v>
      </c>
      <c r="Y480" s="48" t="str">
        <f t="shared" si="57"/>
        <v>A DEFINIR</v>
      </c>
      <c r="Z480" s="7" t="s">
        <v>56</v>
      </c>
      <c r="AA480" s="5">
        <v>11599744</v>
      </c>
      <c r="AB480" s="5" t="s">
        <v>3941</v>
      </c>
      <c r="AC480" s="5" t="s">
        <v>48</v>
      </c>
      <c r="AD480" s="5" t="s">
        <v>5530</v>
      </c>
      <c r="AE480" s="5" t="str">
        <f t="shared" ca="1" si="54"/>
        <v>NO PRAZO</v>
      </c>
      <c r="AF480" s="51"/>
    </row>
    <row r="481" spans="1:32" ht="30" customHeight="1" x14ac:dyDescent="0.25">
      <c r="A481" s="5" t="s">
        <v>1399</v>
      </c>
      <c r="B481" s="5" t="s">
        <v>10</v>
      </c>
      <c r="C481" s="5" t="s">
        <v>5864</v>
      </c>
      <c r="D481" s="7" t="s">
        <v>1380</v>
      </c>
      <c r="E481" s="7" t="s">
        <v>256</v>
      </c>
      <c r="F481" s="7" t="s">
        <v>257</v>
      </c>
      <c r="G481" s="7" t="s">
        <v>1380</v>
      </c>
      <c r="H481" s="7" t="s">
        <v>1396</v>
      </c>
      <c r="I481" s="7" t="s">
        <v>1397</v>
      </c>
      <c r="J481" s="7" t="s">
        <v>1381</v>
      </c>
      <c r="K481" s="5" t="s">
        <v>10</v>
      </c>
      <c r="L481" s="5" t="s">
        <v>45</v>
      </c>
      <c r="M481" s="5" t="s">
        <v>10</v>
      </c>
      <c r="N481" s="5" t="s">
        <v>10</v>
      </c>
      <c r="O481" s="46" t="s">
        <v>46</v>
      </c>
      <c r="P481" s="101">
        <v>46002</v>
      </c>
      <c r="Q481" s="100">
        <f t="shared" si="55"/>
        <v>46367</v>
      </c>
      <c r="R481" s="5" t="s">
        <v>1860</v>
      </c>
      <c r="S481" s="5" t="s">
        <v>4344</v>
      </c>
      <c r="T481" s="7">
        <v>0.26</v>
      </c>
      <c r="U481" s="7" t="s">
        <v>10</v>
      </c>
      <c r="V481" s="7">
        <f t="shared" si="56"/>
        <v>0.26</v>
      </c>
      <c r="W481" s="5" t="s">
        <v>10</v>
      </c>
      <c r="X481" s="5" t="s">
        <v>1398</v>
      </c>
      <c r="Y481" s="48" t="str">
        <f t="shared" si="57"/>
        <v>A DEFINIR</v>
      </c>
      <c r="Z481" s="7" t="s">
        <v>56</v>
      </c>
      <c r="AA481" s="5">
        <v>11599745</v>
      </c>
      <c r="AB481" s="5" t="s">
        <v>3942</v>
      </c>
      <c r="AC481" s="5" t="s">
        <v>48</v>
      </c>
      <c r="AD481" s="5" t="s">
        <v>5530</v>
      </c>
      <c r="AE481" s="5" t="str">
        <f t="shared" ca="1" si="54"/>
        <v>NO PRAZO</v>
      </c>
      <c r="AF481" s="51"/>
    </row>
    <row r="482" spans="1:32" ht="30" customHeight="1" x14ac:dyDescent="0.25">
      <c r="A482" s="5" t="s">
        <v>1400</v>
      </c>
      <c r="B482" s="5" t="s">
        <v>10</v>
      </c>
      <c r="C482" s="5" t="s">
        <v>5864</v>
      </c>
      <c r="D482" s="7" t="s">
        <v>4392</v>
      </c>
      <c r="E482" s="7" t="s">
        <v>256</v>
      </c>
      <c r="F482" s="7" t="s">
        <v>257</v>
      </c>
      <c r="G482" s="7" t="s">
        <v>1380</v>
      </c>
      <c r="H482" s="7" t="s">
        <v>1401</v>
      </c>
      <c r="I482" s="7" t="s">
        <v>1389</v>
      </c>
      <c r="J482" s="7" t="s">
        <v>1381</v>
      </c>
      <c r="K482" s="5" t="s">
        <v>10</v>
      </c>
      <c r="L482" s="5" t="s">
        <v>45</v>
      </c>
      <c r="M482" s="5" t="s">
        <v>10</v>
      </c>
      <c r="N482" s="5" t="s">
        <v>10</v>
      </c>
      <c r="O482" s="46" t="s">
        <v>46</v>
      </c>
      <c r="P482" s="101">
        <v>45995</v>
      </c>
      <c r="Q482" s="100">
        <f t="shared" si="55"/>
        <v>46360</v>
      </c>
      <c r="R482" s="5" t="s">
        <v>1820</v>
      </c>
      <c r="S482" s="5" t="s">
        <v>4247</v>
      </c>
      <c r="T482" s="7">
        <v>0.28000000000000003</v>
      </c>
      <c r="U482" s="7" t="s">
        <v>10</v>
      </c>
      <c r="V482" s="7">
        <f t="shared" si="56"/>
        <v>0.28000000000000003</v>
      </c>
      <c r="W482" s="5" t="s">
        <v>10</v>
      </c>
      <c r="X482" s="5" t="s">
        <v>1398</v>
      </c>
      <c r="Y482" s="48" t="str">
        <f t="shared" si="57"/>
        <v>A DEFINIR</v>
      </c>
      <c r="Z482" s="7" t="s">
        <v>56</v>
      </c>
      <c r="AA482" s="5">
        <v>11599764</v>
      </c>
      <c r="AB482" s="5" t="s">
        <v>3943</v>
      </c>
      <c r="AC482" s="5" t="s">
        <v>48</v>
      </c>
      <c r="AD482" s="5" t="s">
        <v>5530</v>
      </c>
      <c r="AE482" s="5" t="str">
        <f t="shared" ca="1" si="54"/>
        <v>NO PRAZO</v>
      </c>
      <c r="AF482" s="52"/>
    </row>
    <row r="483" spans="1:32" ht="30" customHeight="1" x14ac:dyDescent="0.25">
      <c r="A483" s="5" t="s">
        <v>1402</v>
      </c>
      <c r="B483" s="5" t="s">
        <v>10</v>
      </c>
      <c r="C483" s="5" t="s">
        <v>5864</v>
      </c>
      <c r="D483" s="7" t="s">
        <v>4392</v>
      </c>
      <c r="E483" s="7" t="s">
        <v>256</v>
      </c>
      <c r="F483" s="7" t="s">
        <v>257</v>
      </c>
      <c r="G483" s="7" t="s">
        <v>1380</v>
      </c>
      <c r="H483" s="7" t="s">
        <v>1401</v>
      </c>
      <c r="I483" s="7" t="s">
        <v>1389</v>
      </c>
      <c r="J483" s="7" t="s">
        <v>1381</v>
      </c>
      <c r="K483" s="5" t="s">
        <v>10</v>
      </c>
      <c r="L483" s="5" t="s">
        <v>45</v>
      </c>
      <c r="M483" s="5" t="s">
        <v>10</v>
      </c>
      <c r="N483" s="5" t="s">
        <v>10</v>
      </c>
      <c r="O483" s="46" t="s">
        <v>46</v>
      </c>
      <c r="P483" s="101">
        <v>45995</v>
      </c>
      <c r="Q483" s="100">
        <f t="shared" si="55"/>
        <v>46360</v>
      </c>
      <c r="R483" s="5" t="s">
        <v>1831</v>
      </c>
      <c r="S483" s="5" t="s">
        <v>4248</v>
      </c>
      <c r="T483" s="7">
        <v>0.28000000000000003</v>
      </c>
      <c r="U483" s="7" t="s">
        <v>10</v>
      </c>
      <c r="V483" s="7">
        <f t="shared" si="56"/>
        <v>0.28000000000000003</v>
      </c>
      <c r="W483" s="5" t="s">
        <v>10</v>
      </c>
      <c r="X483" s="5" t="s">
        <v>1398</v>
      </c>
      <c r="Y483" s="48" t="str">
        <f t="shared" si="57"/>
        <v>A DEFINIR</v>
      </c>
      <c r="Z483" s="7" t="s">
        <v>56</v>
      </c>
      <c r="AA483" s="5">
        <v>11599765</v>
      </c>
      <c r="AB483" s="5" t="s">
        <v>3944</v>
      </c>
      <c r="AC483" s="5" t="s">
        <v>48</v>
      </c>
      <c r="AD483" s="5" t="s">
        <v>5530</v>
      </c>
      <c r="AE483" s="5" t="str">
        <f t="shared" ca="1" si="54"/>
        <v>NO PRAZO</v>
      </c>
      <c r="AF483" s="52"/>
    </row>
    <row r="484" spans="1:32" ht="30" customHeight="1" x14ac:dyDescent="0.25">
      <c r="A484" s="5" t="s">
        <v>1403</v>
      </c>
      <c r="B484" s="5" t="s">
        <v>10</v>
      </c>
      <c r="C484" s="5" t="s">
        <v>5864</v>
      </c>
      <c r="D484" s="7" t="s">
        <v>1404</v>
      </c>
      <c r="E484" s="7" t="s">
        <v>256</v>
      </c>
      <c r="F484" s="7" t="s">
        <v>257</v>
      </c>
      <c r="G484" s="7" t="s">
        <v>1396</v>
      </c>
      <c r="H484" s="7" t="s">
        <v>1396</v>
      </c>
      <c r="I484" s="7" t="s">
        <v>1389</v>
      </c>
      <c r="J484" s="7" t="s">
        <v>1381</v>
      </c>
      <c r="K484" s="5" t="s">
        <v>10</v>
      </c>
      <c r="L484" s="5" t="s">
        <v>45</v>
      </c>
      <c r="M484" s="5" t="s">
        <v>10</v>
      </c>
      <c r="N484" s="5" t="s">
        <v>10</v>
      </c>
      <c r="O484" s="46" t="s">
        <v>46</v>
      </c>
      <c r="P484" s="101">
        <v>45995</v>
      </c>
      <c r="Q484" s="100">
        <f t="shared" si="55"/>
        <v>46360</v>
      </c>
      <c r="R484" s="63" t="s">
        <v>1832</v>
      </c>
      <c r="S484" s="63" t="s">
        <v>4249</v>
      </c>
      <c r="T484" s="7">
        <v>0.28000000000000003</v>
      </c>
      <c r="U484" s="7" t="s">
        <v>10</v>
      </c>
      <c r="V484" s="7">
        <f t="shared" si="56"/>
        <v>0.28000000000000003</v>
      </c>
      <c r="W484" s="5" t="s">
        <v>10</v>
      </c>
      <c r="X484" s="5" t="s">
        <v>1398</v>
      </c>
      <c r="Y484" s="48" t="str">
        <f t="shared" si="57"/>
        <v>A DEFINIR</v>
      </c>
      <c r="Z484" s="7" t="s">
        <v>56</v>
      </c>
      <c r="AA484" s="5">
        <v>11599847</v>
      </c>
      <c r="AB484" s="5" t="s">
        <v>3945</v>
      </c>
      <c r="AC484" s="5" t="s">
        <v>48</v>
      </c>
      <c r="AD484" s="5" t="s">
        <v>5530</v>
      </c>
      <c r="AE484" s="5" t="str">
        <f t="shared" ca="1" si="54"/>
        <v>NO PRAZO</v>
      </c>
      <c r="AF484" s="52"/>
    </row>
    <row r="485" spans="1:32" ht="30" customHeight="1" x14ac:dyDescent="0.25">
      <c r="A485" s="5" t="s">
        <v>1405</v>
      </c>
      <c r="B485" s="5" t="s">
        <v>10</v>
      </c>
      <c r="C485" s="5" t="s">
        <v>5864</v>
      </c>
      <c r="D485" s="7" t="s">
        <v>1404</v>
      </c>
      <c r="E485" s="7" t="s">
        <v>256</v>
      </c>
      <c r="F485" s="7" t="s">
        <v>257</v>
      </c>
      <c r="G485" s="7" t="s">
        <v>1396</v>
      </c>
      <c r="H485" s="7" t="s">
        <v>1396</v>
      </c>
      <c r="I485" s="62" t="s">
        <v>1406</v>
      </c>
      <c r="J485" s="62" t="s">
        <v>1381</v>
      </c>
      <c r="K485" s="5" t="s">
        <v>10</v>
      </c>
      <c r="L485" s="5" t="s">
        <v>45</v>
      </c>
      <c r="M485" s="5" t="s">
        <v>10</v>
      </c>
      <c r="N485" s="5" t="s">
        <v>10</v>
      </c>
      <c r="O485" s="46" t="s">
        <v>46</v>
      </c>
      <c r="P485" s="101">
        <v>45856</v>
      </c>
      <c r="Q485" s="100">
        <f t="shared" si="55"/>
        <v>46221</v>
      </c>
      <c r="R485" s="63" t="s">
        <v>1407</v>
      </c>
      <c r="S485" s="63" t="s">
        <v>3066</v>
      </c>
      <c r="T485" s="7">
        <v>0.28000000000000003</v>
      </c>
      <c r="U485" s="7" t="s">
        <v>10</v>
      </c>
      <c r="V485" s="7">
        <f t="shared" si="56"/>
        <v>0.28000000000000003</v>
      </c>
      <c r="W485" s="5" t="s">
        <v>10</v>
      </c>
      <c r="X485" s="5" t="s">
        <v>1398</v>
      </c>
      <c r="Y485" s="48" t="str">
        <f t="shared" si="57"/>
        <v>A DEFINIR</v>
      </c>
      <c r="Z485" s="7" t="s">
        <v>56</v>
      </c>
      <c r="AA485" s="5">
        <v>11599808</v>
      </c>
      <c r="AB485" s="5" t="s">
        <v>3010</v>
      </c>
      <c r="AC485" s="5" t="s">
        <v>48</v>
      </c>
      <c r="AD485" s="5" t="s">
        <v>5530</v>
      </c>
      <c r="AE485" s="5" t="s">
        <v>5906</v>
      </c>
      <c r="AF485" s="49"/>
    </row>
    <row r="486" spans="1:32" ht="30" customHeight="1" x14ac:dyDescent="0.25">
      <c r="A486" s="5" t="s">
        <v>1408</v>
      </c>
      <c r="B486" s="5" t="s">
        <v>10</v>
      </c>
      <c r="C486" s="5" t="s">
        <v>5864</v>
      </c>
      <c r="D486" s="7" t="s">
        <v>1380</v>
      </c>
      <c r="E486" s="7" t="s">
        <v>256</v>
      </c>
      <c r="F486" s="7" t="s">
        <v>257</v>
      </c>
      <c r="G486" s="62" t="s">
        <v>1409</v>
      </c>
      <c r="H486" s="62" t="s">
        <v>1380</v>
      </c>
      <c r="I486" s="62" t="s">
        <v>1410</v>
      </c>
      <c r="J486" s="62" t="s">
        <v>1411</v>
      </c>
      <c r="K486" s="5" t="s">
        <v>10</v>
      </c>
      <c r="L486" s="5" t="s">
        <v>45</v>
      </c>
      <c r="M486" s="5" t="s">
        <v>10</v>
      </c>
      <c r="N486" s="5" t="s">
        <v>10</v>
      </c>
      <c r="O486" s="46" t="s">
        <v>46</v>
      </c>
      <c r="P486" s="101">
        <v>46213</v>
      </c>
      <c r="Q486" s="100">
        <f t="shared" si="55"/>
        <v>46578</v>
      </c>
      <c r="R486" s="82" t="s">
        <v>2405</v>
      </c>
      <c r="S486" s="82" t="s">
        <v>5821</v>
      </c>
      <c r="T486" s="7">
        <v>0.38</v>
      </c>
      <c r="U486" s="7" t="s">
        <v>10</v>
      </c>
      <c r="V486" s="7">
        <f t="shared" si="56"/>
        <v>0.38</v>
      </c>
      <c r="W486" s="5" t="s">
        <v>10</v>
      </c>
      <c r="X486" s="5" t="s">
        <v>1398</v>
      </c>
      <c r="Y486" s="48" t="str">
        <f t="shared" si="57"/>
        <v>A DEFINIR</v>
      </c>
      <c r="Z486" s="7" t="s">
        <v>56</v>
      </c>
      <c r="AA486" s="5">
        <v>11599830</v>
      </c>
      <c r="AB486" s="5" t="s">
        <v>2942</v>
      </c>
      <c r="AC486" s="5" t="s">
        <v>48</v>
      </c>
      <c r="AD486" s="5" t="s">
        <v>5632</v>
      </c>
      <c r="AE486" s="5" t="str">
        <f t="shared" ca="1" si="54"/>
        <v>NO PRAZO</v>
      </c>
      <c r="AF486" s="51"/>
    </row>
    <row r="487" spans="1:32" ht="30" customHeight="1" x14ac:dyDescent="0.25">
      <c r="A487" s="5" t="s">
        <v>1412</v>
      </c>
      <c r="B487" s="5" t="s">
        <v>10</v>
      </c>
      <c r="C487" s="5" t="s">
        <v>5864</v>
      </c>
      <c r="D487" s="7" t="s">
        <v>1380</v>
      </c>
      <c r="E487" s="7" t="s">
        <v>256</v>
      </c>
      <c r="F487" s="7" t="s">
        <v>447</v>
      </c>
      <c r="G487" s="7" t="s">
        <v>1380</v>
      </c>
      <c r="H487" s="7" t="s">
        <v>1380</v>
      </c>
      <c r="I487" s="62" t="s">
        <v>1413</v>
      </c>
      <c r="J487" s="62" t="s">
        <v>1414</v>
      </c>
      <c r="K487" s="5" t="s">
        <v>10</v>
      </c>
      <c r="L487" s="5" t="s">
        <v>45</v>
      </c>
      <c r="M487" s="5" t="s">
        <v>10</v>
      </c>
      <c r="N487" s="5" t="s">
        <v>10</v>
      </c>
      <c r="O487" s="46" t="s">
        <v>46</v>
      </c>
      <c r="P487" s="101">
        <v>46078</v>
      </c>
      <c r="Q487" s="100">
        <f t="shared" si="55"/>
        <v>46443</v>
      </c>
      <c r="R487" s="63" t="s">
        <v>2010</v>
      </c>
      <c r="S487" s="7" t="s">
        <v>4946</v>
      </c>
      <c r="T487" s="7">
        <v>0.36</v>
      </c>
      <c r="U487" s="7" t="s">
        <v>10</v>
      </c>
      <c r="V487" s="7">
        <f t="shared" si="56"/>
        <v>0.36</v>
      </c>
      <c r="W487" s="5" t="s">
        <v>10</v>
      </c>
      <c r="X487" s="5" t="s">
        <v>1398</v>
      </c>
      <c r="Y487" s="48" t="str">
        <f t="shared" si="57"/>
        <v>A DEFINIR</v>
      </c>
      <c r="Z487" s="7" t="s">
        <v>56</v>
      </c>
      <c r="AA487" s="5">
        <v>11596965</v>
      </c>
      <c r="AB487" s="5" t="s">
        <v>2579</v>
      </c>
      <c r="AC487" s="5" t="s">
        <v>48</v>
      </c>
      <c r="AD487" s="5" t="s">
        <v>5530</v>
      </c>
      <c r="AE487" s="5" t="str">
        <f t="shared" ca="1" si="54"/>
        <v>NO PRAZO</v>
      </c>
      <c r="AF487" s="49"/>
    </row>
    <row r="488" spans="1:32" ht="30" customHeight="1" x14ac:dyDescent="0.25">
      <c r="A488" s="5" t="s">
        <v>1722</v>
      </c>
      <c r="B488" s="5" t="s">
        <v>10</v>
      </c>
      <c r="C488" s="5" t="s">
        <v>5864</v>
      </c>
      <c r="D488" s="7" t="s">
        <v>1380</v>
      </c>
      <c r="E488" s="7" t="s">
        <v>256</v>
      </c>
      <c r="F488" s="7" t="s">
        <v>257</v>
      </c>
      <c r="G488" s="7" t="s">
        <v>1380</v>
      </c>
      <c r="H488" s="7" t="s">
        <v>1380</v>
      </c>
      <c r="I488" s="7" t="s">
        <v>1787</v>
      </c>
      <c r="J488" s="7" t="s">
        <v>1788</v>
      </c>
      <c r="K488" s="5" t="s">
        <v>10</v>
      </c>
      <c r="L488" s="5" t="s">
        <v>10</v>
      </c>
      <c r="M488" s="5" t="s">
        <v>10</v>
      </c>
      <c r="N488" s="5" t="s">
        <v>45</v>
      </c>
      <c r="O488" s="80" t="s">
        <v>56</v>
      </c>
      <c r="P488" s="101">
        <v>45967</v>
      </c>
      <c r="Q488" s="100">
        <f t="shared" si="55"/>
        <v>46332</v>
      </c>
      <c r="R488" s="5" t="s">
        <v>1739</v>
      </c>
      <c r="S488" s="5" t="s">
        <v>3780</v>
      </c>
      <c r="T488" s="7">
        <v>1.1000000000000001E-3</v>
      </c>
      <c r="U488" s="7" t="s">
        <v>10</v>
      </c>
      <c r="V488" s="7">
        <f t="shared" si="56"/>
        <v>1.1000000000000001E-3</v>
      </c>
      <c r="W488" s="5" t="s">
        <v>10</v>
      </c>
      <c r="X488" s="5" t="s">
        <v>1789</v>
      </c>
      <c r="Y488" s="48" t="str">
        <f t="shared" si="57"/>
        <v>A DEFINIR</v>
      </c>
      <c r="Z488" s="7" t="s">
        <v>56</v>
      </c>
      <c r="AA488" s="5">
        <v>11599850</v>
      </c>
      <c r="AB488" s="5" t="s">
        <v>3937</v>
      </c>
      <c r="AC488" s="5" t="s">
        <v>48</v>
      </c>
      <c r="AD488" s="5" t="s">
        <v>5530</v>
      </c>
      <c r="AE488" s="5" t="str">
        <f t="shared" ca="1" si="54"/>
        <v>NO PRAZO</v>
      </c>
      <c r="AF488" s="49"/>
    </row>
    <row r="489" spans="1:32" ht="30" customHeight="1" x14ac:dyDescent="0.25">
      <c r="A489" s="5" t="s">
        <v>1415</v>
      </c>
      <c r="B489" s="5" t="s">
        <v>10</v>
      </c>
      <c r="C489" s="5" t="s">
        <v>5864</v>
      </c>
      <c r="D489" s="7" t="s">
        <v>1380</v>
      </c>
      <c r="E489" s="7" t="s">
        <v>256</v>
      </c>
      <c r="F489" s="7" t="s">
        <v>257</v>
      </c>
      <c r="G489" s="7" t="s">
        <v>1380</v>
      </c>
      <c r="H489" s="7" t="s">
        <v>1380</v>
      </c>
      <c r="I489" s="62" t="s">
        <v>1416</v>
      </c>
      <c r="J489" s="62" t="s">
        <v>1417</v>
      </c>
      <c r="K489" s="5" t="s">
        <v>10</v>
      </c>
      <c r="L489" s="5" t="s">
        <v>45</v>
      </c>
      <c r="M489" s="5" t="s">
        <v>10</v>
      </c>
      <c r="N489" s="5" t="s">
        <v>10</v>
      </c>
      <c r="O489" s="46" t="s">
        <v>46</v>
      </c>
      <c r="P489" s="101">
        <v>46034</v>
      </c>
      <c r="Q489" s="100">
        <f t="shared" si="55"/>
        <v>46399</v>
      </c>
      <c r="R489" s="63" t="s">
        <v>1903</v>
      </c>
      <c r="S489" s="63" t="s">
        <v>5028</v>
      </c>
      <c r="T489" s="7">
        <v>0.28000000000000003</v>
      </c>
      <c r="U489" s="7" t="s">
        <v>10</v>
      </c>
      <c r="V489" s="7">
        <f t="shared" si="56"/>
        <v>0.28000000000000003</v>
      </c>
      <c r="W489" s="5" t="s">
        <v>10</v>
      </c>
      <c r="X489" s="5" t="s">
        <v>1398</v>
      </c>
      <c r="Y489" s="48" t="str">
        <f t="shared" si="57"/>
        <v>A DEFINIR</v>
      </c>
      <c r="Z489" s="7" t="s">
        <v>56</v>
      </c>
      <c r="AA489" s="5">
        <v>11602476</v>
      </c>
      <c r="AB489" s="5" t="s">
        <v>3947</v>
      </c>
      <c r="AC489" s="5" t="s">
        <v>48</v>
      </c>
      <c r="AD489" s="5" t="s">
        <v>5530</v>
      </c>
      <c r="AE489" s="5" t="str">
        <f t="shared" ca="1" si="54"/>
        <v>NO PRAZO</v>
      </c>
      <c r="AF489" s="53"/>
    </row>
    <row r="490" spans="1:32" ht="30" customHeight="1" x14ac:dyDescent="0.25">
      <c r="A490" s="5" t="s">
        <v>1790</v>
      </c>
      <c r="B490" s="5" t="s">
        <v>10</v>
      </c>
      <c r="C490" s="5" t="s">
        <v>5864</v>
      </c>
      <c r="D490" s="7" t="s">
        <v>1380</v>
      </c>
      <c r="E490" s="7" t="s">
        <v>256</v>
      </c>
      <c r="F490" s="7" t="s">
        <v>646</v>
      </c>
      <c r="G490" s="7" t="s">
        <v>1380</v>
      </c>
      <c r="H490" s="7" t="s">
        <v>1380</v>
      </c>
      <c r="I490" s="62" t="s">
        <v>1413</v>
      </c>
      <c r="J490" s="62" t="s">
        <v>1414</v>
      </c>
      <c r="K490" s="5" t="s">
        <v>10</v>
      </c>
      <c r="L490" s="5" t="s">
        <v>45</v>
      </c>
      <c r="M490" s="5" t="s">
        <v>10</v>
      </c>
      <c r="N490" s="5" t="s">
        <v>10</v>
      </c>
      <c r="O490" s="46" t="s">
        <v>46</v>
      </c>
      <c r="P490" s="101">
        <v>45940</v>
      </c>
      <c r="Q490" s="100">
        <f t="shared" si="55"/>
        <v>46305</v>
      </c>
      <c r="R490" s="63" t="s">
        <v>1723</v>
      </c>
      <c r="S490" s="63" t="s">
        <v>3626</v>
      </c>
      <c r="T490" s="7">
        <v>0.26</v>
      </c>
      <c r="U490" s="7" t="s">
        <v>10</v>
      </c>
      <c r="V490" s="7">
        <f t="shared" si="56"/>
        <v>0.26</v>
      </c>
      <c r="W490" s="5" t="s">
        <v>10</v>
      </c>
      <c r="X490" s="5" t="s">
        <v>1398</v>
      </c>
      <c r="Y490" s="48" t="str">
        <f t="shared" si="57"/>
        <v>A DEFINIR</v>
      </c>
      <c r="Z490" s="7" t="s">
        <v>56</v>
      </c>
      <c r="AA490" s="5">
        <v>11605795</v>
      </c>
      <c r="AB490" s="5" t="s">
        <v>3946</v>
      </c>
      <c r="AC490" s="5" t="s">
        <v>48</v>
      </c>
      <c r="AD490" s="5" t="s">
        <v>5530</v>
      </c>
      <c r="AE490" s="5" t="str">
        <f t="shared" ca="1" si="54"/>
        <v>NO PRAZO</v>
      </c>
      <c r="AF490" s="49"/>
    </row>
    <row r="491" spans="1:32" ht="30" customHeight="1" x14ac:dyDescent="0.25">
      <c r="A491" s="5" t="s">
        <v>5820</v>
      </c>
      <c r="B491" s="5" t="s">
        <v>10</v>
      </c>
      <c r="C491" s="5" t="s">
        <v>5864</v>
      </c>
      <c r="D491" s="7" t="s">
        <v>1380</v>
      </c>
      <c r="E491" s="7" t="s">
        <v>256</v>
      </c>
      <c r="F491" s="7" t="s">
        <v>447</v>
      </c>
      <c r="G491" s="7" t="s">
        <v>1380</v>
      </c>
      <c r="H491" s="7" t="s">
        <v>1380</v>
      </c>
      <c r="I491" s="62" t="s">
        <v>1416</v>
      </c>
      <c r="J491" s="62" t="s">
        <v>5856</v>
      </c>
      <c r="K491" s="5" t="s">
        <v>10</v>
      </c>
      <c r="L491" s="5" t="s">
        <v>45</v>
      </c>
      <c r="M491" s="5" t="s">
        <v>10</v>
      </c>
      <c r="N491" s="5" t="s">
        <v>10</v>
      </c>
      <c r="O491" s="46" t="s">
        <v>46</v>
      </c>
      <c r="P491" s="101">
        <v>46213</v>
      </c>
      <c r="Q491" s="100">
        <f t="shared" ref="Q491" si="58">IF(P491="","",P491+365)</f>
        <v>46578</v>
      </c>
      <c r="R491" s="63" t="s">
        <v>273</v>
      </c>
      <c r="S491" s="63" t="s">
        <v>5822</v>
      </c>
      <c r="T491" s="7">
        <v>0.41</v>
      </c>
      <c r="U491" s="7" t="s">
        <v>10</v>
      </c>
      <c r="V491" s="7">
        <f t="shared" ref="V491" si="59">IFERROR(IF(U491&gt;0,T491*100/U491,T491),T491)</f>
        <v>0.41</v>
      </c>
      <c r="W491" s="5" t="s">
        <v>10</v>
      </c>
      <c r="X491" s="5" t="s">
        <v>1398</v>
      </c>
      <c r="Y491" s="48" t="str">
        <f t="shared" ref="Y491" si="60">IFERROR(IF(W491="-",$AL$6,CHOOSE(IF(T491="",1,2),$AL$7,IF(V491&gt;W491,$AL$5,$AL$4))),"-")</f>
        <v>A DEFINIR</v>
      </c>
      <c r="Z491" s="7" t="s">
        <v>56</v>
      </c>
      <c r="AA491" s="5" t="s">
        <v>4675</v>
      </c>
      <c r="AB491" s="5" t="s">
        <v>4675</v>
      </c>
      <c r="AC491" s="5" t="s">
        <v>48</v>
      </c>
      <c r="AD491" s="5" t="s">
        <v>5632</v>
      </c>
      <c r="AE491" s="5" t="str">
        <f t="shared" ref="AE491" ca="1" si="61">IFERROR(IF(OR(AND(YEAR(Q491)=YEAR(TODAY()),MONTH(Q491)&gt;MONTH(TODAY())),(YEAR(Q491)&gt;YEAR(TODAY()))),$AK$4,IF(AND(YEAR(Q491)=YEAR(TODAY()),MONTH(Q491)=MONTH(TODAY())),$AK$5,IF(Q491="",$AK$6,$AK$7))),"-")</f>
        <v>NO PRAZO</v>
      </c>
      <c r="AF491" s="51"/>
    </row>
    <row r="492" spans="1:32" ht="30" customHeight="1" x14ac:dyDescent="0.25">
      <c r="A492" s="5" t="s">
        <v>4409</v>
      </c>
      <c r="B492" s="5" t="s">
        <v>10</v>
      </c>
      <c r="C492" s="5" t="s">
        <v>5864</v>
      </c>
      <c r="D492" s="7" t="s">
        <v>1380</v>
      </c>
      <c r="E492" s="7" t="s">
        <v>256</v>
      </c>
      <c r="F492" s="7" t="s">
        <v>257</v>
      </c>
      <c r="G492" s="7" t="s">
        <v>1380</v>
      </c>
      <c r="H492" s="7" t="s">
        <v>1380</v>
      </c>
      <c r="I492" s="62" t="s">
        <v>1416</v>
      </c>
      <c r="J492" s="62" t="s">
        <v>1414</v>
      </c>
      <c r="K492" s="5" t="s">
        <v>10</v>
      </c>
      <c r="L492" s="5" t="s">
        <v>45</v>
      </c>
      <c r="M492" s="5" t="s">
        <v>10</v>
      </c>
      <c r="N492" s="5" t="s">
        <v>10</v>
      </c>
      <c r="O492" s="46" t="s">
        <v>46</v>
      </c>
      <c r="P492" s="101">
        <v>45995</v>
      </c>
      <c r="Q492" s="100">
        <f t="shared" si="55"/>
        <v>46360</v>
      </c>
      <c r="R492" s="63" t="s">
        <v>10</v>
      </c>
      <c r="S492" s="63" t="s">
        <v>4479</v>
      </c>
      <c r="T492" s="7">
        <v>0.28000000000000003</v>
      </c>
      <c r="U492" s="7" t="s">
        <v>10</v>
      </c>
      <c r="V492" s="7">
        <f t="shared" si="56"/>
        <v>0.28000000000000003</v>
      </c>
      <c r="W492" s="5" t="s">
        <v>10</v>
      </c>
      <c r="X492" s="5" t="s">
        <v>1398</v>
      </c>
      <c r="Y492" s="48" t="str">
        <f t="shared" si="57"/>
        <v>A DEFINIR</v>
      </c>
      <c r="Z492" s="7" t="s">
        <v>56</v>
      </c>
      <c r="AA492" s="5">
        <v>11607222</v>
      </c>
      <c r="AB492" s="5" t="s">
        <v>4477</v>
      </c>
      <c r="AC492" s="5" t="s">
        <v>48</v>
      </c>
      <c r="AD492" s="5" t="s">
        <v>5530</v>
      </c>
      <c r="AE492" s="5" t="str">
        <f t="shared" ca="1" si="54"/>
        <v>NO PRAZO</v>
      </c>
      <c r="AF492" s="49"/>
    </row>
    <row r="493" spans="1:32" ht="30" customHeight="1" x14ac:dyDescent="0.25">
      <c r="A493" s="9" t="s">
        <v>1418</v>
      </c>
      <c r="B493" s="5" t="s">
        <v>10</v>
      </c>
      <c r="C493" s="5" t="s">
        <v>5863</v>
      </c>
      <c r="D493" s="61" t="s">
        <v>348</v>
      </c>
      <c r="E493" s="7" t="s">
        <v>68</v>
      </c>
      <c r="F493" s="7" t="s">
        <v>86</v>
      </c>
      <c r="G493" s="61" t="s">
        <v>342</v>
      </c>
      <c r="H493" s="61" t="s">
        <v>1419</v>
      </c>
      <c r="I493" s="61" t="s">
        <v>115</v>
      </c>
      <c r="J493" s="62" t="s">
        <v>1420</v>
      </c>
      <c r="K493" s="5" t="s">
        <v>10</v>
      </c>
      <c r="L493" s="5" t="s">
        <v>10</v>
      </c>
      <c r="M493" s="5" t="s">
        <v>10</v>
      </c>
      <c r="N493" s="5" t="s">
        <v>45</v>
      </c>
      <c r="O493" s="80" t="s">
        <v>56</v>
      </c>
      <c r="P493" s="99">
        <v>46154</v>
      </c>
      <c r="Q493" s="100">
        <f t="shared" si="55"/>
        <v>46519</v>
      </c>
      <c r="R493" s="63" t="s">
        <v>2290</v>
      </c>
      <c r="S493" s="63" t="s">
        <v>5386</v>
      </c>
      <c r="T493" s="7">
        <v>0.151</v>
      </c>
      <c r="U493" s="7" t="s">
        <v>10</v>
      </c>
      <c r="V493" s="7">
        <f t="shared" si="56"/>
        <v>0.151</v>
      </c>
      <c r="W493" s="5">
        <v>0.5</v>
      </c>
      <c r="X493" s="5" t="s">
        <v>55</v>
      </c>
      <c r="Y493" s="48" t="str">
        <f t="shared" si="57"/>
        <v>APROVADO</v>
      </c>
      <c r="Z493" s="7" t="s">
        <v>56</v>
      </c>
      <c r="AA493" s="5">
        <v>11606632</v>
      </c>
      <c r="AB493" s="5" t="s">
        <v>4072</v>
      </c>
      <c r="AC493" s="5" t="s">
        <v>48</v>
      </c>
      <c r="AD493" s="5" t="s">
        <v>5530</v>
      </c>
      <c r="AE493" s="5" t="str">
        <f t="shared" ca="1" si="54"/>
        <v>NO PRAZO</v>
      </c>
      <c r="AF493" s="51"/>
    </row>
    <row r="494" spans="1:32" ht="30" customHeight="1" x14ac:dyDescent="0.25">
      <c r="A494" s="9" t="s">
        <v>3213</v>
      </c>
      <c r="B494" s="5" t="s">
        <v>10</v>
      </c>
      <c r="C494" s="5" t="s">
        <v>5863</v>
      </c>
      <c r="D494" s="61" t="s">
        <v>348</v>
      </c>
      <c r="E494" s="7" t="s">
        <v>68</v>
      </c>
      <c r="F494" s="7" t="s">
        <v>86</v>
      </c>
      <c r="G494" s="61" t="s">
        <v>342</v>
      </c>
      <c r="H494" s="61" t="s">
        <v>3057</v>
      </c>
      <c r="I494" s="61" t="s">
        <v>115</v>
      </c>
      <c r="J494" s="62" t="s">
        <v>1420</v>
      </c>
      <c r="K494" s="5" t="s">
        <v>10</v>
      </c>
      <c r="L494" s="5" t="s">
        <v>10</v>
      </c>
      <c r="M494" s="5" t="s">
        <v>10</v>
      </c>
      <c r="N494" s="5" t="s">
        <v>45</v>
      </c>
      <c r="O494" s="80" t="s">
        <v>56</v>
      </c>
      <c r="P494" s="99">
        <v>46154</v>
      </c>
      <c r="Q494" s="100">
        <f t="shared" si="55"/>
        <v>46519</v>
      </c>
      <c r="R494" s="63" t="s">
        <v>2291</v>
      </c>
      <c r="S494" s="63" t="s">
        <v>5387</v>
      </c>
      <c r="T494" s="7">
        <v>0.17</v>
      </c>
      <c r="U494" s="7" t="s">
        <v>10</v>
      </c>
      <c r="V494" s="7">
        <f t="shared" si="56"/>
        <v>0.17</v>
      </c>
      <c r="W494" s="5">
        <v>0.5</v>
      </c>
      <c r="X494" s="5" t="s">
        <v>55</v>
      </c>
      <c r="Y494" s="48" t="str">
        <f t="shared" si="57"/>
        <v>APROVADO</v>
      </c>
      <c r="Z494" s="7" t="s">
        <v>56</v>
      </c>
      <c r="AA494" s="5">
        <v>11606633</v>
      </c>
      <c r="AB494" s="5" t="s">
        <v>4073</v>
      </c>
      <c r="AC494" s="5" t="s">
        <v>48</v>
      </c>
      <c r="AD494" s="5" t="s">
        <v>5530</v>
      </c>
      <c r="AE494" s="5" t="str">
        <f t="shared" ca="1" si="54"/>
        <v>NO PRAZO</v>
      </c>
      <c r="AF494" s="51"/>
    </row>
    <row r="495" spans="1:32" ht="30" customHeight="1" x14ac:dyDescent="0.25">
      <c r="A495" s="11" t="s">
        <v>1421</v>
      </c>
      <c r="B495" s="5" t="s">
        <v>10</v>
      </c>
      <c r="C495" s="5" t="s">
        <v>5863</v>
      </c>
      <c r="D495" s="61" t="s">
        <v>348</v>
      </c>
      <c r="E495" s="7" t="s">
        <v>68</v>
      </c>
      <c r="F495" s="7" t="s">
        <v>86</v>
      </c>
      <c r="G495" s="61" t="s">
        <v>342</v>
      </c>
      <c r="H495" s="61" t="s">
        <v>1422</v>
      </c>
      <c r="I495" s="61" t="s">
        <v>115</v>
      </c>
      <c r="J495" s="62" t="s">
        <v>1420</v>
      </c>
      <c r="K495" s="5" t="s">
        <v>10</v>
      </c>
      <c r="L495" s="5" t="s">
        <v>10</v>
      </c>
      <c r="M495" s="5" t="s">
        <v>10</v>
      </c>
      <c r="N495" s="5" t="s">
        <v>45</v>
      </c>
      <c r="O495" s="80" t="s">
        <v>56</v>
      </c>
      <c r="P495" s="99">
        <v>46154</v>
      </c>
      <c r="Q495" s="100">
        <f t="shared" si="55"/>
        <v>46519</v>
      </c>
      <c r="R495" s="63" t="s">
        <v>2342</v>
      </c>
      <c r="S495" s="63" t="s">
        <v>5408</v>
      </c>
      <c r="T495" s="7">
        <v>0.17</v>
      </c>
      <c r="U495" s="7" t="s">
        <v>10</v>
      </c>
      <c r="V495" s="7">
        <f t="shared" si="56"/>
        <v>0.17</v>
      </c>
      <c r="W495" s="5">
        <v>0.5</v>
      </c>
      <c r="X495" s="5" t="s">
        <v>55</v>
      </c>
      <c r="Y495" s="48" t="str">
        <f t="shared" si="57"/>
        <v>APROVADO</v>
      </c>
      <c r="Z495" s="7" t="s">
        <v>56</v>
      </c>
      <c r="AA495" s="5">
        <v>11604364</v>
      </c>
      <c r="AB495" s="5" t="s">
        <v>4151</v>
      </c>
      <c r="AC495" s="5" t="s">
        <v>48</v>
      </c>
      <c r="AD495" s="5" t="s">
        <v>5530</v>
      </c>
      <c r="AE495" s="5" t="str">
        <f t="shared" ca="1" si="54"/>
        <v>NO PRAZO</v>
      </c>
      <c r="AF495" s="51"/>
    </row>
    <row r="496" spans="1:32" ht="30" customHeight="1" x14ac:dyDescent="0.25">
      <c r="A496" s="9" t="s">
        <v>3214</v>
      </c>
      <c r="B496" s="5" t="s">
        <v>10</v>
      </c>
      <c r="C496" s="5" t="s">
        <v>5863</v>
      </c>
      <c r="D496" s="61" t="s">
        <v>348</v>
      </c>
      <c r="E496" s="7" t="s">
        <v>68</v>
      </c>
      <c r="F496" s="7" t="s">
        <v>86</v>
      </c>
      <c r="G496" s="61" t="s">
        <v>342</v>
      </c>
      <c r="H496" s="61" t="s">
        <v>1423</v>
      </c>
      <c r="I496" s="61" t="s">
        <v>115</v>
      </c>
      <c r="J496" s="62" t="s">
        <v>1420</v>
      </c>
      <c r="K496" s="5" t="s">
        <v>10</v>
      </c>
      <c r="L496" s="5" t="s">
        <v>10</v>
      </c>
      <c r="M496" s="5" t="s">
        <v>10</v>
      </c>
      <c r="N496" s="5" t="s">
        <v>45</v>
      </c>
      <c r="O496" s="80" t="s">
        <v>56</v>
      </c>
      <c r="P496" s="99">
        <v>46154</v>
      </c>
      <c r="Q496" s="100">
        <f t="shared" si="55"/>
        <v>46519</v>
      </c>
      <c r="R496" s="63" t="s">
        <v>2292</v>
      </c>
      <c r="S496" s="63" t="s">
        <v>5388</v>
      </c>
      <c r="T496" s="7">
        <v>0.17</v>
      </c>
      <c r="U496" s="7" t="s">
        <v>10</v>
      </c>
      <c r="V496" s="7">
        <f t="shared" si="56"/>
        <v>0.17</v>
      </c>
      <c r="W496" s="5">
        <v>0.5</v>
      </c>
      <c r="X496" s="5" t="s">
        <v>55</v>
      </c>
      <c r="Y496" s="48" t="str">
        <f t="shared" si="57"/>
        <v>APROVADO</v>
      </c>
      <c r="Z496" s="7" t="s">
        <v>56</v>
      </c>
      <c r="AA496" s="5">
        <v>11604365</v>
      </c>
      <c r="AB496" s="5" t="s">
        <v>4074</v>
      </c>
      <c r="AC496" s="5" t="s">
        <v>48</v>
      </c>
      <c r="AD496" s="5" t="s">
        <v>5530</v>
      </c>
      <c r="AE496" s="5" t="str">
        <f t="shared" ca="1" si="54"/>
        <v>NO PRAZO</v>
      </c>
      <c r="AF496" s="51"/>
    </row>
    <row r="497" spans="1:32" ht="30" customHeight="1" x14ac:dyDescent="0.25">
      <c r="A497" s="5" t="s">
        <v>1703</v>
      </c>
      <c r="B497" s="5" t="s">
        <v>10</v>
      </c>
      <c r="C497" s="5" t="s">
        <v>5862</v>
      </c>
      <c r="D497" s="7" t="s">
        <v>348</v>
      </c>
      <c r="E497" s="7" t="s">
        <v>68</v>
      </c>
      <c r="F497" s="7" t="s">
        <v>86</v>
      </c>
      <c r="G497" s="7" t="s">
        <v>342</v>
      </c>
      <c r="H497" s="7" t="s">
        <v>1704</v>
      </c>
      <c r="I497" s="7" t="s">
        <v>115</v>
      </c>
      <c r="J497" s="7" t="s">
        <v>1557</v>
      </c>
      <c r="K497" s="5" t="s">
        <v>45</v>
      </c>
      <c r="L497" s="5" t="s">
        <v>10</v>
      </c>
      <c r="M497" s="5" t="s">
        <v>10</v>
      </c>
      <c r="N497" s="5" t="s">
        <v>10</v>
      </c>
      <c r="O497" s="46" t="s">
        <v>46</v>
      </c>
      <c r="P497" s="101">
        <v>46154</v>
      </c>
      <c r="Q497" s="100">
        <f t="shared" si="55"/>
        <v>46519</v>
      </c>
      <c r="R497" s="7" t="s">
        <v>2275</v>
      </c>
      <c r="S497" s="7" t="s">
        <v>5389</v>
      </c>
      <c r="T497" s="7">
        <v>0.151</v>
      </c>
      <c r="U497" s="7" t="s">
        <v>10</v>
      </c>
      <c r="V497" s="7">
        <f t="shared" si="56"/>
        <v>0.151</v>
      </c>
      <c r="W497" s="7">
        <v>0.5</v>
      </c>
      <c r="X497" s="7" t="s">
        <v>55</v>
      </c>
      <c r="Y497" s="48" t="str">
        <f t="shared" si="57"/>
        <v>APROVADO</v>
      </c>
      <c r="Z497" s="7" t="s">
        <v>56</v>
      </c>
      <c r="AA497" s="5">
        <v>11606634</v>
      </c>
      <c r="AB497" s="5" t="s">
        <v>4075</v>
      </c>
      <c r="AC497" s="5" t="s">
        <v>48</v>
      </c>
      <c r="AD497" s="5" t="s">
        <v>5530</v>
      </c>
      <c r="AE497" s="5" t="str">
        <f t="shared" ca="1" si="54"/>
        <v>NO PRAZO</v>
      </c>
      <c r="AF497" s="51"/>
    </row>
    <row r="498" spans="1:32" ht="30" customHeight="1" x14ac:dyDescent="0.25">
      <c r="A498" s="9" t="s">
        <v>1424</v>
      </c>
      <c r="B498" s="5" t="s">
        <v>10</v>
      </c>
      <c r="C498" s="5" t="s">
        <v>5863</v>
      </c>
      <c r="D498" s="61" t="s">
        <v>348</v>
      </c>
      <c r="E498" s="7" t="s">
        <v>68</v>
      </c>
      <c r="F498" s="7" t="s">
        <v>86</v>
      </c>
      <c r="G498" s="61" t="s">
        <v>342</v>
      </c>
      <c r="H498" s="61" t="s">
        <v>1422</v>
      </c>
      <c r="I498" s="61" t="s">
        <v>115</v>
      </c>
      <c r="J498" s="62" t="s">
        <v>1420</v>
      </c>
      <c r="K498" s="5" t="s">
        <v>10</v>
      </c>
      <c r="L498" s="5" t="s">
        <v>10</v>
      </c>
      <c r="M498" s="5" t="s">
        <v>10</v>
      </c>
      <c r="N498" s="5" t="s">
        <v>45</v>
      </c>
      <c r="O498" s="80" t="s">
        <v>56</v>
      </c>
      <c r="P498" s="99">
        <v>46154</v>
      </c>
      <c r="Q498" s="100">
        <f t="shared" si="55"/>
        <v>46519</v>
      </c>
      <c r="R498" s="63" t="s">
        <v>2276</v>
      </c>
      <c r="S498" s="63" t="s">
        <v>5390</v>
      </c>
      <c r="T498" s="7">
        <v>0.17</v>
      </c>
      <c r="U498" s="7" t="s">
        <v>10</v>
      </c>
      <c r="V498" s="7">
        <f t="shared" si="56"/>
        <v>0.17</v>
      </c>
      <c r="W498" s="5">
        <v>0.5</v>
      </c>
      <c r="X498" s="5" t="s">
        <v>55</v>
      </c>
      <c r="Y498" s="48" t="str">
        <f t="shared" si="57"/>
        <v>APROVADO</v>
      </c>
      <c r="Z498" s="7" t="s">
        <v>56</v>
      </c>
      <c r="AA498" s="5">
        <v>11604366</v>
      </c>
      <c r="AB498" s="5" t="s">
        <v>4076</v>
      </c>
      <c r="AC498" s="5" t="s">
        <v>48</v>
      </c>
      <c r="AD498" s="5" t="s">
        <v>5530</v>
      </c>
      <c r="AE498" s="5" t="str">
        <f t="shared" ca="1" si="54"/>
        <v>NO PRAZO</v>
      </c>
      <c r="AF498" s="51"/>
    </row>
    <row r="499" spans="1:32" ht="30" customHeight="1" x14ac:dyDescent="0.25">
      <c r="A499" s="9" t="s">
        <v>3215</v>
      </c>
      <c r="B499" s="5" t="s">
        <v>10</v>
      </c>
      <c r="C499" s="5" t="s">
        <v>5863</v>
      </c>
      <c r="D499" s="61" t="s">
        <v>348</v>
      </c>
      <c r="E499" s="7" t="s">
        <v>68</v>
      </c>
      <c r="F499" s="7" t="s">
        <v>86</v>
      </c>
      <c r="G499" s="61" t="s">
        <v>342</v>
      </c>
      <c r="H499" s="61" t="s">
        <v>1423</v>
      </c>
      <c r="I499" s="61" t="s">
        <v>115</v>
      </c>
      <c r="J499" s="62" t="s">
        <v>1420</v>
      </c>
      <c r="K499" s="5" t="s">
        <v>10</v>
      </c>
      <c r="L499" s="5" t="s">
        <v>10</v>
      </c>
      <c r="M499" s="5" t="s">
        <v>10</v>
      </c>
      <c r="N499" s="5" t="s">
        <v>45</v>
      </c>
      <c r="O499" s="80" t="s">
        <v>56</v>
      </c>
      <c r="P499" s="99">
        <v>46154</v>
      </c>
      <c r="Q499" s="100">
        <f t="shared" si="55"/>
        <v>46519</v>
      </c>
      <c r="R499" s="63" t="s">
        <v>2277</v>
      </c>
      <c r="S499" s="63" t="s">
        <v>5391</v>
      </c>
      <c r="T499" s="7">
        <v>0.17</v>
      </c>
      <c r="U499" s="7" t="s">
        <v>10</v>
      </c>
      <c r="V499" s="7">
        <f t="shared" si="56"/>
        <v>0.17</v>
      </c>
      <c r="W499" s="5">
        <v>0.5</v>
      </c>
      <c r="X499" s="5" t="s">
        <v>55</v>
      </c>
      <c r="Y499" s="48" t="str">
        <f t="shared" si="57"/>
        <v>APROVADO</v>
      </c>
      <c r="Z499" s="7" t="s">
        <v>56</v>
      </c>
      <c r="AA499" s="5">
        <v>11604367</v>
      </c>
      <c r="AB499" s="5" t="s">
        <v>4077</v>
      </c>
      <c r="AC499" s="5" t="s">
        <v>48</v>
      </c>
      <c r="AD499" s="5" t="s">
        <v>5530</v>
      </c>
      <c r="AE499" s="5" t="str">
        <f t="shared" ca="1" si="54"/>
        <v>NO PRAZO</v>
      </c>
      <c r="AF499" s="51"/>
    </row>
    <row r="500" spans="1:32" ht="30" customHeight="1" x14ac:dyDescent="0.25">
      <c r="A500" s="9" t="s">
        <v>3216</v>
      </c>
      <c r="B500" s="5" t="s">
        <v>10</v>
      </c>
      <c r="C500" s="5" t="s">
        <v>5863</v>
      </c>
      <c r="D500" s="61" t="s">
        <v>348</v>
      </c>
      <c r="E500" s="7" t="s">
        <v>68</v>
      </c>
      <c r="F500" s="7" t="s">
        <v>86</v>
      </c>
      <c r="G500" s="61" t="s">
        <v>342</v>
      </c>
      <c r="H500" s="61" t="s">
        <v>1422</v>
      </c>
      <c r="I500" s="61" t="s">
        <v>115</v>
      </c>
      <c r="J500" s="62" t="s">
        <v>1420</v>
      </c>
      <c r="K500" s="5" t="s">
        <v>10</v>
      </c>
      <c r="L500" s="5" t="s">
        <v>10</v>
      </c>
      <c r="M500" s="5" t="s">
        <v>10</v>
      </c>
      <c r="N500" s="5" t="s">
        <v>45</v>
      </c>
      <c r="O500" s="80" t="s">
        <v>56</v>
      </c>
      <c r="P500" s="99">
        <v>46154</v>
      </c>
      <c r="Q500" s="100">
        <f t="shared" si="55"/>
        <v>46519</v>
      </c>
      <c r="R500" s="63" t="s">
        <v>2278</v>
      </c>
      <c r="S500" s="63" t="s">
        <v>5392</v>
      </c>
      <c r="T500" s="7">
        <v>0.17</v>
      </c>
      <c r="U500" s="7" t="s">
        <v>10</v>
      </c>
      <c r="V500" s="7">
        <f t="shared" si="56"/>
        <v>0.17</v>
      </c>
      <c r="W500" s="5">
        <v>0.5</v>
      </c>
      <c r="X500" s="5" t="s">
        <v>55</v>
      </c>
      <c r="Y500" s="48" t="str">
        <f t="shared" si="57"/>
        <v>APROVADO</v>
      </c>
      <c r="Z500" s="7" t="s">
        <v>56</v>
      </c>
      <c r="AA500" s="5">
        <v>11604368</v>
      </c>
      <c r="AB500" s="5" t="s">
        <v>4078</v>
      </c>
      <c r="AC500" s="5" t="s">
        <v>48</v>
      </c>
      <c r="AD500" s="5" t="s">
        <v>5530</v>
      </c>
      <c r="AE500" s="5" t="str">
        <f t="shared" ca="1" si="54"/>
        <v>NO PRAZO</v>
      </c>
      <c r="AF500" s="51"/>
    </row>
    <row r="501" spans="1:32" ht="30" customHeight="1" x14ac:dyDescent="0.25">
      <c r="A501" s="9" t="s">
        <v>1425</v>
      </c>
      <c r="B501" s="5" t="s">
        <v>10</v>
      </c>
      <c r="C501" s="5" t="s">
        <v>5863</v>
      </c>
      <c r="D501" s="61" t="s">
        <v>348</v>
      </c>
      <c r="E501" s="7" t="s">
        <v>68</v>
      </c>
      <c r="F501" s="7" t="s">
        <v>86</v>
      </c>
      <c r="G501" s="61" t="s">
        <v>342</v>
      </c>
      <c r="H501" s="61" t="s">
        <v>1423</v>
      </c>
      <c r="I501" s="61" t="s">
        <v>115</v>
      </c>
      <c r="J501" s="62" t="s">
        <v>1420</v>
      </c>
      <c r="K501" s="5" t="s">
        <v>10</v>
      </c>
      <c r="L501" s="5" t="s">
        <v>10</v>
      </c>
      <c r="M501" s="5" t="s">
        <v>10</v>
      </c>
      <c r="N501" s="5" t="s">
        <v>45</v>
      </c>
      <c r="O501" s="80" t="s">
        <v>56</v>
      </c>
      <c r="P501" s="99">
        <v>46154</v>
      </c>
      <c r="Q501" s="100">
        <f t="shared" si="55"/>
        <v>46519</v>
      </c>
      <c r="R501" s="63" t="s">
        <v>2281</v>
      </c>
      <c r="S501" s="63" t="s">
        <v>5393</v>
      </c>
      <c r="T501" s="7">
        <v>0.17</v>
      </c>
      <c r="U501" s="7" t="s">
        <v>10</v>
      </c>
      <c r="V501" s="7">
        <f t="shared" si="56"/>
        <v>0.17</v>
      </c>
      <c r="W501" s="5">
        <v>0.5</v>
      </c>
      <c r="X501" s="5" t="s">
        <v>55</v>
      </c>
      <c r="Y501" s="48" t="str">
        <f t="shared" si="57"/>
        <v>APROVADO</v>
      </c>
      <c r="Z501" s="7" t="s">
        <v>56</v>
      </c>
      <c r="AA501" s="5">
        <v>11604369</v>
      </c>
      <c r="AB501" s="5" t="s">
        <v>4079</v>
      </c>
      <c r="AC501" s="5" t="s">
        <v>48</v>
      </c>
      <c r="AD501" s="5" t="s">
        <v>5530</v>
      </c>
      <c r="AE501" s="5" t="str">
        <f t="shared" ca="1" si="54"/>
        <v>NO PRAZO</v>
      </c>
      <c r="AF501" s="51"/>
    </row>
    <row r="502" spans="1:32" ht="30" customHeight="1" x14ac:dyDescent="0.25">
      <c r="A502" s="9" t="s">
        <v>3217</v>
      </c>
      <c r="B502" s="5" t="s">
        <v>10</v>
      </c>
      <c r="C502" s="5" t="s">
        <v>5863</v>
      </c>
      <c r="D502" s="61" t="s">
        <v>348</v>
      </c>
      <c r="E502" s="7" t="s">
        <v>68</v>
      </c>
      <c r="F502" s="7" t="s">
        <v>86</v>
      </c>
      <c r="G502" s="61" t="s">
        <v>342</v>
      </c>
      <c r="H502" s="61" t="s">
        <v>1422</v>
      </c>
      <c r="I502" s="61" t="s">
        <v>115</v>
      </c>
      <c r="J502" s="62" t="s">
        <v>1420</v>
      </c>
      <c r="K502" s="5" t="s">
        <v>10</v>
      </c>
      <c r="L502" s="5" t="s">
        <v>10</v>
      </c>
      <c r="M502" s="5" t="s">
        <v>10</v>
      </c>
      <c r="N502" s="5" t="s">
        <v>45</v>
      </c>
      <c r="O502" s="80" t="s">
        <v>56</v>
      </c>
      <c r="P502" s="99">
        <v>46154</v>
      </c>
      <c r="Q502" s="100">
        <f t="shared" si="55"/>
        <v>46519</v>
      </c>
      <c r="R502" s="63" t="s">
        <v>2282</v>
      </c>
      <c r="S502" s="63" t="s">
        <v>5394</v>
      </c>
      <c r="T502" s="7">
        <v>0.151</v>
      </c>
      <c r="U502" s="7" t="s">
        <v>10</v>
      </c>
      <c r="V502" s="7">
        <f t="shared" si="56"/>
        <v>0.151</v>
      </c>
      <c r="W502" s="5">
        <v>0.5</v>
      </c>
      <c r="X502" s="5" t="s">
        <v>55</v>
      </c>
      <c r="Y502" s="48" t="str">
        <f t="shared" si="57"/>
        <v>APROVADO</v>
      </c>
      <c r="Z502" s="7" t="s">
        <v>56</v>
      </c>
      <c r="AA502" s="5">
        <v>11604370</v>
      </c>
      <c r="AB502" s="5" t="s">
        <v>4080</v>
      </c>
      <c r="AC502" s="5" t="s">
        <v>48</v>
      </c>
      <c r="AD502" s="5" t="s">
        <v>5530</v>
      </c>
      <c r="AE502" s="5" t="str">
        <f t="shared" ca="1" si="54"/>
        <v>NO PRAZO</v>
      </c>
      <c r="AF502" s="51"/>
    </row>
    <row r="503" spans="1:32" ht="30" customHeight="1" x14ac:dyDescent="0.25">
      <c r="A503" s="9" t="s">
        <v>1426</v>
      </c>
      <c r="B503" s="5" t="s">
        <v>10</v>
      </c>
      <c r="C503" s="5" t="s">
        <v>5863</v>
      </c>
      <c r="D503" s="61" t="s">
        <v>348</v>
      </c>
      <c r="E503" s="7" t="s">
        <v>68</v>
      </c>
      <c r="F503" s="7" t="s">
        <v>86</v>
      </c>
      <c r="G503" s="61" t="s">
        <v>342</v>
      </c>
      <c r="H503" s="61" t="s">
        <v>1423</v>
      </c>
      <c r="I503" s="61" t="s">
        <v>115</v>
      </c>
      <c r="J503" s="62" t="s">
        <v>1420</v>
      </c>
      <c r="K503" s="5" t="s">
        <v>10</v>
      </c>
      <c r="L503" s="5" t="s">
        <v>10</v>
      </c>
      <c r="M503" s="5" t="s">
        <v>10</v>
      </c>
      <c r="N503" s="5" t="s">
        <v>45</v>
      </c>
      <c r="O503" s="80" t="s">
        <v>56</v>
      </c>
      <c r="P503" s="99">
        <v>46154</v>
      </c>
      <c r="Q503" s="100">
        <f t="shared" si="55"/>
        <v>46519</v>
      </c>
      <c r="R503" s="63" t="s">
        <v>2279</v>
      </c>
      <c r="S503" s="63" t="s">
        <v>5395</v>
      </c>
      <c r="T503" s="7">
        <v>0.17</v>
      </c>
      <c r="U503" s="7" t="s">
        <v>10</v>
      </c>
      <c r="V503" s="7">
        <f t="shared" si="56"/>
        <v>0.17</v>
      </c>
      <c r="W503" s="5">
        <v>0.5</v>
      </c>
      <c r="X503" s="5" t="s">
        <v>55</v>
      </c>
      <c r="Y503" s="48" t="str">
        <f t="shared" si="57"/>
        <v>APROVADO</v>
      </c>
      <c r="Z503" s="7" t="s">
        <v>56</v>
      </c>
      <c r="AA503" s="5">
        <v>11604371</v>
      </c>
      <c r="AB503" s="5" t="s">
        <v>4081</v>
      </c>
      <c r="AC503" s="5" t="s">
        <v>48</v>
      </c>
      <c r="AD503" s="5" t="s">
        <v>5530</v>
      </c>
      <c r="AE503" s="5" t="str">
        <f t="shared" ca="1" si="54"/>
        <v>NO PRAZO</v>
      </c>
      <c r="AF503" s="51"/>
    </row>
    <row r="504" spans="1:32" ht="30" customHeight="1" x14ac:dyDescent="0.25">
      <c r="A504" s="9" t="s">
        <v>1427</v>
      </c>
      <c r="B504" s="5" t="s">
        <v>10</v>
      </c>
      <c r="C504" s="5" t="s">
        <v>5863</v>
      </c>
      <c r="D504" s="61" t="s">
        <v>348</v>
      </c>
      <c r="E504" s="7" t="s">
        <v>68</v>
      </c>
      <c r="F504" s="7" t="s">
        <v>86</v>
      </c>
      <c r="G504" s="61" t="s">
        <v>342</v>
      </c>
      <c r="H504" s="61" t="s">
        <v>1422</v>
      </c>
      <c r="I504" s="61" t="s">
        <v>115</v>
      </c>
      <c r="J504" s="62" t="s">
        <v>1420</v>
      </c>
      <c r="K504" s="5" t="s">
        <v>10</v>
      </c>
      <c r="L504" s="5" t="s">
        <v>10</v>
      </c>
      <c r="M504" s="5" t="s">
        <v>10</v>
      </c>
      <c r="N504" s="5" t="s">
        <v>45</v>
      </c>
      <c r="O504" s="80" t="s">
        <v>56</v>
      </c>
      <c r="P504" s="99">
        <v>46154</v>
      </c>
      <c r="Q504" s="100">
        <f t="shared" si="55"/>
        <v>46519</v>
      </c>
      <c r="R504" s="63" t="s">
        <v>2343</v>
      </c>
      <c r="S504" s="63" t="s">
        <v>5409</v>
      </c>
      <c r="T504" s="7">
        <v>0.17</v>
      </c>
      <c r="U504" s="7" t="s">
        <v>10</v>
      </c>
      <c r="V504" s="7">
        <f t="shared" si="56"/>
        <v>0.17</v>
      </c>
      <c r="W504" s="5">
        <v>0.5</v>
      </c>
      <c r="X504" s="5" t="s">
        <v>55</v>
      </c>
      <c r="Y504" s="48" t="str">
        <f t="shared" si="57"/>
        <v>APROVADO</v>
      </c>
      <c r="Z504" s="7" t="s">
        <v>56</v>
      </c>
      <c r="AA504" s="5">
        <v>11604372</v>
      </c>
      <c r="AB504" s="5" t="s">
        <v>4152</v>
      </c>
      <c r="AC504" s="5" t="s">
        <v>48</v>
      </c>
      <c r="AD504" s="5" t="s">
        <v>5530</v>
      </c>
      <c r="AE504" s="5" t="str">
        <f t="shared" ca="1" si="54"/>
        <v>NO PRAZO</v>
      </c>
      <c r="AF504" s="51"/>
    </row>
    <row r="505" spans="1:32" ht="30" customHeight="1" x14ac:dyDescent="0.25">
      <c r="A505" s="9" t="s">
        <v>1428</v>
      </c>
      <c r="B505" s="5" t="s">
        <v>10</v>
      </c>
      <c r="C505" s="5" t="s">
        <v>5863</v>
      </c>
      <c r="D505" s="61" t="s">
        <v>348</v>
      </c>
      <c r="E505" s="7" t="s">
        <v>68</v>
      </c>
      <c r="F505" s="7" t="s">
        <v>86</v>
      </c>
      <c r="G505" s="61" t="s">
        <v>342</v>
      </c>
      <c r="H505" s="61" t="s">
        <v>1423</v>
      </c>
      <c r="I505" s="61" t="s">
        <v>115</v>
      </c>
      <c r="J505" s="62" t="s">
        <v>1420</v>
      </c>
      <c r="K505" s="5" t="s">
        <v>10</v>
      </c>
      <c r="L505" s="5" t="s">
        <v>10</v>
      </c>
      <c r="M505" s="5" t="s">
        <v>10</v>
      </c>
      <c r="N505" s="5" t="s">
        <v>45</v>
      </c>
      <c r="O505" s="80" t="s">
        <v>56</v>
      </c>
      <c r="P505" s="99">
        <v>46154</v>
      </c>
      <c r="Q505" s="100">
        <f t="shared" si="55"/>
        <v>46519</v>
      </c>
      <c r="R505" s="63" t="s">
        <v>2280</v>
      </c>
      <c r="S505" s="63" t="s">
        <v>5396</v>
      </c>
      <c r="T505" s="7">
        <v>0.151</v>
      </c>
      <c r="U505" s="7" t="s">
        <v>10</v>
      </c>
      <c r="V505" s="7">
        <f t="shared" si="56"/>
        <v>0.151</v>
      </c>
      <c r="W505" s="5">
        <v>0.5</v>
      </c>
      <c r="X505" s="5" t="s">
        <v>55</v>
      </c>
      <c r="Y505" s="48" t="str">
        <f t="shared" si="57"/>
        <v>APROVADO</v>
      </c>
      <c r="Z505" s="7" t="s">
        <v>56</v>
      </c>
      <c r="AA505" s="5">
        <v>11604373</v>
      </c>
      <c r="AB505" s="5" t="s">
        <v>4082</v>
      </c>
      <c r="AC505" s="5" t="s">
        <v>48</v>
      </c>
      <c r="AD505" s="5" t="s">
        <v>5530</v>
      </c>
      <c r="AE505" s="5" t="str">
        <f t="shared" ca="1" si="54"/>
        <v>NO PRAZO</v>
      </c>
      <c r="AF505" s="51"/>
    </row>
    <row r="506" spans="1:32" ht="30" customHeight="1" x14ac:dyDescent="0.25">
      <c r="A506" s="9" t="s">
        <v>3237</v>
      </c>
      <c r="B506" s="5" t="s">
        <v>10</v>
      </c>
      <c r="C506" s="5" t="s">
        <v>5863</v>
      </c>
      <c r="D506" s="61" t="s">
        <v>348</v>
      </c>
      <c r="E506" s="7" t="s">
        <v>68</v>
      </c>
      <c r="F506" s="7" t="s">
        <v>86</v>
      </c>
      <c r="G506" s="61" t="s">
        <v>342</v>
      </c>
      <c r="H506" s="61" t="s">
        <v>1422</v>
      </c>
      <c r="I506" s="61" t="s">
        <v>349</v>
      </c>
      <c r="J506" s="62" t="s">
        <v>1420</v>
      </c>
      <c r="K506" s="5" t="s">
        <v>10</v>
      </c>
      <c r="L506" s="5" t="s">
        <v>10</v>
      </c>
      <c r="M506" s="5" t="s">
        <v>10</v>
      </c>
      <c r="N506" s="5" t="s">
        <v>45</v>
      </c>
      <c r="O506" s="80" t="s">
        <v>56</v>
      </c>
      <c r="P506" s="99">
        <v>46154</v>
      </c>
      <c r="Q506" s="100">
        <f t="shared" si="55"/>
        <v>46519</v>
      </c>
      <c r="R506" s="63" t="s">
        <v>2698</v>
      </c>
      <c r="S506" s="63" t="s">
        <v>5410</v>
      </c>
      <c r="T506" s="7">
        <v>0.151</v>
      </c>
      <c r="U506" s="7" t="s">
        <v>10</v>
      </c>
      <c r="V506" s="7">
        <f t="shared" si="56"/>
        <v>0.151</v>
      </c>
      <c r="W506" s="5">
        <v>0.5</v>
      </c>
      <c r="X506" s="5" t="s">
        <v>55</v>
      </c>
      <c r="Y506" s="48" t="str">
        <f t="shared" si="57"/>
        <v>APROVADO</v>
      </c>
      <c r="Z506" s="7" t="s">
        <v>56</v>
      </c>
      <c r="AA506" s="5">
        <v>11606702</v>
      </c>
      <c r="AB506" s="5" t="s">
        <v>4153</v>
      </c>
      <c r="AC506" s="5" t="s">
        <v>48</v>
      </c>
      <c r="AD506" s="5" t="s">
        <v>5530</v>
      </c>
      <c r="AE506" s="5" t="str">
        <f t="shared" ca="1" si="54"/>
        <v>NO PRAZO</v>
      </c>
      <c r="AF506" s="51"/>
    </row>
    <row r="507" spans="1:32" ht="30" customHeight="1" x14ac:dyDescent="0.25">
      <c r="A507" s="9" t="s">
        <v>3218</v>
      </c>
      <c r="B507" s="5" t="s">
        <v>10</v>
      </c>
      <c r="C507" s="5" t="s">
        <v>5863</v>
      </c>
      <c r="D507" s="61" t="s">
        <v>348</v>
      </c>
      <c r="E507" s="7" t="s">
        <v>68</v>
      </c>
      <c r="F507" s="7" t="s">
        <v>86</v>
      </c>
      <c r="G507" s="61" t="s">
        <v>342</v>
      </c>
      <c r="H507" s="61" t="s">
        <v>1423</v>
      </c>
      <c r="I507" s="61" t="s">
        <v>115</v>
      </c>
      <c r="J507" s="62" t="s">
        <v>1420</v>
      </c>
      <c r="K507" s="5" t="s">
        <v>10</v>
      </c>
      <c r="L507" s="5" t="s">
        <v>10</v>
      </c>
      <c r="M507" s="5" t="s">
        <v>10</v>
      </c>
      <c r="N507" s="5" t="s">
        <v>45</v>
      </c>
      <c r="O507" s="80" t="s">
        <v>56</v>
      </c>
      <c r="P507" s="99">
        <v>46154</v>
      </c>
      <c r="Q507" s="100">
        <f t="shared" si="55"/>
        <v>46519</v>
      </c>
      <c r="R507" s="63" t="s">
        <v>2283</v>
      </c>
      <c r="S507" s="63" t="s">
        <v>5397</v>
      </c>
      <c r="T507" s="7">
        <v>0.151</v>
      </c>
      <c r="U507" s="7" t="s">
        <v>10</v>
      </c>
      <c r="V507" s="7">
        <f t="shared" si="56"/>
        <v>0.151</v>
      </c>
      <c r="W507" s="5">
        <v>0.5</v>
      </c>
      <c r="X507" s="5" t="s">
        <v>55</v>
      </c>
      <c r="Y507" s="48" t="str">
        <f t="shared" si="57"/>
        <v>APROVADO</v>
      </c>
      <c r="Z507" s="7" t="s">
        <v>56</v>
      </c>
      <c r="AA507" s="5">
        <v>11604374</v>
      </c>
      <c r="AB507" s="5" t="s">
        <v>4083</v>
      </c>
      <c r="AC507" s="5" t="s">
        <v>48</v>
      </c>
      <c r="AD507" s="5" t="s">
        <v>5530</v>
      </c>
      <c r="AE507" s="5" t="str">
        <f t="shared" ca="1" si="54"/>
        <v>NO PRAZO</v>
      </c>
      <c r="AF507" s="51"/>
    </row>
    <row r="508" spans="1:32" ht="30" customHeight="1" x14ac:dyDescent="0.25">
      <c r="A508" s="9" t="s">
        <v>3219</v>
      </c>
      <c r="B508" s="5" t="s">
        <v>10</v>
      </c>
      <c r="C508" s="5" t="s">
        <v>5863</v>
      </c>
      <c r="D508" s="61" t="s">
        <v>348</v>
      </c>
      <c r="E508" s="7" t="s">
        <v>68</v>
      </c>
      <c r="F508" s="7" t="s">
        <v>86</v>
      </c>
      <c r="G508" s="61" t="s">
        <v>342</v>
      </c>
      <c r="H508" s="61" t="s">
        <v>10</v>
      </c>
      <c r="I508" s="61" t="s">
        <v>115</v>
      </c>
      <c r="J508" s="62" t="s">
        <v>1420</v>
      </c>
      <c r="K508" s="5" t="s">
        <v>10</v>
      </c>
      <c r="L508" s="5" t="s">
        <v>10</v>
      </c>
      <c r="M508" s="5" t="s">
        <v>10</v>
      </c>
      <c r="N508" s="5" t="s">
        <v>45</v>
      </c>
      <c r="O508" s="80" t="s">
        <v>56</v>
      </c>
      <c r="P508" s="99">
        <v>46154</v>
      </c>
      <c r="Q508" s="100">
        <f t="shared" si="55"/>
        <v>46519</v>
      </c>
      <c r="R508" s="63" t="s">
        <v>2356</v>
      </c>
      <c r="S508" s="63" t="s">
        <v>5398</v>
      </c>
      <c r="T508" s="7">
        <v>0.17</v>
      </c>
      <c r="U508" s="7" t="s">
        <v>10</v>
      </c>
      <c r="V508" s="7">
        <f t="shared" si="56"/>
        <v>0.17</v>
      </c>
      <c r="W508" s="5">
        <v>0.5</v>
      </c>
      <c r="X508" s="5" t="s">
        <v>55</v>
      </c>
      <c r="Y508" s="48" t="str">
        <f t="shared" si="57"/>
        <v>APROVADO</v>
      </c>
      <c r="Z508" s="7" t="s">
        <v>56</v>
      </c>
      <c r="AA508" s="5">
        <v>11606635</v>
      </c>
      <c r="AB508" s="5" t="s">
        <v>4084</v>
      </c>
      <c r="AC508" s="5" t="s">
        <v>48</v>
      </c>
      <c r="AD508" s="5" t="s">
        <v>5530</v>
      </c>
      <c r="AE508" s="5" t="str">
        <f t="shared" ca="1" si="54"/>
        <v>NO PRAZO</v>
      </c>
      <c r="AF508" s="51"/>
    </row>
    <row r="509" spans="1:32" ht="30" customHeight="1" x14ac:dyDescent="0.25">
      <c r="A509" s="9" t="s">
        <v>3220</v>
      </c>
      <c r="B509" s="5" t="s">
        <v>10</v>
      </c>
      <c r="C509" s="5" t="s">
        <v>5863</v>
      </c>
      <c r="D509" s="61" t="s">
        <v>348</v>
      </c>
      <c r="E509" s="7" t="s">
        <v>68</v>
      </c>
      <c r="F509" s="7" t="s">
        <v>86</v>
      </c>
      <c r="G509" s="61" t="s">
        <v>342</v>
      </c>
      <c r="H509" s="61" t="s">
        <v>10</v>
      </c>
      <c r="I509" s="61" t="s">
        <v>453</v>
      </c>
      <c r="J509" s="62" t="s">
        <v>344</v>
      </c>
      <c r="K509" s="5" t="s">
        <v>10</v>
      </c>
      <c r="L509" s="5" t="s">
        <v>10</v>
      </c>
      <c r="M509" s="5" t="s">
        <v>10</v>
      </c>
      <c r="N509" s="5" t="s">
        <v>45</v>
      </c>
      <c r="O509" s="80" t="s">
        <v>56</v>
      </c>
      <c r="P509" s="99">
        <v>46154</v>
      </c>
      <c r="Q509" s="100">
        <f t="shared" si="55"/>
        <v>46519</v>
      </c>
      <c r="R509" s="63" t="s">
        <v>2284</v>
      </c>
      <c r="S509" s="63" t="s">
        <v>5399</v>
      </c>
      <c r="T509" s="7">
        <v>0.151</v>
      </c>
      <c r="U509" s="7" t="s">
        <v>10</v>
      </c>
      <c r="V509" s="7">
        <f t="shared" si="56"/>
        <v>0.151</v>
      </c>
      <c r="W509" s="5">
        <v>0.5</v>
      </c>
      <c r="X509" s="5" t="s">
        <v>55</v>
      </c>
      <c r="Y509" s="48" t="str">
        <f t="shared" si="57"/>
        <v>APROVADO</v>
      </c>
      <c r="Z509" s="7" t="s">
        <v>56</v>
      </c>
      <c r="AA509" s="5">
        <v>11606636</v>
      </c>
      <c r="AB509" s="5" t="s">
        <v>4085</v>
      </c>
      <c r="AC509" s="5" t="s">
        <v>48</v>
      </c>
      <c r="AD509" s="5" t="s">
        <v>5530</v>
      </c>
      <c r="AE509" s="5" t="str">
        <f t="shared" ca="1" si="54"/>
        <v>NO PRAZO</v>
      </c>
      <c r="AF509" s="51"/>
    </row>
    <row r="510" spans="1:32" ht="30" customHeight="1" x14ac:dyDescent="0.25">
      <c r="A510" s="9" t="s">
        <v>3221</v>
      </c>
      <c r="B510" s="5" t="s">
        <v>10</v>
      </c>
      <c r="C510" s="5" t="s">
        <v>5863</v>
      </c>
      <c r="D510" s="61" t="s">
        <v>348</v>
      </c>
      <c r="E510" s="7" t="s">
        <v>68</v>
      </c>
      <c r="F510" s="7" t="s">
        <v>86</v>
      </c>
      <c r="G510" s="61" t="s">
        <v>342</v>
      </c>
      <c r="H510" s="61" t="s">
        <v>10</v>
      </c>
      <c r="I510" s="61" t="s">
        <v>453</v>
      </c>
      <c r="J510" s="62" t="s">
        <v>1429</v>
      </c>
      <c r="K510" s="5" t="s">
        <v>10</v>
      </c>
      <c r="L510" s="5" t="s">
        <v>10</v>
      </c>
      <c r="M510" s="5" t="s">
        <v>10</v>
      </c>
      <c r="N510" s="5" t="s">
        <v>45</v>
      </c>
      <c r="O510" s="80" t="s">
        <v>56</v>
      </c>
      <c r="P510" s="99">
        <v>46154</v>
      </c>
      <c r="Q510" s="100">
        <f t="shared" si="55"/>
        <v>46519</v>
      </c>
      <c r="R510" s="63" t="s">
        <v>2285</v>
      </c>
      <c r="S510" s="63" t="s">
        <v>5400</v>
      </c>
      <c r="T510" s="7">
        <v>0.22</v>
      </c>
      <c r="U510" s="7" t="s">
        <v>10</v>
      </c>
      <c r="V510" s="7">
        <f t="shared" si="56"/>
        <v>0.22</v>
      </c>
      <c r="W510" s="5">
        <v>0.5</v>
      </c>
      <c r="X510" s="5" t="s">
        <v>55</v>
      </c>
      <c r="Y510" s="48" t="str">
        <f t="shared" si="57"/>
        <v>APROVADO</v>
      </c>
      <c r="Z510" s="7" t="s">
        <v>56</v>
      </c>
      <c r="AA510" s="5">
        <v>11606637</v>
      </c>
      <c r="AB510" s="5" t="s">
        <v>4086</v>
      </c>
      <c r="AC510" s="5" t="s">
        <v>48</v>
      </c>
      <c r="AD510" s="5" t="s">
        <v>5530</v>
      </c>
      <c r="AE510" s="5" t="str">
        <f t="shared" ca="1" si="54"/>
        <v>NO PRAZO</v>
      </c>
      <c r="AF510" s="51"/>
    </row>
    <row r="511" spans="1:32" ht="30" customHeight="1" x14ac:dyDescent="0.25">
      <c r="A511" s="9" t="s">
        <v>1430</v>
      </c>
      <c r="B511" s="5" t="s">
        <v>10</v>
      </c>
      <c r="C511" s="5" t="s">
        <v>5863</v>
      </c>
      <c r="D511" s="61" t="s">
        <v>348</v>
      </c>
      <c r="E511" s="7" t="s">
        <v>68</v>
      </c>
      <c r="F511" s="7" t="s">
        <v>86</v>
      </c>
      <c r="G511" s="61" t="s">
        <v>342</v>
      </c>
      <c r="H511" s="61" t="s">
        <v>1422</v>
      </c>
      <c r="I511" s="61" t="s">
        <v>115</v>
      </c>
      <c r="J511" s="62" t="s">
        <v>1420</v>
      </c>
      <c r="K511" s="5" t="s">
        <v>10</v>
      </c>
      <c r="L511" s="5" t="s">
        <v>10</v>
      </c>
      <c r="M511" s="5" t="s">
        <v>10</v>
      </c>
      <c r="N511" s="5" t="s">
        <v>45</v>
      </c>
      <c r="O511" s="80" t="s">
        <v>56</v>
      </c>
      <c r="P511" s="99">
        <v>46154</v>
      </c>
      <c r="Q511" s="100">
        <f t="shared" si="55"/>
        <v>46519</v>
      </c>
      <c r="R511" s="63" t="s">
        <v>2286</v>
      </c>
      <c r="S511" s="63" t="s">
        <v>5401</v>
      </c>
      <c r="T511" s="7">
        <v>0.17</v>
      </c>
      <c r="U511" s="7" t="s">
        <v>10</v>
      </c>
      <c r="V511" s="7">
        <f t="shared" si="56"/>
        <v>0.17</v>
      </c>
      <c r="W511" s="5">
        <v>0.5</v>
      </c>
      <c r="X511" s="5" t="s">
        <v>55</v>
      </c>
      <c r="Y511" s="48" t="str">
        <f t="shared" si="57"/>
        <v>APROVADO</v>
      </c>
      <c r="Z511" s="7" t="s">
        <v>56</v>
      </c>
      <c r="AA511" s="5">
        <v>11604375</v>
      </c>
      <c r="AB511" s="5" t="s">
        <v>4087</v>
      </c>
      <c r="AC511" s="5" t="s">
        <v>48</v>
      </c>
      <c r="AD511" s="5" t="s">
        <v>5530</v>
      </c>
      <c r="AE511" s="5" t="str">
        <f t="shared" ca="1" si="54"/>
        <v>NO PRAZO</v>
      </c>
      <c r="AF511" s="51"/>
    </row>
    <row r="512" spans="1:32" ht="30" customHeight="1" x14ac:dyDescent="0.25">
      <c r="A512" s="5" t="s">
        <v>3227</v>
      </c>
      <c r="B512" s="5"/>
      <c r="C512" s="5" t="s">
        <v>5862</v>
      </c>
      <c r="D512" s="7" t="s">
        <v>348</v>
      </c>
      <c r="E512" s="7" t="s">
        <v>68</v>
      </c>
      <c r="F512" s="7" t="s">
        <v>86</v>
      </c>
      <c r="G512" s="7" t="s">
        <v>342</v>
      </c>
      <c r="H512" s="7" t="s">
        <v>343</v>
      </c>
      <c r="I512" s="7" t="s">
        <v>349</v>
      </c>
      <c r="J512" s="7" t="s">
        <v>345</v>
      </c>
      <c r="K512" s="5" t="s">
        <v>45</v>
      </c>
      <c r="L512" s="5" t="s">
        <v>10</v>
      </c>
      <c r="M512" s="5" t="s">
        <v>10</v>
      </c>
      <c r="N512" s="5" t="s">
        <v>10</v>
      </c>
      <c r="O512" s="80" t="s">
        <v>46</v>
      </c>
      <c r="P512" s="101">
        <v>46154</v>
      </c>
      <c r="Q512" s="100">
        <f t="shared" si="55"/>
        <v>46519</v>
      </c>
      <c r="R512" s="5" t="s">
        <v>2314</v>
      </c>
      <c r="S512" s="5" t="s">
        <v>5402</v>
      </c>
      <c r="T512" s="7">
        <v>0.151</v>
      </c>
      <c r="U512" s="7" t="s">
        <v>10</v>
      </c>
      <c r="V512" s="7">
        <f t="shared" si="56"/>
        <v>0.151</v>
      </c>
      <c r="W512" s="5">
        <v>0.5</v>
      </c>
      <c r="X512" s="5" t="s">
        <v>55</v>
      </c>
      <c r="Y512" s="48" t="str">
        <f t="shared" si="57"/>
        <v>APROVADO</v>
      </c>
      <c r="Z512" s="7" t="s">
        <v>56</v>
      </c>
      <c r="AA512" s="5">
        <v>11606656</v>
      </c>
      <c r="AB512" s="5" t="s">
        <v>4107</v>
      </c>
      <c r="AC512" s="5" t="s">
        <v>48</v>
      </c>
      <c r="AD512" s="5" t="s">
        <v>5530</v>
      </c>
      <c r="AE512" s="5" t="str">
        <f t="shared" ca="1" si="54"/>
        <v>NO PRAZO</v>
      </c>
      <c r="AF512" s="51"/>
    </row>
    <row r="513" spans="1:32" ht="30" customHeight="1" x14ac:dyDescent="0.25">
      <c r="A513" s="5" t="s">
        <v>347</v>
      </c>
      <c r="B513" s="5" t="s">
        <v>10</v>
      </c>
      <c r="C513" s="5" t="s">
        <v>5862</v>
      </c>
      <c r="D513" s="7" t="s">
        <v>348</v>
      </c>
      <c r="E513" s="7" t="s">
        <v>68</v>
      </c>
      <c r="F513" s="7" t="s">
        <v>86</v>
      </c>
      <c r="G513" s="7" t="s">
        <v>342</v>
      </c>
      <c r="H513" s="7" t="s">
        <v>343</v>
      </c>
      <c r="I513" s="7" t="s">
        <v>349</v>
      </c>
      <c r="J513" s="7" t="s">
        <v>345</v>
      </c>
      <c r="K513" s="5" t="s">
        <v>45</v>
      </c>
      <c r="L513" s="5" t="s">
        <v>10</v>
      </c>
      <c r="M513" s="5" t="s">
        <v>10</v>
      </c>
      <c r="N513" s="5" t="s">
        <v>10</v>
      </c>
      <c r="O513" s="80" t="s">
        <v>46</v>
      </c>
      <c r="P513" s="101">
        <v>46154</v>
      </c>
      <c r="Q513" s="100">
        <f t="shared" si="55"/>
        <v>46519</v>
      </c>
      <c r="R513" s="5" t="s">
        <v>2313</v>
      </c>
      <c r="S513" s="5" t="s">
        <v>5403</v>
      </c>
      <c r="T513" s="7">
        <v>0.17</v>
      </c>
      <c r="U513" s="7" t="s">
        <v>10</v>
      </c>
      <c r="V513" s="7">
        <f t="shared" si="56"/>
        <v>0.17</v>
      </c>
      <c r="W513" s="5">
        <v>0.5</v>
      </c>
      <c r="X513" s="5" t="s">
        <v>55</v>
      </c>
      <c r="Y513" s="48" t="str">
        <f t="shared" si="57"/>
        <v>APROVADO</v>
      </c>
      <c r="Z513" s="7" t="s">
        <v>56</v>
      </c>
      <c r="AA513" s="5">
        <v>11606655</v>
      </c>
      <c r="AB513" s="5" t="s">
        <v>4106</v>
      </c>
      <c r="AC513" s="5" t="s">
        <v>48</v>
      </c>
      <c r="AD513" s="5" t="s">
        <v>5530</v>
      </c>
      <c r="AE513" s="5" t="str">
        <f t="shared" ca="1" si="54"/>
        <v>NO PRAZO</v>
      </c>
      <c r="AF513" s="51"/>
    </row>
    <row r="514" spans="1:32" ht="30" customHeight="1" x14ac:dyDescent="0.25">
      <c r="A514" s="5" t="s">
        <v>351</v>
      </c>
      <c r="B514" s="5" t="s">
        <v>10</v>
      </c>
      <c r="C514" s="5" t="s">
        <v>5862</v>
      </c>
      <c r="D514" s="7" t="s">
        <v>348</v>
      </c>
      <c r="E514" s="7" t="s">
        <v>68</v>
      </c>
      <c r="F514" s="7" t="s">
        <v>86</v>
      </c>
      <c r="G514" s="7" t="s">
        <v>342</v>
      </c>
      <c r="H514" s="7" t="s">
        <v>343</v>
      </c>
      <c r="I514" s="7" t="s">
        <v>349</v>
      </c>
      <c r="J514" s="7" t="s">
        <v>345</v>
      </c>
      <c r="K514" s="5" t="s">
        <v>45</v>
      </c>
      <c r="L514" s="5" t="s">
        <v>10</v>
      </c>
      <c r="M514" s="5" t="s">
        <v>10</v>
      </c>
      <c r="N514" s="5" t="s">
        <v>10</v>
      </c>
      <c r="O514" s="80" t="s">
        <v>46</v>
      </c>
      <c r="P514" s="101">
        <v>46154</v>
      </c>
      <c r="Q514" s="100">
        <f t="shared" si="55"/>
        <v>46519</v>
      </c>
      <c r="R514" s="5" t="s">
        <v>2316</v>
      </c>
      <c r="S514" s="5" t="s">
        <v>5404</v>
      </c>
      <c r="T514" s="7">
        <v>0.151</v>
      </c>
      <c r="U514" s="7" t="s">
        <v>10</v>
      </c>
      <c r="V514" s="7">
        <f t="shared" si="56"/>
        <v>0.151</v>
      </c>
      <c r="W514" s="5">
        <v>0.5</v>
      </c>
      <c r="X514" s="5" t="s">
        <v>55</v>
      </c>
      <c r="Y514" s="48" t="str">
        <f t="shared" si="57"/>
        <v>APROVADO</v>
      </c>
      <c r="Z514" s="7" t="s">
        <v>56</v>
      </c>
      <c r="AA514" s="5">
        <v>11606658</v>
      </c>
      <c r="AB514" s="5" t="s">
        <v>4109</v>
      </c>
      <c r="AC514" s="5" t="s">
        <v>48</v>
      </c>
      <c r="AD514" s="5" t="s">
        <v>5530</v>
      </c>
      <c r="AE514" s="5" t="str">
        <f t="shared" ca="1" si="54"/>
        <v>NO PRAZO</v>
      </c>
      <c r="AF514" s="51"/>
    </row>
    <row r="515" spans="1:32" ht="30" customHeight="1" x14ac:dyDescent="0.25">
      <c r="A515" s="5" t="s">
        <v>350</v>
      </c>
      <c r="B515" s="5" t="s">
        <v>10</v>
      </c>
      <c r="C515" s="5" t="s">
        <v>5862</v>
      </c>
      <c r="D515" s="7" t="s">
        <v>348</v>
      </c>
      <c r="E515" s="7" t="s">
        <v>68</v>
      </c>
      <c r="F515" s="7" t="s">
        <v>86</v>
      </c>
      <c r="G515" s="7" t="s">
        <v>342</v>
      </c>
      <c r="H515" s="7" t="s">
        <v>343</v>
      </c>
      <c r="I515" s="7" t="s">
        <v>349</v>
      </c>
      <c r="J515" s="7" t="s">
        <v>345</v>
      </c>
      <c r="K515" s="5" t="s">
        <v>45</v>
      </c>
      <c r="L515" s="5" t="s">
        <v>10</v>
      </c>
      <c r="M515" s="5" t="s">
        <v>10</v>
      </c>
      <c r="N515" s="5" t="s">
        <v>10</v>
      </c>
      <c r="O515" s="80" t="s">
        <v>46</v>
      </c>
      <c r="P515" s="101">
        <v>46154</v>
      </c>
      <c r="Q515" s="100">
        <f t="shared" si="55"/>
        <v>46519</v>
      </c>
      <c r="R515" s="5" t="s">
        <v>2315</v>
      </c>
      <c r="S515" s="5" t="s">
        <v>5405</v>
      </c>
      <c r="T515" s="7">
        <v>0.17</v>
      </c>
      <c r="U515" s="7" t="s">
        <v>10</v>
      </c>
      <c r="V515" s="7">
        <f t="shared" si="56"/>
        <v>0.17</v>
      </c>
      <c r="W515" s="5">
        <v>0.5</v>
      </c>
      <c r="X515" s="5" t="s">
        <v>55</v>
      </c>
      <c r="Y515" s="48" t="str">
        <f t="shared" si="57"/>
        <v>APROVADO</v>
      </c>
      <c r="Z515" s="7" t="s">
        <v>56</v>
      </c>
      <c r="AA515" s="5">
        <v>11606657</v>
      </c>
      <c r="AB515" s="5" t="s">
        <v>4108</v>
      </c>
      <c r="AC515" s="5" t="s">
        <v>48</v>
      </c>
      <c r="AD515" s="5" t="s">
        <v>5530</v>
      </c>
      <c r="AE515" s="5" t="str">
        <f t="shared" ca="1" si="54"/>
        <v>NO PRAZO</v>
      </c>
      <c r="AF515" s="51"/>
    </row>
    <row r="516" spans="1:32" ht="30" customHeight="1" x14ac:dyDescent="0.25">
      <c r="A516" s="9" t="s">
        <v>3222</v>
      </c>
      <c r="B516" s="5" t="s">
        <v>10</v>
      </c>
      <c r="C516" s="5" t="s">
        <v>5863</v>
      </c>
      <c r="D516" s="61" t="s">
        <v>348</v>
      </c>
      <c r="E516" s="7" t="s">
        <v>68</v>
      </c>
      <c r="F516" s="7" t="s">
        <v>86</v>
      </c>
      <c r="G516" s="61" t="s">
        <v>342</v>
      </c>
      <c r="H516" s="61" t="s">
        <v>10</v>
      </c>
      <c r="I516" s="61" t="s">
        <v>115</v>
      </c>
      <c r="J516" s="62" t="s">
        <v>1420</v>
      </c>
      <c r="K516" s="5" t="s">
        <v>10</v>
      </c>
      <c r="L516" s="5" t="s">
        <v>10</v>
      </c>
      <c r="M516" s="5" t="s">
        <v>10</v>
      </c>
      <c r="N516" s="5" t="s">
        <v>45</v>
      </c>
      <c r="O516" s="80" t="s">
        <v>56</v>
      </c>
      <c r="P516" s="99">
        <v>46154</v>
      </c>
      <c r="Q516" s="100">
        <f t="shared" si="55"/>
        <v>46519</v>
      </c>
      <c r="R516" s="63" t="s">
        <v>2287</v>
      </c>
      <c r="S516" s="63" t="s">
        <v>5406</v>
      </c>
      <c r="T516" s="7">
        <v>0.151</v>
      </c>
      <c r="U516" s="7" t="s">
        <v>10</v>
      </c>
      <c r="V516" s="7">
        <f t="shared" si="56"/>
        <v>0.151</v>
      </c>
      <c r="W516" s="5">
        <v>0.5</v>
      </c>
      <c r="X516" s="5" t="s">
        <v>55</v>
      </c>
      <c r="Y516" s="48" t="str">
        <f t="shared" si="57"/>
        <v>APROVADO</v>
      </c>
      <c r="Z516" s="7" t="s">
        <v>56</v>
      </c>
      <c r="AA516" s="5">
        <v>11606638</v>
      </c>
      <c r="AB516" s="5" t="s">
        <v>4088</v>
      </c>
      <c r="AC516" s="5" t="s">
        <v>48</v>
      </c>
      <c r="AD516" s="5" t="s">
        <v>5530</v>
      </c>
      <c r="AE516" s="5" t="str">
        <f t="shared" ca="1" si="54"/>
        <v>NO PRAZO</v>
      </c>
      <c r="AF516" s="51"/>
    </row>
    <row r="517" spans="1:32" ht="30" customHeight="1" x14ac:dyDescent="0.25">
      <c r="A517" s="9" t="s">
        <v>3223</v>
      </c>
      <c r="B517" s="5" t="s">
        <v>10</v>
      </c>
      <c r="C517" s="5" t="s">
        <v>5863</v>
      </c>
      <c r="D517" s="61" t="s">
        <v>348</v>
      </c>
      <c r="E517" s="7" t="s">
        <v>68</v>
      </c>
      <c r="F517" s="7" t="s">
        <v>86</v>
      </c>
      <c r="G517" s="61" t="s">
        <v>342</v>
      </c>
      <c r="H517" s="61" t="s">
        <v>10</v>
      </c>
      <c r="I517" s="61" t="s">
        <v>115</v>
      </c>
      <c r="J517" s="136" t="s">
        <v>1420</v>
      </c>
      <c r="K517" s="5" t="s">
        <v>10</v>
      </c>
      <c r="L517" s="5" t="s">
        <v>10</v>
      </c>
      <c r="M517" s="5" t="s">
        <v>10</v>
      </c>
      <c r="N517" s="5" t="s">
        <v>45</v>
      </c>
      <c r="O517" s="80" t="s">
        <v>56</v>
      </c>
      <c r="P517" s="99">
        <v>46154</v>
      </c>
      <c r="Q517" s="100">
        <f t="shared" si="55"/>
        <v>46519</v>
      </c>
      <c r="R517" s="63" t="s">
        <v>2288</v>
      </c>
      <c r="S517" s="63" t="s">
        <v>5554</v>
      </c>
      <c r="T517" s="7">
        <v>0.17</v>
      </c>
      <c r="U517" s="7" t="s">
        <v>10</v>
      </c>
      <c r="V517" s="7">
        <f t="shared" si="56"/>
        <v>0.17</v>
      </c>
      <c r="W517" s="5">
        <v>0.5</v>
      </c>
      <c r="X517" s="5" t="s">
        <v>55</v>
      </c>
      <c r="Y517" s="48" t="str">
        <f t="shared" si="57"/>
        <v>APROVADO</v>
      </c>
      <c r="Z517" s="7" t="s">
        <v>56</v>
      </c>
      <c r="AA517" s="5">
        <v>11606639</v>
      </c>
      <c r="AB517" s="5" t="s">
        <v>4089</v>
      </c>
      <c r="AC517" s="5" t="s">
        <v>48</v>
      </c>
      <c r="AD517" s="5" t="s">
        <v>5530</v>
      </c>
      <c r="AE517" s="5" t="str">
        <f t="shared" ca="1" si="54"/>
        <v>NO PRAZO</v>
      </c>
      <c r="AF517" s="51"/>
    </row>
    <row r="518" spans="1:32" ht="30" customHeight="1" x14ac:dyDescent="0.25">
      <c r="A518" s="9" t="s">
        <v>3224</v>
      </c>
      <c r="B518" s="5" t="s">
        <v>10</v>
      </c>
      <c r="C518" s="5" t="s">
        <v>5863</v>
      </c>
      <c r="D518" s="61" t="s">
        <v>348</v>
      </c>
      <c r="E518" s="7" t="s">
        <v>68</v>
      </c>
      <c r="F518" s="7" t="s">
        <v>86</v>
      </c>
      <c r="G518" s="61" t="s">
        <v>342</v>
      </c>
      <c r="H518" s="61" t="s">
        <v>10</v>
      </c>
      <c r="I518" s="61" t="s">
        <v>453</v>
      </c>
      <c r="J518" s="62" t="s">
        <v>1420</v>
      </c>
      <c r="K518" s="5" t="s">
        <v>10</v>
      </c>
      <c r="L518" s="5" t="s">
        <v>10</v>
      </c>
      <c r="M518" s="5" t="s">
        <v>10</v>
      </c>
      <c r="N518" s="5" t="s">
        <v>45</v>
      </c>
      <c r="O518" s="80" t="s">
        <v>56</v>
      </c>
      <c r="P518" s="99">
        <v>46154</v>
      </c>
      <c r="Q518" s="100">
        <f t="shared" si="55"/>
        <v>46519</v>
      </c>
      <c r="R518" s="63" t="s">
        <v>2289</v>
      </c>
      <c r="S518" s="63" t="s">
        <v>5407</v>
      </c>
      <c r="T518" s="7">
        <v>0.22</v>
      </c>
      <c r="U518" s="7" t="s">
        <v>10</v>
      </c>
      <c r="V518" s="7">
        <f t="shared" si="56"/>
        <v>0.22</v>
      </c>
      <c r="W518" s="5">
        <v>0.5</v>
      </c>
      <c r="X518" s="5" t="s">
        <v>55</v>
      </c>
      <c r="Y518" s="48" t="str">
        <f t="shared" si="57"/>
        <v>APROVADO</v>
      </c>
      <c r="Z518" s="7" t="s">
        <v>56</v>
      </c>
      <c r="AA518" s="5">
        <v>11606640</v>
      </c>
      <c r="AB518" s="5" t="s">
        <v>4090</v>
      </c>
      <c r="AC518" s="5" t="s">
        <v>48</v>
      </c>
      <c r="AD518" s="5" t="s">
        <v>5530</v>
      </c>
      <c r="AE518" s="5" t="str">
        <f t="shared" ca="1" si="54"/>
        <v>NO PRAZO</v>
      </c>
      <c r="AF518" s="51"/>
    </row>
    <row r="519" spans="1:32" ht="30" customHeight="1" x14ac:dyDescent="0.25">
      <c r="A519" s="9" t="s">
        <v>3770</v>
      </c>
      <c r="B519" s="9" t="s">
        <v>3232</v>
      </c>
      <c r="C519" s="5" t="s">
        <v>5863</v>
      </c>
      <c r="D519" s="61" t="s">
        <v>151</v>
      </c>
      <c r="E519" s="7" t="s">
        <v>640</v>
      </c>
      <c r="F519" s="7" t="s">
        <v>643</v>
      </c>
      <c r="G519" s="61" t="s">
        <v>151</v>
      </c>
      <c r="H519" s="61" t="s">
        <v>10</v>
      </c>
      <c r="I519" s="61" t="s">
        <v>729</v>
      </c>
      <c r="J519" s="62" t="s">
        <v>739</v>
      </c>
      <c r="K519" s="5" t="s">
        <v>10</v>
      </c>
      <c r="L519" s="5" t="s">
        <v>10</v>
      </c>
      <c r="M519" s="5" t="s">
        <v>10</v>
      </c>
      <c r="N519" s="5" t="s">
        <v>45</v>
      </c>
      <c r="O519" s="80" t="s">
        <v>56</v>
      </c>
      <c r="P519" s="99">
        <v>45966</v>
      </c>
      <c r="Q519" s="100">
        <f t="shared" si="55"/>
        <v>46331</v>
      </c>
      <c r="R519" s="82" t="s">
        <v>1802</v>
      </c>
      <c r="S519" s="82" t="s">
        <v>3767</v>
      </c>
      <c r="T519" s="7">
        <v>0.36</v>
      </c>
      <c r="U519" s="7" t="s">
        <v>10</v>
      </c>
      <c r="V519" s="7">
        <f t="shared" si="56"/>
        <v>0.36</v>
      </c>
      <c r="W519" s="5">
        <v>0.5</v>
      </c>
      <c r="X519" s="5" t="s">
        <v>55</v>
      </c>
      <c r="Y519" s="48" t="str">
        <f t="shared" si="57"/>
        <v>APROVADO</v>
      </c>
      <c r="Z519" s="7" t="s">
        <v>56</v>
      </c>
      <c r="AA519" s="5">
        <v>11595816</v>
      </c>
      <c r="AB519" s="5" t="s">
        <v>3808</v>
      </c>
      <c r="AC519" s="5" t="s">
        <v>48</v>
      </c>
      <c r="AD519" s="5" t="s">
        <v>5530</v>
      </c>
      <c r="AE519" s="5" t="str">
        <f t="shared" ca="1" si="54"/>
        <v>NO PRAZO</v>
      </c>
      <c r="AF519" s="51"/>
    </row>
    <row r="520" spans="1:32" ht="30" customHeight="1" x14ac:dyDescent="0.25">
      <c r="A520" s="9" t="s">
        <v>3769</v>
      </c>
      <c r="B520" s="11" t="s">
        <v>728</v>
      </c>
      <c r="C520" s="5" t="s">
        <v>5863</v>
      </c>
      <c r="D520" s="61" t="s">
        <v>151</v>
      </c>
      <c r="E520" s="7" t="s">
        <v>640</v>
      </c>
      <c r="F520" s="7" t="s">
        <v>643</v>
      </c>
      <c r="G520" s="61" t="s">
        <v>151</v>
      </c>
      <c r="H520" s="61" t="s">
        <v>10</v>
      </c>
      <c r="I520" s="61" t="s">
        <v>729</v>
      </c>
      <c r="J520" s="62" t="s">
        <v>730</v>
      </c>
      <c r="K520" s="5" t="s">
        <v>10</v>
      </c>
      <c r="L520" s="5" t="s">
        <v>10</v>
      </c>
      <c r="M520" s="5" t="s">
        <v>10</v>
      </c>
      <c r="N520" s="5" t="s">
        <v>45</v>
      </c>
      <c r="O520" s="80" t="s">
        <v>56</v>
      </c>
      <c r="P520" s="99">
        <v>45967</v>
      </c>
      <c r="Q520" s="100">
        <f t="shared" si="55"/>
        <v>46332</v>
      </c>
      <c r="R520" s="5" t="s">
        <v>1801</v>
      </c>
      <c r="S520" s="5" t="s">
        <v>3765</v>
      </c>
      <c r="T520" s="7">
        <v>0.47</v>
      </c>
      <c r="U520" s="7" t="s">
        <v>10</v>
      </c>
      <c r="V520" s="7">
        <f t="shared" si="56"/>
        <v>0.47</v>
      </c>
      <c r="W520" s="5">
        <v>0.5</v>
      </c>
      <c r="X520" s="5" t="s">
        <v>55</v>
      </c>
      <c r="Y520" s="48" t="str">
        <f t="shared" si="57"/>
        <v>APROVADO</v>
      </c>
      <c r="Z520" s="7" t="s">
        <v>56</v>
      </c>
      <c r="AA520" s="5">
        <v>11595814</v>
      </c>
      <c r="AB520" s="5" t="s">
        <v>3805</v>
      </c>
      <c r="AC520" s="5" t="s">
        <v>48</v>
      </c>
      <c r="AD520" s="5" t="s">
        <v>5530</v>
      </c>
      <c r="AE520" s="5" t="str">
        <f t="shared" ca="1" si="54"/>
        <v>NO PRAZO</v>
      </c>
      <c r="AF520" s="51"/>
    </row>
    <row r="521" spans="1:32" ht="30" customHeight="1" x14ac:dyDescent="0.25">
      <c r="A521" s="7" t="s">
        <v>2132</v>
      </c>
      <c r="B521" s="5" t="s">
        <v>10</v>
      </c>
      <c r="C521" s="5" t="s">
        <v>5863</v>
      </c>
      <c r="D521" s="7" t="s">
        <v>562</v>
      </c>
      <c r="E521" s="7" t="s">
        <v>311</v>
      </c>
      <c r="F521" s="7" t="s">
        <v>642</v>
      </c>
      <c r="G521" s="7" t="s">
        <v>2129</v>
      </c>
      <c r="H521" s="7" t="s">
        <v>10</v>
      </c>
      <c r="I521" s="7" t="s">
        <v>2133</v>
      </c>
      <c r="J521" s="7" t="s">
        <v>2215</v>
      </c>
      <c r="K521" s="5" t="s">
        <v>10</v>
      </c>
      <c r="L521" s="5" t="s">
        <v>45</v>
      </c>
      <c r="M521" s="5" t="s">
        <v>10</v>
      </c>
      <c r="N521" s="5" t="s">
        <v>10</v>
      </c>
      <c r="O521" s="95" t="s">
        <v>56</v>
      </c>
      <c r="P521" s="101">
        <v>46128</v>
      </c>
      <c r="Q521" s="100">
        <f t="shared" si="55"/>
        <v>46493</v>
      </c>
      <c r="R521" s="5" t="s">
        <v>2155</v>
      </c>
      <c r="S521" s="5" t="s">
        <v>5281</v>
      </c>
      <c r="T521" s="7">
        <v>0.21</v>
      </c>
      <c r="U521" s="7"/>
      <c r="V521" s="7">
        <f t="shared" si="56"/>
        <v>0.21</v>
      </c>
      <c r="W521" s="5">
        <v>0.5</v>
      </c>
      <c r="X521" s="5" t="s">
        <v>2151</v>
      </c>
      <c r="Y521" s="48" t="str">
        <f t="shared" si="57"/>
        <v>APROVADO</v>
      </c>
      <c r="Z521" s="7" t="s">
        <v>56</v>
      </c>
      <c r="AA521" s="5">
        <v>11606728</v>
      </c>
      <c r="AB521" s="5" t="s">
        <v>4202</v>
      </c>
      <c r="AC521" s="5" t="s">
        <v>48</v>
      </c>
      <c r="AD521" s="5" t="s">
        <v>5530</v>
      </c>
      <c r="AE521" s="5" t="str">
        <f t="shared" ca="1" si="54"/>
        <v>NO PRAZO</v>
      </c>
      <c r="AF521" s="49"/>
    </row>
    <row r="522" spans="1:32" ht="30" customHeight="1" x14ac:dyDescent="0.25">
      <c r="A522" s="7" t="s">
        <v>2134</v>
      </c>
      <c r="B522" s="5" t="s">
        <v>10</v>
      </c>
      <c r="C522" s="5" t="s">
        <v>5863</v>
      </c>
      <c r="D522" s="7" t="s">
        <v>151</v>
      </c>
      <c r="E522" s="7" t="s">
        <v>311</v>
      </c>
      <c r="F522" s="7" t="s">
        <v>642</v>
      </c>
      <c r="G522" s="7" t="s">
        <v>2129</v>
      </c>
      <c r="H522" s="7" t="s">
        <v>10</v>
      </c>
      <c r="I522" s="7" t="s">
        <v>53</v>
      </c>
      <c r="J522" s="7" t="s">
        <v>2216</v>
      </c>
      <c r="K522" s="7" t="s">
        <v>10</v>
      </c>
      <c r="L522" s="7" t="s">
        <v>45</v>
      </c>
      <c r="M522" s="7" t="s">
        <v>10</v>
      </c>
      <c r="N522" s="7" t="s">
        <v>10</v>
      </c>
      <c r="O522" s="95" t="s">
        <v>56</v>
      </c>
      <c r="P522" s="101">
        <v>46128</v>
      </c>
      <c r="Q522" s="100">
        <f t="shared" si="55"/>
        <v>46493</v>
      </c>
      <c r="R522" s="5" t="s">
        <v>2156</v>
      </c>
      <c r="S522" s="5" t="s">
        <v>5282</v>
      </c>
      <c r="T522" s="7">
        <v>0.24</v>
      </c>
      <c r="U522" s="7"/>
      <c r="V522" s="7">
        <f t="shared" si="56"/>
        <v>0.24</v>
      </c>
      <c r="W522" s="5">
        <v>0.5</v>
      </c>
      <c r="X522" s="5" t="s">
        <v>2151</v>
      </c>
      <c r="Y522" s="48" t="str">
        <f t="shared" si="57"/>
        <v>APROVADO</v>
      </c>
      <c r="Z522" s="7" t="s">
        <v>56</v>
      </c>
      <c r="AA522" s="5">
        <v>11606729</v>
      </c>
      <c r="AB522" s="5" t="s">
        <v>4203</v>
      </c>
      <c r="AC522" s="5" t="s">
        <v>48</v>
      </c>
      <c r="AD522" s="5" t="s">
        <v>5530</v>
      </c>
      <c r="AE522" s="5" t="str">
        <f t="shared" ref="AE522:AE585" ca="1" si="62">IFERROR(IF(OR(AND(YEAR(Q522)=YEAR(TODAY()),MONTH(Q522)&gt;MONTH(TODAY())),(YEAR(Q522)&gt;YEAR(TODAY()))),$AK$4,IF(AND(YEAR(Q522)=YEAR(TODAY()),MONTH(Q522)=MONTH(TODAY())),$AK$5,IF(Q522="",$AK$6,$AK$7))),"-")</f>
        <v>NO PRAZO</v>
      </c>
      <c r="AF522" s="49"/>
    </row>
    <row r="523" spans="1:32" ht="30" customHeight="1" x14ac:dyDescent="0.25">
      <c r="A523" s="7" t="s">
        <v>2136</v>
      </c>
      <c r="B523" s="5" t="s">
        <v>10</v>
      </c>
      <c r="C523" s="5" t="s">
        <v>5863</v>
      </c>
      <c r="D523" s="7" t="s">
        <v>151</v>
      </c>
      <c r="E523" s="7" t="s">
        <v>311</v>
      </c>
      <c r="F523" s="7" t="s">
        <v>642</v>
      </c>
      <c r="G523" s="7" t="s">
        <v>2129</v>
      </c>
      <c r="H523" s="7" t="s">
        <v>10</v>
      </c>
      <c r="I523" s="7" t="s">
        <v>53</v>
      </c>
      <c r="J523" s="7" t="s">
        <v>2216</v>
      </c>
      <c r="K523" s="7" t="s">
        <v>10</v>
      </c>
      <c r="L523" s="7" t="s">
        <v>45</v>
      </c>
      <c r="M523" s="7" t="s">
        <v>10</v>
      </c>
      <c r="N523" s="7" t="s">
        <v>10</v>
      </c>
      <c r="O523" s="95" t="s">
        <v>56</v>
      </c>
      <c r="P523" s="101">
        <v>46128</v>
      </c>
      <c r="Q523" s="100">
        <f t="shared" si="55"/>
        <v>46493</v>
      </c>
      <c r="R523" s="5" t="s">
        <v>2157</v>
      </c>
      <c r="S523" s="5" t="s">
        <v>5354</v>
      </c>
      <c r="T523" s="7">
        <v>0.28000000000000003</v>
      </c>
      <c r="U523" s="7"/>
      <c r="V523" s="7">
        <f t="shared" si="56"/>
        <v>0.28000000000000003</v>
      </c>
      <c r="W523" s="5">
        <v>0.5</v>
      </c>
      <c r="X523" s="5" t="s">
        <v>2151</v>
      </c>
      <c r="Y523" s="48" t="str">
        <f t="shared" si="57"/>
        <v>APROVADO</v>
      </c>
      <c r="Z523" s="7" t="s">
        <v>56</v>
      </c>
      <c r="AA523" s="5">
        <v>11606730</v>
      </c>
      <c r="AB523" s="5" t="s">
        <v>4204</v>
      </c>
      <c r="AC523" s="5" t="s">
        <v>48</v>
      </c>
      <c r="AD523" s="5" t="s">
        <v>5530</v>
      </c>
      <c r="AE523" s="5" t="str">
        <f t="shared" ca="1" si="62"/>
        <v>NO PRAZO</v>
      </c>
      <c r="AF523" s="49"/>
    </row>
    <row r="524" spans="1:32" ht="30" customHeight="1" x14ac:dyDescent="0.25">
      <c r="A524" s="7" t="s">
        <v>2137</v>
      </c>
      <c r="B524" s="5" t="s">
        <v>10</v>
      </c>
      <c r="C524" s="5" t="s">
        <v>5863</v>
      </c>
      <c r="D524" s="7" t="s">
        <v>151</v>
      </c>
      <c r="E524" s="7" t="s">
        <v>311</v>
      </c>
      <c r="F524" s="7" t="s">
        <v>642</v>
      </c>
      <c r="G524" s="7" t="s">
        <v>2129</v>
      </c>
      <c r="H524" s="7" t="s">
        <v>10</v>
      </c>
      <c r="I524" s="7" t="s">
        <v>53</v>
      </c>
      <c r="J524" s="7" t="s">
        <v>2216</v>
      </c>
      <c r="K524" s="7" t="s">
        <v>10</v>
      </c>
      <c r="L524" s="7" t="s">
        <v>45</v>
      </c>
      <c r="M524" s="7" t="s">
        <v>10</v>
      </c>
      <c r="N524" s="7" t="s">
        <v>10</v>
      </c>
      <c r="O524" s="95" t="s">
        <v>56</v>
      </c>
      <c r="P524" s="101">
        <v>46128</v>
      </c>
      <c r="Q524" s="100">
        <f t="shared" si="55"/>
        <v>46493</v>
      </c>
      <c r="R524" s="5" t="s">
        <v>2158</v>
      </c>
      <c r="S524" s="5" t="s">
        <v>5898</v>
      </c>
      <c r="T524" s="7">
        <v>0.22</v>
      </c>
      <c r="U524" s="7"/>
      <c r="V524" s="7">
        <f t="shared" si="56"/>
        <v>0.22</v>
      </c>
      <c r="W524" s="5">
        <v>0.5</v>
      </c>
      <c r="X524" s="5" t="s">
        <v>2151</v>
      </c>
      <c r="Y524" s="48" t="str">
        <f t="shared" si="57"/>
        <v>APROVADO</v>
      </c>
      <c r="Z524" s="7" t="s">
        <v>56</v>
      </c>
      <c r="AA524" s="5">
        <v>11606731</v>
      </c>
      <c r="AB524" s="5" t="s">
        <v>4205</v>
      </c>
      <c r="AC524" s="5" t="s">
        <v>48</v>
      </c>
      <c r="AD524" s="5" t="s">
        <v>5530</v>
      </c>
      <c r="AE524" s="5" t="str">
        <f t="shared" ca="1" si="62"/>
        <v>NO PRAZO</v>
      </c>
      <c r="AF524" s="49"/>
    </row>
    <row r="525" spans="1:32" ht="30" customHeight="1" x14ac:dyDescent="0.25">
      <c r="A525" s="7" t="s">
        <v>2138</v>
      </c>
      <c r="B525" s="5" t="s">
        <v>10</v>
      </c>
      <c r="C525" s="5" t="s">
        <v>5863</v>
      </c>
      <c r="D525" s="7" t="s">
        <v>151</v>
      </c>
      <c r="E525" s="7" t="s">
        <v>311</v>
      </c>
      <c r="F525" s="7" t="s">
        <v>642</v>
      </c>
      <c r="G525" s="7" t="s">
        <v>2129</v>
      </c>
      <c r="H525" s="7" t="s">
        <v>10</v>
      </c>
      <c r="I525" s="7" t="s">
        <v>53</v>
      </c>
      <c r="J525" s="7" t="s">
        <v>2216</v>
      </c>
      <c r="K525" s="7" t="s">
        <v>10</v>
      </c>
      <c r="L525" s="7" t="s">
        <v>45</v>
      </c>
      <c r="M525" s="7" t="s">
        <v>10</v>
      </c>
      <c r="N525" s="7" t="s">
        <v>10</v>
      </c>
      <c r="O525" s="95" t="s">
        <v>56</v>
      </c>
      <c r="P525" s="101">
        <v>46128</v>
      </c>
      <c r="Q525" s="100">
        <f t="shared" si="55"/>
        <v>46493</v>
      </c>
      <c r="R525" s="5" t="s">
        <v>2159</v>
      </c>
      <c r="S525" s="5" t="s">
        <v>5283</v>
      </c>
      <c r="T525" s="7">
        <v>0.25</v>
      </c>
      <c r="U525" s="7"/>
      <c r="V525" s="7">
        <f t="shared" si="56"/>
        <v>0.25</v>
      </c>
      <c r="W525" s="5">
        <v>0.5</v>
      </c>
      <c r="X525" s="5" t="s">
        <v>2151</v>
      </c>
      <c r="Y525" s="48" t="str">
        <f t="shared" si="57"/>
        <v>APROVADO</v>
      </c>
      <c r="Z525" s="7" t="s">
        <v>56</v>
      </c>
      <c r="AA525" s="5">
        <v>11606732</v>
      </c>
      <c r="AB525" s="5" t="s">
        <v>4206</v>
      </c>
      <c r="AC525" s="5" t="s">
        <v>48</v>
      </c>
      <c r="AD525" s="5" t="s">
        <v>5530</v>
      </c>
      <c r="AE525" s="5" t="str">
        <f t="shared" ca="1" si="62"/>
        <v>NO PRAZO</v>
      </c>
      <c r="AF525" s="49"/>
    </row>
    <row r="526" spans="1:32" ht="30" customHeight="1" x14ac:dyDescent="0.25">
      <c r="A526" s="7" t="s">
        <v>2139</v>
      </c>
      <c r="B526" s="5" t="s">
        <v>10</v>
      </c>
      <c r="C526" s="5" t="s">
        <v>5863</v>
      </c>
      <c r="D526" s="7" t="s">
        <v>151</v>
      </c>
      <c r="E526" s="7" t="s">
        <v>311</v>
      </c>
      <c r="F526" s="7" t="s">
        <v>642</v>
      </c>
      <c r="G526" s="7" t="s">
        <v>2129</v>
      </c>
      <c r="H526" s="7" t="s">
        <v>10</v>
      </c>
      <c r="I526" s="7" t="s">
        <v>53</v>
      </c>
      <c r="J526" s="7" t="s">
        <v>2217</v>
      </c>
      <c r="K526" s="7" t="s">
        <v>10</v>
      </c>
      <c r="L526" s="7" t="s">
        <v>45</v>
      </c>
      <c r="M526" s="7" t="s">
        <v>10</v>
      </c>
      <c r="N526" s="7" t="s">
        <v>10</v>
      </c>
      <c r="O526" s="95" t="s">
        <v>56</v>
      </c>
      <c r="P526" s="101">
        <v>46128</v>
      </c>
      <c r="Q526" s="100">
        <f t="shared" si="55"/>
        <v>46493</v>
      </c>
      <c r="R526" s="5" t="s">
        <v>2160</v>
      </c>
      <c r="S526" s="5" t="s">
        <v>5355</v>
      </c>
      <c r="T526" s="7">
        <v>0.26100000000000001</v>
      </c>
      <c r="U526" s="7"/>
      <c r="V526" s="7">
        <f t="shared" si="56"/>
        <v>0.26100000000000001</v>
      </c>
      <c r="W526" s="5">
        <v>0.5</v>
      </c>
      <c r="X526" s="5" t="s">
        <v>2151</v>
      </c>
      <c r="Y526" s="48" t="str">
        <f t="shared" si="57"/>
        <v>APROVADO</v>
      </c>
      <c r="Z526" s="7" t="s">
        <v>56</v>
      </c>
      <c r="AA526" s="5">
        <v>11606733</v>
      </c>
      <c r="AB526" s="5" t="s">
        <v>4207</v>
      </c>
      <c r="AC526" s="5" t="s">
        <v>48</v>
      </c>
      <c r="AD526" s="5" t="s">
        <v>5530</v>
      </c>
      <c r="AE526" s="5" t="str">
        <f t="shared" ca="1" si="62"/>
        <v>NO PRAZO</v>
      </c>
      <c r="AF526" s="49"/>
    </row>
    <row r="527" spans="1:32" ht="30" customHeight="1" x14ac:dyDescent="0.25">
      <c r="A527" s="5" t="s">
        <v>5721</v>
      </c>
      <c r="B527" s="5" t="s">
        <v>5720</v>
      </c>
      <c r="C527" s="5" t="s">
        <v>5862</v>
      </c>
      <c r="D527" s="7" t="s">
        <v>1481</v>
      </c>
      <c r="E527" s="7" t="s">
        <v>68</v>
      </c>
      <c r="F527" s="7" t="s">
        <v>69</v>
      </c>
      <c r="G527" s="82" t="s">
        <v>3033</v>
      </c>
      <c r="H527" s="7" t="s">
        <v>1431</v>
      </c>
      <c r="I527" s="145" t="s">
        <v>5796</v>
      </c>
      <c r="J527" s="7" t="s">
        <v>5797</v>
      </c>
      <c r="K527" s="5" t="s">
        <v>45</v>
      </c>
      <c r="L527" s="5" t="s">
        <v>10</v>
      </c>
      <c r="M527" s="5" t="s">
        <v>10</v>
      </c>
      <c r="N527" s="5" t="s">
        <v>10</v>
      </c>
      <c r="O527" s="86" t="s">
        <v>46</v>
      </c>
      <c r="P527" s="101">
        <v>46203</v>
      </c>
      <c r="Q527" s="100">
        <f t="shared" si="55"/>
        <v>46568</v>
      </c>
      <c r="R527" s="7" t="s">
        <v>5705</v>
      </c>
      <c r="S527" s="7" t="s">
        <v>5722</v>
      </c>
      <c r="T527" s="7">
        <v>0.38300000000000001</v>
      </c>
      <c r="U527" s="7" t="s">
        <v>10</v>
      </c>
      <c r="V527" s="7">
        <f t="shared" si="56"/>
        <v>0.38300000000000001</v>
      </c>
      <c r="W527" s="5">
        <v>0.5</v>
      </c>
      <c r="X527" s="5" t="s">
        <v>55</v>
      </c>
      <c r="Y527" s="48" t="str">
        <f t="shared" si="57"/>
        <v>APROVADO</v>
      </c>
      <c r="Z527" s="7" t="s">
        <v>56</v>
      </c>
      <c r="AA527" s="5">
        <v>11603587</v>
      </c>
      <c r="AB527" s="5" t="s">
        <v>3948</v>
      </c>
      <c r="AC527" s="5" t="s">
        <v>48</v>
      </c>
      <c r="AD527" s="5" t="s">
        <v>5632</v>
      </c>
      <c r="AE527" s="5" t="str">
        <f t="shared" ca="1" si="62"/>
        <v>NO PRAZO</v>
      </c>
      <c r="AF527" s="51"/>
    </row>
    <row r="528" spans="1:32" ht="30" customHeight="1" x14ac:dyDescent="0.25">
      <c r="A528" s="5" t="s">
        <v>1432</v>
      </c>
      <c r="B528" s="5" t="s">
        <v>10</v>
      </c>
      <c r="C528" s="5" t="s">
        <v>5862</v>
      </c>
      <c r="D528" s="7" t="s">
        <v>1481</v>
      </c>
      <c r="E528" s="7" t="s">
        <v>68</v>
      </c>
      <c r="F528" s="7" t="s">
        <v>69</v>
      </c>
      <c r="G528" s="82" t="s">
        <v>3033</v>
      </c>
      <c r="H528" s="7" t="s">
        <v>3053</v>
      </c>
      <c r="I528" s="7" t="s">
        <v>268</v>
      </c>
      <c r="J528" s="7" t="s">
        <v>2241</v>
      </c>
      <c r="K528" s="5" t="s">
        <v>45</v>
      </c>
      <c r="L528" s="5" t="s">
        <v>10</v>
      </c>
      <c r="M528" s="5" t="s">
        <v>10</v>
      </c>
      <c r="N528" s="5" t="s">
        <v>10</v>
      </c>
      <c r="O528" s="86" t="s">
        <v>46</v>
      </c>
      <c r="P528" s="101">
        <v>46167</v>
      </c>
      <c r="Q528" s="100">
        <f t="shared" ref="Q528:Q591" si="63">IF(P528="","",P528+365)</f>
        <v>46532</v>
      </c>
      <c r="R528" s="7" t="s">
        <v>2235</v>
      </c>
      <c r="S528" s="7" t="s">
        <v>5795</v>
      </c>
      <c r="T528" s="7">
        <v>0.34799999999999998</v>
      </c>
      <c r="U528" s="7" t="s">
        <v>10</v>
      </c>
      <c r="V528" s="7">
        <f t="shared" ref="V528:V591" si="64">IFERROR(IF(U528&gt;0,T528*100/U528,T528),T528)</f>
        <v>0.34799999999999998</v>
      </c>
      <c r="W528" s="5">
        <v>0.5</v>
      </c>
      <c r="X528" s="5" t="s">
        <v>55</v>
      </c>
      <c r="Y528" s="48" t="str">
        <f t="shared" ref="Y528:Y591" si="65">IFERROR(IF(W528="-",$AL$6,CHOOSE(IF(T528="",1,2),$AL$7,IF(V528&gt;W528,$AL$5,$AL$4))),"-")</f>
        <v>APROVADO</v>
      </c>
      <c r="Z528" s="7" t="s">
        <v>56</v>
      </c>
      <c r="AA528" s="5">
        <v>11603588</v>
      </c>
      <c r="AB528" s="5" t="s">
        <v>3949</v>
      </c>
      <c r="AC528" s="5" t="s">
        <v>48</v>
      </c>
      <c r="AD528" s="5" t="s">
        <v>5530</v>
      </c>
      <c r="AE528" s="5" t="str">
        <f t="shared" ca="1" si="62"/>
        <v>NO PRAZO</v>
      </c>
      <c r="AF528" s="51"/>
    </row>
    <row r="529" spans="1:32" ht="30" customHeight="1" x14ac:dyDescent="0.25">
      <c r="A529" s="5" t="s">
        <v>1433</v>
      </c>
      <c r="B529" s="5" t="s">
        <v>10</v>
      </c>
      <c r="C529" s="5" t="s">
        <v>5863</v>
      </c>
      <c r="D529" s="7" t="s">
        <v>151</v>
      </c>
      <c r="E529" s="7" t="s">
        <v>68</v>
      </c>
      <c r="F529" s="7" t="s">
        <v>69</v>
      </c>
      <c r="G529" s="82" t="s">
        <v>3033</v>
      </c>
      <c r="H529" s="7" t="s">
        <v>1434</v>
      </c>
      <c r="I529" s="7" t="s">
        <v>199</v>
      </c>
      <c r="J529" s="7" t="s">
        <v>1420</v>
      </c>
      <c r="K529" s="5" t="s">
        <v>10</v>
      </c>
      <c r="L529" s="5" t="s">
        <v>10</v>
      </c>
      <c r="M529" s="5" t="s">
        <v>10</v>
      </c>
      <c r="N529" s="5" t="s">
        <v>45</v>
      </c>
      <c r="O529" s="80" t="s">
        <v>56</v>
      </c>
      <c r="P529" s="101">
        <v>46135</v>
      </c>
      <c r="Q529" s="100">
        <f t="shared" si="63"/>
        <v>46500</v>
      </c>
      <c r="R529" s="5" t="s">
        <v>2178</v>
      </c>
      <c r="S529" s="5" t="s">
        <v>5333</v>
      </c>
      <c r="T529" s="7">
        <v>0.251</v>
      </c>
      <c r="U529" s="7" t="s">
        <v>10</v>
      </c>
      <c r="V529" s="7">
        <f t="shared" si="64"/>
        <v>0.251</v>
      </c>
      <c r="W529" s="5">
        <v>0.5</v>
      </c>
      <c r="X529" s="5" t="s">
        <v>55</v>
      </c>
      <c r="Y529" s="48" t="str">
        <f t="shared" si="65"/>
        <v>APROVADO</v>
      </c>
      <c r="Z529" s="7" t="s">
        <v>56</v>
      </c>
      <c r="AA529" s="5">
        <v>11541990</v>
      </c>
      <c r="AB529" s="5" t="s">
        <v>2805</v>
      </c>
      <c r="AC529" s="5" t="s">
        <v>48</v>
      </c>
      <c r="AD529" s="5" t="s">
        <v>5530</v>
      </c>
      <c r="AE529" s="5" t="str">
        <f t="shared" ca="1" si="62"/>
        <v>NO PRAZO</v>
      </c>
      <c r="AF529" s="49"/>
    </row>
    <row r="530" spans="1:32" ht="30" customHeight="1" x14ac:dyDescent="0.25">
      <c r="A530" s="5" t="s">
        <v>1435</v>
      </c>
      <c r="B530" s="5" t="s">
        <v>10</v>
      </c>
      <c r="C530" s="5" t="s">
        <v>5863</v>
      </c>
      <c r="D530" s="7" t="s">
        <v>151</v>
      </c>
      <c r="E530" s="7" t="s">
        <v>68</v>
      </c>
      <c r="F530" s="7" t="s">
        <v>69</v>
      </c>
      <c r="G530" s="82" t="s">
        <v>3033</v>
      </c>
      <c r="H530" s="7" t="s">
        <v>1436</v>
      </c>
      <c r="I530" s="7" t="s">
        <v>199</v>
      </c>
      <c r="J530" s="7" t="s">
        <v>1420</v>
      </c>
      <c r="K530" s="5" t="s">
        <v>10</v>
      </c>
      <c r="L530" s="5" t="s">
        <v>10</v>
      </c>
      <c r="M530" s="5" t="s">
        <v>10</v>
      </c>
      <c r="N530" s="5" t="s">
        <v>45</v>
      </c>
      <c r="O530" s="80" t="s">
        <v>56</v>
      </c>
      <c r="P530" s="101">
        <v>46135</v>
      </c>
      <c r="Q530" s="100">
        <f t="shared" si="63"/>
        <v>46500</v>
      </c>
      <c r="R530" s="5" t="s">
        <v>2179</v>
      </c>
      <c r="S530" s="5" t="s">
        <v>5334</v>
      </c>
      <c r="T530" s="7">
        <v>0.40100000000000002</v>
      </c>
      <c r="U530" s="7" t="s">
        <v>10</v>
      </c>
      <c r="V530" s="7">
        <f t="shared" si="64"/>
        <v>0.40100000000000002</v>
      </c>
      <c r="W530" s="5">
        <v>0.5</v>
      </c>
      <c r="X530" s="5" t="s">
        <v>55</v>
      </c>
      <c r="Y530" s="48" t="str">
        <f t="shared" si="65"/>
        <v>APROVADO</v>
      </c>
      <c r="Z530" s="7" t="s">
        <v>56</v>
      </c>
      <c r="AA530" s="5">
        <v>11541991</v>
      </c>
      <c r="AB530" s="5" t="s">
        <v>2806</v>
      </c>
      <c r="AC530" s="5" t="s">
        <v>48</v>
      </c>
      <c r="AD530" s="5" t="s">
        <v>5530</v>
      </c>
      <c r="AE530" s="5" t="str">
        <f t="shared" ca="1" si="62"/>
        <v>NO PRAZO</v>
      </c>
      <c r="AF530" s="49"/>
    </row>
    <row r="531" spans="1:32" ht="30" customHeight="1" x14ac:dyDescent="0.25">
      <c r="A531" s="5" t="s">
        <v>1437</v>
      </c>
      <c r="B531" s="5" t="s">
        <v>10</v>
      </c>
      <c r="C531" s="5" t="s">
        <v>5863</v>
      </c>
      <c r="D531" s="7" t="s">
        <v>151</v>
      </c>
      <c r="E531" s="7" t="s">
        <v>68</v>
      </c>
      <c r="F531" s="7" t="s">
        <v>69</v>
      </c>
      <c r="G531" s="82" t="s">
        <v>3033</v>
      </c>
      <c r="H531" s="7" t="s">
        <v>1438</v>
      </c>
      <c r="I531" s="7" t="s">
        <v>199</v>
      </c>
      <c r="J531" s="7" t="s">
        <v>1420</v>
      </c>
      <c r="K531" s="5" t="s">
        <v>10</v>
      </c>
      <c r="L531" s="5" t="s">
        <v>45</v>
      </c>
      <c r="M531" s="5" t="s">
        <v>10</v>
      </c>
      <c r="N531" s="5" t="s">
        <v>10</v>
      </c>
      <c r="O531" s="86" t="s">
        <v>46</v>
      </c>
      <c r="P531" s="101">
        <v>46135</v>
      </c>
      <c r="Q531" s="100">
        <f t="shared" si="63"/>
        <v>46500</v>
      </c>
      <c r="R531" s="5" t="s">
        <v>2180</v>
      </c>
      <c r="S531" s="5" t="s">
        <v>5359</v>
      </c>
      <c r="T531" s="7">
        <v>0.36799999999999999</v>
      </c>
      <c r="U531" s="7" t="s">
        <v>10</v>
      </c>
      <c r="V531" s="7">
        <f t="shared" si="64"/>
        <v>0.36799999999999999</v>
      </c>
      <c r="W531" s="5">
        <v>0.5</v>
      </c>
      <c r="X531" s="5" t="s">
        <v>55</v>
      </c>
      <c r="Y531" s="48" t="str">
        <f t="shared" si="65"/>
        <v>APROVADO</v>
      </c>
      <c r="Z531" s="7" t="s">
        <v>56</v>
      </c>
      <c r="AA531" s="5">
        <v>11541992</v>
      </c>
      <c r="AB531" s="5" t="s">
        <v>2807</v>
      </c>
      <c r="AC531" s="5" t="s">
        <v>48</v>
      </c>
      <c r="AD531" s="5" t="s">
        <v>5530</v>
      </c>
      <c r="AE531" s="5" t="str">
        <f t="shared" ca="1" si="62"/>
        <v>NO PRAZO</v>
      </c>
      <c r="AF531" s="49"/>
    </row>
    <row r="532" spans="1:32" ht="30" customHeight="1" x14ac:dyDescent="0.25">
      <c r="A532" s="5" t="s">
        <v>1439</v>
      </c>
      <c r="B532" s="5" t="s">
        <v>10</v>
      </c>
      <c r="C532" s="5" t="s">
        <v>5863</v>
      </c>
      <c r="D532" s="7" t="s">
        <v>151</v>
      </c>
      <c r="E532" s="7" t="s">
        <v>68</v>
      </c>
      <c r="F532" s="7" t="s">
        <v>69</v>
      </c>
      <c r="G532" s="82" t="s">
        <v>3033</v>
      </c>
      <c r="H532" s="7" t="s">
        <v>1440</v>
      </c>
      <c r="I532" s="7" t="s">
        <v>199</v>
      </c>
      <c r="J532" s="7" t="s">
        <v>1420</v>
      </c>
      <c r="K532" s="5" t="s">
        <v>10</v>
      </c>
      <c r="L532" s="5" t="s">
        <v>10</v>
      </c>
      <c r="M532" s="5" t="s">
        <v>10</v>
      </c>
      <c r="N532" s="5" t="s">
        <v>45</v>
      </c>
      <c r="O532" s="80" t="s">
        <v>56</v>
      </c>
      <c r="P532" s="101">
        <v>46135</v>
      </c>
      <c r="Q532" s="100">
        <f t="shared" si="63"/>
        <v>46500</v>
      </c>
      <c r="R532" s="5" t="s">
        <v>2181</v>
      </c>
      <c r="S532" s="5" t="s">
        <v>5335</v>
      </c>
      <c r="T532" s="7">
        <v>0.221</v>
      </c>
      <c r="U532" s="7" t="s">
        <v>10</v>
      </c>
      <c r="V532" s="7">
        <f t="shared" si="64"/>
        <v>0.221</v>
      </c>
      <c r="W532" s="5">
        <v>0.5</v>
      </c>
      <c r="X532" s="5" t="s">
        <v>55</v>
      </c>
      <c r="Y532" s="48" t="str">
        <f t="shared" si="65"/>
        <v>APROVADO</v>
      </c>
      <c r="Z532" s="7" t="s">
        <v>56</v>
      </c>
      <c r="AA532" s="5">
        <v>11541993</v>
      </c>
      <c r="AB532" s="5" t="s">
        <v>2808</v>
      </c>
      <c r="AC532" s="5" t="s">
        <v>48</v>
      </c>
      <c r="AD532" s="5" t="s">
        <v>5530</v>
      </c>
      <c r="AE532" s="5" t="str">
        <f t="shared" ca="1" si="62"/>
        <v>NO PRAZO</v>
      </c>
      <c r="AF532" s="49"/>
    </row>
    <row r="533" spans="1:32" ht="30" customHeight="1" x14ac:dyDescent="0.25">
      <c r="A533" s="5" t="s">
        <v>1441</v>
      </c>
      <c r="B533" s="5" t="s">
        <v>10</v>
      </c>
      <c r="C533" s="5" t="s">
        <v>5862</v>
      </c>
      <c r="D533" s="7" t="s">
        <v>1481</v>
      </c>
      <c r="E533" s="7" t="s">
        <v>68</v>
      </c>
      <c r="F533" s="7" t="s">
        <v>69</v>
      </c>
      <c r="G533" s="82" t="s">
        <v>3033</v>
      </c>
      <c r="H533" s="7" t="s">
        <v>1442</v>
      </c>
      <c r="I533" s="7" t="s">
        <v>339</v>
      </c>
      <c r="J533" s="7" t="s">
        <v>2241</v>
      </c>
      <c r="K533" s="5" t="s">
        <v>45</v>
      </c>
      <c r="L533" s="5" t="s">
        <v>10</v>
      </c>
      <c r="M533" s="5" t="s">
        <v>10</v>
      </c>
      <c r="N533" s="5" t="s">
        <v>10</v>
      </c>
      <c r="O533" s="86" t="s">
        <v>46</v>
      </c>
      <c r="P533" s="101">
        <v>46167</v>
      </c>
      <c r="Q533" s="100">
        <f t="shared" si="63"/>
        <v>46532</v>
      </c>
      <c r="R533" s="7" t="s">
        <v>2232</v>
      </c>
      <c r="S533" s="7" t="s">
        <v>5794</v>
      </c>
      <c r="T533" s="7">
        <v>0.438</v>
      </c>
      <c r="U533" s="7" t="s">
        <v>10</v>
      </c>
      <c r="V533" s="7">
        <f t="shared" si="64"/>
        <v>0.438</v>
      </c>
      <c r="W533" s="5">
        <v>0.5</v>
      </c>
      <c r="X533" s="5" t="s">
        <v>55</v>
      </c>
      <c r="Y533" s="48" t="str">
        <f t="shared" si="65"/>
        <v>APROVADO</v>
      </c>
      <c r="Z533" s="7" t="s">
        <v>56</v>
      </c>
      <c r="AA533" s="5">
        <v>11603589</v>
      </c>
      <c r="AB533" s="5" t="s">
        <v>3950</v>
      </c>
      <c r="AC533" s="5" t="s">
        <v>48</v>
      </c>
      <c r="AD533" s="5" t="s">
        <v>5530</v>
      </c>
      <c r="AE533" s="5" t="str">
        <f t="shared" ca="1" si="62"/>
        <v>NO PRAZO</v>
      </c>
      <c r="AF533" s="51"/>
    </row>
    <row r="534" spans="1:32" ht="30" customHeight="1" x14ac:dyDescent="0.25">
      <c r="A534" s="5" t="s">
        <v>1444</v>
      </c>
      <c r="B534" s="5" t="s">
        <v>10</v>
      </c>
      <c r="C534" s="5" t="s">
        <v>5863</v>
      </c>
      <c r="D534" s="7" t="s">
        <v>151</v>
      </c>
      <c r="E534" s="7" t="s">
        <v>68</v>
      </c>
      <c r="F534" s="7" t="s">
        <v>69</v>
      </c>
      <c r="G534" s="82" t="s">
        <v>3033</v>
      </c>
      <c r="H534" s="7" t="s">
        <v>1445</v>
      </c>
      <c r="I534" s="7" t="s">
        <v>199</v>
      </c>
      <c r="J534" s="7" t="s">
        <v>1420</v>
      </c>
      <c r="K534" s="5" t="s">
        <v>10</v>
      </c>
      <c r="L534" s="5" t="s">
        <v>10</v>
      </c>
      <c r="M534" s="5" t="s">
        <v>10</v>
      </c>
      <c r="N534" s="5" t="s">
        <v>45</v>
      </c>
      <c r="O534" s="80" t="s">
        <v>56</v>
      </c>
      <c r="P534" s="101">
        <v>46135</v>
      </c>
      <c r="Q534" s="100">
        <f t="shared" si="63"/>
        <v>46500</v>
      </c>
      <c r="R534" s="5" t="s">
        <v>2182</v>
      </c>
      <c r="S534" s="5" t="s">
        <v>5339</v>
      </c>
      <c r="T534" s="7">
        <v>0.251</v>
      </c>
      <c r="U534" s="7" t="s">
        <v>10</v>
      </c>
      <c r="V534" s="7">
        <f t="shared" si="64"/>
        <v>0.251</v>
      </c>
      <c r="W534" s="5">
        <v>0.5</v>
      </c>
      <c r="X534" s="5" t="s">
        <v>55</v>
      </c>
      <c r="Y534" s="48" t="str">
        <f t="shared" si="65"/>
        <v>APROVADO</v>
      </c>
      <c r="Z534" s="7" t="s">
        <v>56</v>
      </c>
      <c r="AA534" s="5">
        <v>11540613</v>
      </c>
      <c r="AB534" s="5" t="s">
        <v>2809</v>
      </c>
      <c r="AC534" s="5" t="s">
        <v>48</v>
      </c>
      <c r="AD534" s="5" t="s">
        <v>5530</v>
      </c>
      <c r="AE534" s="5" t="str">
        <f t="shared" ca="1" si="62"/>
        <v>NO PRAZO</v>
      </c>
      <c r="AF534" s="49"/>
    </row>
    <row r="535" spans="1:32" ht="30" customHeight="1" x14ac:dyDescent="0.25">
      <c r="A535" s="5" t="s">
        <v>1446</v>
      </c>
      <c r="B535" s="5" t="s">
        <v>10</v>
      </c>
      <c r="C535" s="5" t="s">
        <v>5863</v>
      </c>
      <c r="D535" s="7" t="s">
        <v>151</v>
      </c>
      <c r="E535" s="7" t="s">
        <v>68</v>
      </c>
      <c r="F535" s="7" t="s">
        <v>69</v>
      </c>
      <c r="G535" s="82" t="s">
        <v>3033</v>
      </c>
      <c r="H535" s="7" t="s">
        <v>1447</v>
      </c>
      <c r="I535" s="7" t="s">
        <v>199</v>
      </c>
      <c r="J535" s="7" t="s">
        <v>1420</v>
      </c>
      <c r="K535" s="5" t="s">
        <v>10</v>
      </c>
      <c r="L535" s="5" t="s">
        <v>10</v>
      </c>
      <c r="M535" s="5" t="s">
        <v>10</v>
      </c>
      <c r="N535" s="5" t="s">
        <v>45</v>
      </c>
      <c r="O535" s="80" t="s">
        <v>56</v>
      </c>
      <c r="P535" s="101">
        <v>46135</v>
      </c>
      <c r="Q535" s="100">
        <f t="shared" si="63"/>
        <v>46500</v>
      </c>
      <c r="R535" s="5" t="s">
        <v>2184</v>
      </c>
      <c r="S535" s="5" t="s">
        <v>5340</v>
      </c>
      <c r="T535" s="7">
        <v>0.44800000000000001</v>
      </c>
      <c r="U535" s="7" t="s">
        <v>10</v>
      </c>
      <c r="V535" s="7">
        <f t="shared" si="64"/>
        <v>0.44800000000000001</v>
      </c>
      <c r="W535" s="5">
        <v>0.5</v>
      </c>
      <c r="X535" s="5" t="s">
        <v>55</v>
      </c>
      <c r="Y535" s="48" t="str">
        <f t="shared" si="65"/>
        <v>APROVADO</v>
      </c>
      <c r="Z535" s="7" t="s">
        <v>56</v>
      </c>
      <c r="AA535" s="5">
        <v>11540614</v>
      </c>
      <c r="AB535" s="5" t="s">
        <v>2810</v>
      </c>
      <c r="AC535" s="5" t="s">
        <v>48</v>
      </c>
      <c r="AD535" s="5" t="s">
        <v>5530</v>
      </c>
      <c r="AE535" s="5" t="str">
        <f t="shared" ca="1" si="62"/>
        <v>NO PRAZO</v>
      </c>
      <c r="AF535" s="49"/>
    </row>
    <row r="536" spans="1:32" ht="30" customHeight="1" x14ac:dyDescent="0.25">
      <c r="A536" s="5" t="s">
        <v>1448</v>
      </c>
      <c r="B536" s="5" t="s">
        <v>10</v>
      </c>
      <c r="C536" s="5" t="s">
        <v>5863</v>
      </c>
      <c r="D536" s="7" t="s">
        <v>151</v>
      </c>
      <c r="E536" s="7" t="s">
        <v>68</v>
      </c>
      <c r="F536" s="7" t="s">
        <v>69</v>
      </c>
      <c r="G536" s="82" t="s">
        <v>3033</v>
      </c>
      <c r="H536" s="7" t="s">
        <v>1449</v>
      </c>
      <c r="I536" s="7" t="s">
        <v>199</v>
      </c>
      <c r="J536" s="7" t="s">
        <v>1420</v>
      </c>
      <c r="K536" s="5" t="s">
        <v>10</v>
      </c>
      <c r="L536" s="5" t="s">
        <v>45</v>
      </c>
      <c r="M536" s="5" t="s">
        <v>10</v>
      </c>
      <c r="N536" s="5" t="s">
        <v>10</v>
      </c>
      <c r="O536" s="86" t="s">
        <v>46</v>
      </c>
      <c r="P536" s="101">
        <v>46135</v>
      </c>
      <c r="Q536" s="100">
        <f t="shared" si="63"/>
        <v>46500</v>
      </c>
      <c r="R536" s="5" t="s">
        <v>2183</v>
      </c>
      <c r="S536" s="5" t="s">
        <v>5336</v>
      </c>
      <c r="T536" s="7">
        <v>0.23100000000000001</v>
      </c>
      <c r="U536" s="7" t="s">
        <v>10</v>
      </c>
      <c r="V536" s="7">
        <f t="shared" si="64"/>
        <v>0.23100000000000001</v>
      </c>
      <c r="W536" s="5">
        <v>0.5</v>
      </c>
      <c r="X536" s="5" t="s">
        <v>55</v>
      </c>
      <c r="Y536" s="48" t="str">
        <f t="shared" si="65"/>
        <v>APROVADO</v>
      </c>
      <c r="Z536" s="7" t="s">
        <v>56</v>
      </c>
      <c r="AA536" s="5">
        <v>11540615</v>
      </c>
      <c r="AB536" s="5" t="s">
        <v>2811</v>
      </c>
      <c r="AC536" s="5" t="s">
        <v>48</v>
      </c>
      <c r="AD536" s="5" t="s">
        <v>5530</v>
      </c>
      <c r="AE536" s="5" t="str">
        <f t="shared" ca="1" si="62"/>
        <v>NO PRAZO</v>
      </c>
      <c r="AF536" s="49"/>
    </row>
    <row r="537" spans="1:32" ht="30" customHeight="1" x14ac:dyDescent="0.25">
      <c r="A537" s="5" t="s">
        <v>1450</v>
      </c>
      <c r="B537" s="5" t="s">
        <v>10</v>
      </c>
      <c r="C537" s="5" t="s">
        <v>5863</v>
      </c>
      <c r="D537" s="7" t="s">
        <v>151</v>
      </c>
      <c r="E537" s="7" t="s">
        <v>68</v>
      </c>
      <c r="F537" s="7" t="s">
        <v>69</v>
      </c>
      <c r="G537" s="82" t="s">
        <v>3033</v>
      </c>
      <c r="H537" s="7" t="s">
        <v>1451</v>
      </c>
      <c r="I537" s="7" t="s">
        <v>199</v>
      </c>
      <c r="J537" s="7" t="s">
        <v>1420</v>
      </c>
      <c r="K537" s="5" t="s">
        <v>10</v>
      </c>
      <c r="L537" s="5" t="s">
        <v>10</v>
      </c>
      <c r="M537" s="5" t="s">
        <v>10</v>
      </c>
      <c r="N537" s="5" t="s">
        <v>45</v>
      </c>
      <c r="O537" s="80" t="s">
        <v>56</v>
      </c>
      <c r="P537" s="101">
        <v>46135</v>
      </c>
      <c r="Q537" s="100">
        <f t="shared" si="63"/>
        <v>46500</v>
      </c>
      <c r="R537" s="47" t="s">
        <v>2223</v>
      </c>
      <c r="S537" s="47" t="s">
        <v>5337</v>
      </c>
      <c r="T537" s="7">
        <v>0.24099999999999999</v>
      </c>
      <c r="U537" s="7" t="s">
        <v>10</v>
      </c>
      <c r="V537" s="7">
        <f t="shared" si="64"/>
        <v>0.24099999999999999</v>
      </c>
      <c r="W537" s="5">
        <v>0.5</v>
      </c>
      <c r="X537" s="5" t="s">
        <v>55</v>
      </c>
      <c r="Y537" s="48" t="str">
        <f t="shared" si="65"/>
        <v>APROVADO</v>
      </c>
      <c r="Z537" s="7" t="s">
        <v>56</v>
      </c>
      <c r="AA537" s="5">
        <v>11540616</v>
      </c>
      <c r="AB537" s="5" t="s">
        <v>2812</v>
      </c>
      <c r="AC537" s="5" t="s">
        <v>48</v>
      </c>
      <c r="AD537" s="5" t="s">
        <v>5530</v>
      </c>
      <c r="AE537" s="5" t="str">
        <f t="shared" ca="1" si="62"/>
        <v>NO PRAZO</v>
      </c>
      <c r="AF537" s="49"/>
    </row>
    <row r="538" spans="1:32" ht="30" customHeight="1" x14ac:dyDescent="0.25">
      <c r="A538" s="5" t="s">
        <v>1454</v>
      </c>
      <c r="B538" s="5" t="s">
        <v>10</v>
      </c>
      <c r="C538" s="5" t="s">
        <v>5862</v>
      </c>
      <c r="D538" s="7" t="s">
        <v>151</v>
      </c>
      <c r="E538" s="7" t="s">
        <v>68</v>
      </c>
      <c r="F538" s="7" t="s">
        <v>69</v>
      </c>
      <c r="G538" s="7" t="s">
        <v>80</v>
      </c>
      <c r="H538" s="7" t="s">
        <v>1431</v>
      </c>
      <c r="I538" s="7" t="s">
        <v>199</v>
      </c>
      <c r="J538" s="7" t="s">
        <v>1420</v>
      </c>
      <c r="K538" s="5" t="s">
        <v>45</v>
      </c>
      <c r="L538" s="5" t="s">
        <v>10</v>
      </c>
      <c r="M538" s="5" t="s">
        <v>10</v>
      </c>
      <c r="N538" s="5" t="s">
        <v>10</v>
      </c>
      <c r="O538" s="86" t="s">
        <v>46</v>
      </c>
      <c r="P538" s="101">
        <v>46170</v>
      </c>
      <c r="Q538" s="100">
        <f t="shared" si="63"/>
        <v>46535</v>
      </c>
      <c r="R538" s="5" t="s">
        <v>2493</v>
      </c>
      <c r="S538" s="5" t="s">
        <v>5683</v>
      </c>
      <c r="T538" s="7">
        <v>0.25</v>
      </c>
      <c r="U538" s="7" t="s">
        <v>10</v>
      </c>
      <c r="V538" s="7">
        <f t="shared" si="64"/>
        <v>0.25</v>
      </c>
      <c r="W538" s="5">
        <v>0.5</v>
      </c>
      <c r="X538" s="5" t="s">
        <v>55</v>
      </c>
      <c r="Y538" s="48" t="str">
        <f t="shared" si="65"/>
        <v>APROVADO</v>
      </c>
      <c r="Z538" s="7" t="s">
        <v>56</v>
      </c>
      <c r="AA538" s="5">
        <v>11541996</v>
      </c>
      <c r="AB538" s="5" t="s">
        <v>2925</v>
      </c>
      <c r="AC538" s="5" t="s">
        <v>48</v>
      </c>
      <c r="AD538" s="5" t="s">
        <v>5530</v>
      </c>
      <c r="AE538" s="5" t="str">
        <f t="shared" ca="1" si="62"/>
        <v>NO PRAZO</v>
      </c>
      <c r="AF538" s="53"/>
    </row>
    <row r="539" spans="1:32" ht="30" customHeight="1" x14ac:dyDescent="0.25">
      <c r="A539" s="5" t="s">
        <v>1455</v>
      </c>
      <c r="B539" s="5" t="s">
        <v>10</v>
      </c>
      <c r="C539" s="5" t="s">
        <v>5862</v>
      </c>
      <c r="D539" s="7" t="s">
        <v>151</v>
      </c>
      <c r="E539" s="7" t="s">
        <v>68</v>
      </c>
      <c r="F539" s="7" t="s">
        <v>69</v>
      </c>
      <c r="G539" s="7" t="s">
        <v>80</v>
      </c>
      <c r="H539" s="7" t="s">
        <v>3053</v>
      </c>
      <c r="I539" s="7" t="s">
        <v>199</v>
      </c>
      <c r="J539" s="7" t="s">
        <v>1456</v>
      </c>
      <c r="K539" s="5" t="s">
        <v>45</v>
      </c>
      <c r="L539" s="5" t="s">
        <v>10</v>
      </c>
      <c r="M539" s="5" t="s">
        <v>10</v>
      </c>
      <c r="N539" s="5" t="s">
        <v>10</v>
      </c>
      <c r="O539" s="86" t="s">
        <v>46</v>
      </c>
      <c r="P539" s="101">
        <v>46162</v>
      </c>
      <c r="Q539" s="100">
        <f t="shared" si="63"/>
        <v>46527</v>
      </c>
      <c r="R539" s="7" t="s">
        <v>2486</v>
      </c>
      <c r="S539" s="7" t="s">
        <v>5684</v>
      </c>
      <c r="T539" s="7">
        <v>0.247</v>
      </c>
      <c r="U539" s="7" t="s">
        <v>10</v>
      </c>
      <c r="V539" s="7">
        <f t="shared" si="64"/>
        <v>0.247</v>
      </c>
      <c r="W539" s="5">
        <v>0.5</v>
      </c>
      <c r="X539" s="5" t="s">
        <v>55</v>
      </c>
      <c r="Y539" s="48" t="str">
        <f t="shared" si="65"/>
        <v>APROVADO</v>
      </c>
      <c r="Z539" s="7" t="s">
        <v>56</v>
      </c>
      <c r="AA539" s="5">
        <v>11541997</v>
      </c>
      <c r="AB539" s="5" t="s">
        <v>2926</v>
      </c>
      <c r="AC539" s="5" t="s">
        <v>48</v>
      </c>
      <c r="AD539" s="5" t="s">
        <v>5530</v>
      </c>
      <c r="AE539" s="5" t="str">
        <f t="shared" ca="1" si="62"/>
        <v>NO PRAZO</v>
      </c>
      <c r="AF539" s="53"/>
    </row>
    <row r="540" spans="1:32" ht="30" customHeight="1" x14ac:dyDescent="0.25">
      <c r="A540" s="5" t="s">
        <v>1457</v>
      </c>
      <c r="B540" s="5" t="s">
        <v>10</v>
      </c>
      <c r="C540" s="5" t="s">
        <v>5863</v>
      </c>
      <c r="D540" s="7" t="s">
        <v>151</v>
      </c>
      <c r="E540" s="7" t="s">
        <v>68</v>
      </c>
      <c r="F540" s="34" t="s">
        <v>69</v>
      </c>
      <c r="G540" s="7" t="s">
        <v>80</v>
      </c>
      <c r="H540" s="7" t="s">
        <v>1438</v>
      </c>
      <c r="I540" s="7" t="s">
        <v>199</v>
      </c>
      <c r="J540" s="7" t="s">
        <v>1420</v>
      </c>
      <c r="K540" s="5" t="s">
        <v>10</v>
      </c>
      <c r="L540" s="5" t="s">
        <v>45</v>
      </c>
      <c r="M540" s="5" t="s">
        <v>10</v>
      </c>
      <c r="N540" s="5" t="s">
        <v>10</v>
      </c>
      <c r="O540" s="86" t="s">
        <v>46</v>
      </c>
      <c r="P540" s="101">
        <v>46154</v>
      </c>
      <c r="Q540" s="100">
        <f t="shared" si="63"/>
        <v>46519</v>
      </c>
      <c r="R540" s="7" t="s">
        <v>2251</v>
      </c>
      <c r="S540" s="7" t="s">
        <v>5437</v>
      </c>
      <c r="T540" s="7">
        <v>0.34699999999999998</v>
      </c>
      <c r="U540" s="7" t="s">
        <v>10</v>
      </c>
      <c r="V540" s="7">
        <f t="shared" si="64"/>
        <v>0.34699999999999998</v>
      </c>
      <c r="W540" s="5">
        <v>0.5</v>
      </c>
      <c r="X540" s="5" t="s">
        <v>55</v>
      </c>
      <c r="Y540" s="48" t="str">
        <f t="shared" si="65"/>
        <v>APROVADO</v>
      </c>
      <c r="Z540" s="7" t="s">
        <v>56</v>
      </c>
      <c r="AA540" s="5">
        <v>11541998</v>
      </c>
      <c r="AB540" s="5" t="s">
        <v>2861</v>
      </c>
      <c r="AC540" s="5" t="s">
        <v>48</v>
      </c>
      <c r="AD540" s="5" t="s">
        <v>5530</v>
      </c>
      <c r="AE540" s="5" t="str">
        <f t="shared" ca="1" si="62"/>
        <v>NO PRAZO</v>
      </c>
      <c r="AF540" s="51"/>
    </row>
    <row r="541" spans="1:32" ht="30" customHeight="1" x14ac:dyDescent="0.25">
      <c r="A541" s="5" t="s">
        <v>1458</v>
      </c>
      <c r="B541" s="5" t="s">
        <v>10</v>
      </c>
      <c r="C541" s="5" t="s">
        <v>5863</v>
      </c>
      <c r="D541" s="7" t="s">
        <v>151</v>
      </c>
      <c r="E541" s="7" t="s">
        <v>68</v>
      </c>
      <c r="F541" s="34" t="s">
        <v>69</v>
      </c>
      <c r="G541" s="7" t="s">
        <v>80</v>
      </c>
      <c r="H541" s="7" t="s">
        <v>1449</v>
      </c>
      <c r="I541" s="7" t="s">
        <v>199</v>
      </c>
      <c r="J541" s="7" t="s">
        <v>1420</v>
      </c>
      <c r="K541" s="5" t="s">
        <v>10</v>
      </c>
      <c r="L541" s="5" t="s">
        <v>45</v>
      </c>
      <c r="M541" s="5" t="s">
        <v>10</v>
      </c>
      <c r="N541" s="5" t="s">
        <v>10</v>
      </c>
      <c r="O541" s="86" t="s">
        <v>46</v>
      </c>
      <c r="P541" s="101">
        <v>46154</v>
      </c>
      <c r="Q541" s="100">
        <f t="shared" si="63"/>
        <v>46519</v>
      </c>
      <c r="R541" s="5" t="s">
        <v>2252</v>
      </c>
      <c r="S541" s="5" t="s">
        <v>5438</v>
      </c>
      <c r="T541" s="7">
        <v>0.27</v>
      </c>
      <c r="U541" s="7" t="s">
        <v>10</v>
      </c>
      <c r="V541" s="7">
        <f t="shared" si="64"/>
        <v>0.27</v>
      </c>
      <c r="W541" s="5">
        <v>0.5</v>
      </c>
      <c r="X541" s="5" t="s">
        <v>55</v>
      </c>
      <c r="Y541" s="48" t="str">
        <f t="shared" si="65"/>
        <v>APROVADO</v>
      </c>
      <c r="Z541" s="7" t="s">
        <v>56</v>
      </c>
      <c r="AA541" s="5">
        <v>11541999</v>
      </c>
      <c r="AB541" s="5" t="s">
        <v>2862</v>
      </c>
      <c r="AC541" s="5" t="s">
        <v>48</v>
      </c>
      <c r="AD541" s="5" t="s">
        <v>5530</v>
      </c>
      <c r="AE541" s="5" t="str">
        <f t="shared" ca="1" si="62"/>
        <v>NO PRAZO</v>
      </c>
      <c r="AF541" s="51"/>
    </row>
    <row r="542" spans="1:32" ht="30" customHeight="1" x14ac:dyDescent="0.25">
      <c r="A542" s="5" t="s">
        <v>2481</v>
      </c>
      <c r="B542" s="5" t="s">
        <v>10</v>
      </c>
      <c r="C542" s="5" t="s">
        <v>5862</v>
      </c>
      <c r="D542" s="7" t="s">
        <v>151</v>
      </c>
      <c r="E542" s="7" t="s">
        <v>68</v>
      </c>
      <c r="F542" s="7" t="s">
        <v>69</v>
      </c>
      <c r="G542" s="7" t="s">
        <v>80</v>
      </c>
      <c r="H542" s="7" t="s">
        <v>2485</v>
      </c>
      <c r="I542" s="7" t="s">
        <v>2482</v>
      </c>
      <c r="J542" s="7" t="s">
        <v>2364</v>
      </c>
      <c r="K542" s="5" t="s">
        <v>45</v>
      </c>
      <c r="L542" s="5" t="s">
        <v>10</v>
      </c>
      <c r="M542" s="5" t="s">
        <v>10</v>
      </c>
      <c r="N542" s="5" t="s">
        <v>10</v>
      </c>
      <c r="O542" s="86" t="s">
        <v>46</v>
      </c>
      <c r="P542" s="101">
        <v>46162</v>
      </c>
      <c r="Q542" s="100">
        <f t="shared" si="63"/>
        <v>46527</v>
      </c>
      <c r="R542" s="5" t="s">
        <v>2484</v>
      </c>
      <c r="S542" s="5" t="s">
        <v>5685</v>
      </c>
      <c r="T542" s="7">
        <v>0.245</v>
      </c>
      <c r="U542" s="7"/>
      <c r="V542" s="7">
        <f t="shared" si="64"/>
        <v>0.245</v>
      </c>
      <c r="W542" s="5">
        <v>0.5</v>
      </c>
      <c r="X542" s="5" t="s">
        <v>55</v>
      </c>
      <c r="Y542" s="48" t="str">
        <f t="shared" si="65"/>
        <v>APROVADO</v>
      </c>
      <c r="Z542" s="7" t="s">
        <v>56</v>
      </c>
      <c r="AA542" s="5">
        <v>11606704</v>
      </c>
      <c r="AB542" s="5" t="s">
        <v>4155</v>
      </c>
      <c r="AC542" s="5" t="s">
        <v>48</v>
      </c>
      <c r="AD542" s="5" t="s">
        <v>5530</v>
      </c>
      <c r="AE542" s="5" t="str">
        <f t="shared" ca="1" si="62"/>
        <v>NO PRAZO</v>
      </c>
      <c r="AF542" s="53"/>
    </row>
    <row r="543" spans="1:32" ht="25.95" customHeight="1" x14ac:dyDescent="0.25">
      <c r="A543" s="5" t="s">
        <v>2020</v>
      </c>
      <c r="B543" s="5" t="s">
        <v>10</v>
      </c>
      <c r="C543" s="5" t="s">
        <v>5864</v>
      </c>
      <c r="D543" s="7" t="s">
        <v>2021</v>
      </c>
      <c r="E543" s="7" t="s">
        <v>256</v>
      </c>
      <c r="F543" s="7" t="s">
        <v>257</v>
      </c>
      <c r="G543" s="7" t="s">
        <v>1473</v>
      </c>
      <c r="H543" s="7" t="s">
        <v>1473</v>
      </c>
      <c r="I543" s="145" t="s">
        <v>4996</v>
      </c>
      <c r="J543" s="7" t="s">
        <v>2031</v>
      </c>
      <c r="K543" s="5" t="s">
        <v>10</v>
      </c>
      <c r="L543" s="5" t="s">
        <v>45</v>
      </c>
      <c r="M543" s="5" t="s">
        <v>10</v>
      </c>
      <c r="N543" s="5" t="s">
        <v>10</v>
      </c>
      <c r="O543" s="80" t="s">
        <v>46</v>
      </c>
      <c r="P543" s="101">
        <v>46078</v>
      </c>
      <c r="Q543" s="100">
        <f t="shared" si="63"/>
        <v>46443</v>
      </c>
      <c r="R543" s="5" t="s">
        <v>2022</v>
      </c>
      <c r="S543" s="5" t="s">
        <v>4950</v>
      </c>
      <c r="T543" s="7">
        <v>0.36</v>
      </c>
      <c r="U543" s="7" t="s">
        <v>10</v>
      </c>
      <c r="V543" s="7">
        <f t="shared" si="64"/>
        <v>0.36</v>
      </c>
      <c r="W543" s="5" t="s">
        <v>10</v>
      </c>
      <c r="X543" s="5" t="s">
        <v>2151</v>
      </c>
      <c r="Y543" s="48" t="str">
        <f t="shared" si="65"/>
        <v>A DEFINIR</v>
      </c>
      <c r="Z543" s="7" t="s">
        <v>56</v>
      </c>
      <c r="AA543" s="5">
        <v>11606721</v>
      </c>
      <c r="AB543" s="5" t="s">
        <v>4195</v>
      </c>
      <c r="AC543" s="5" t="s">
        <v>48</v>
      </c>
      <c r="AD543" s="5" t="s">
        <v>5530</v>
      </c>
      <c r="AE543" s="5" t="str">
        <f t="shared" ca="1" si="62"/>
        <v>NO PRAZO</v>
      </c>
      <c r="AF543" s="49"/>
    </row>
    <row r="544" spans="1:32" ht="25.95" customHeight="1" x14ac:dyDescent="0.25">
      <c r="A544" s="5" t="s">
        <v>1472</v>
      </c>
      <c r="B544" s="5" t="s">
        <v>10</v>
      </c>
      <c r="C544" s="5" t="s">
        <v>5864</v>
      </c>
      <c r="D544" s="7" t="s">
        <v>2021</v>
      </c>
      <c r="E544" s="7" t="s">
        <v>256</v>
      </c>
      <c r="F544" s="34" t="s">
        <v>257</v>
      </c>
      <c r="G544" s="7" t="s">
        <v>2021</v>
      </c>
      <c r="H544" s="7" t="s">
        <v>2021</v>
      </c>
      <c r="I544" s="7" t="s">
        <v>1474</v>
      </c>
      <c r="J544" s="7" t="s">
        <v>1475</v>
      </c>
      <c r="K544" s="5" t="s">
        <v>10</v>
      </c>
      <c r="L544" s="5" t="s">
        <v>45</v>
      </c>
      <c r="M544" s="5" t="s">
        <v>10</v>
      </c>
      <c r="N544" s="5" t="s">
        <v>10</v>
      </c>
      <c r="O544" s="46" t="s">
        <v>46</v>
      </c>
      <c r="P544" s="101">
        <v>46153</v>
      </c>
      <c r="Q544" s="100">
        <f t="shared" si="63"/>
        <v>46518</v>
      </c>
      <c r="R544" s="5" t="s">
        <v>2231</v>
      </c>
      <c r="S544" s="5" t="s">
        <v>5370</v>
      </c>
      <c r="T544" s="7">
        <v>0.38</v>
      </c>
      <c r="U544" s="7"/>
      <c r="V544" s="7">
        <f t="shared" si="64"/>
        <v>0.38</v>
      </c>
      <c r="W544" s="5">
        <v>0.5</v>
      </c>
      <c r="X544" s="5" t="s">
        <v>55</v>
      </c>
      <c r="Y544" s="48" t="str">
        <f t="shared" si="65"/>
        <v>APROVADO</v>
      </c>
      <c r="Z544" s="7" t="s">
        <v>56</v>
      </c>
      <c r="AA544" s="5">
        <v>11597049</v>
      </c>
      <c r="AB544" s="5" t="s">
        <v>2874</v>
      </c>
      <c r="AC544" s="5" t="s">
        <v>48</v>
      </c>
      <c r="AD544" s="5" t="s">
        <v>5530</v>
      </c>
      <c r="AE544" s="5" t="str">
        <f t="shared" ca="1" si="62"/>
        <v>NO PRAZO</v>
      </c>
      <c r="AF544" s="49"/>
    </row>
    <row r="545" spans="1:32" ht="30" customHeight="1" x14ac:dyDescent="0.25">
      <c r="A545" s="5" t="s">
        <v>1476</v>
      </c>
      <c r="B545" s="5" t="s">
        <v>10</v>
      </c>
      <c r="C545" s="5" t="s">
        <v>5864</v>
      </c>
      <c r="D545" s="7" t="s">
        <v>630</v>
      </c>
      <c r="E545" s="7" t="s">
        <v>256</v>
      </c>
      <c r="F545" s="34" t="s">
        <v>657</v>
      </c>
      <c r="G545" s="7" t="s">
        <v>630</v>
      </c>
      <c r="H545" s="7" t="s">
        <v>630</v>
      </c>
      <c r="I545" s="7" t="s">
        <v>1477</v>
      </c>
      <c r="J545" s="7" t="s">
        <v>1478</v>
      </c>
      <c r="K545" s="5" t="s">
        <v>10</v>
      </c>
      <c r="L545" s="5" t="s">
        <v>45</v>
      </c>
      <c r="M545" s="5" t="s">
        <v>10</v>
      </c>
      <c r="N545" s="5" t="s">
        <v>10</v>
      </c>
      <c r="O545" s="46" t="s">
        <v>46</v>
      </c>
      <c r="P545" s="101">
        <v>45856</v>
      </c>
      <c r="Q545" s="100">
        <f t="shared" si="63"/>
        <v>46221</v>
      </c>
      <c r="R545" s="5" t="s">
        <v>1479</v>
      </c>
      <c r="S545" s="5" t="s">
        <v>3065</v>
      </c>
      <c r="T545" s="7">
        <v>0.32</v>
      </c>
      <c r="U545" s="7" t="s">
        <v>10</v>
      </c>
      <c r="V545" s="7">
        <f t="shared" si="64"/>
        <v>0.32</v>
      </c>
      <c r="W545" s="5">
        <v>0.5</v>
      </c>
      <c r="X545" s="5" t="s">
        <v>55</v>
      </c>
      <c r="Y545" s="48" t="str">
        <f t="shared" si="65"/>
        <v>APROVADO</v>
      </c>
      <c r="Z545" s="7" t="s">
        <v>56</v>
      </c>
      <c r="AA545" s="5">
        <v>11596984</v>
      </c>
      <c r="AB545" s="5" t="s">
        <v>3012</v>
      </c>
      <c r="AC545" s="5" t="s">
        <v>48</v>
      </c>
      <c r="AD545" s="5" t="s">
        <v>5530</v>
      </c>
      <c r="AE545" s="5" t="s">
        <v>5906</v>
      </c>
      <c r="AF545" s="49"/>
    </row>
    <row r="546" spans="1:32" ht="30" customHeight="1" x14ac:dyDescent="0.25">
      <c r="A546" s="5" t="s">
        <v>1480</v>
      </c>
      <c r="B546" s="5" t="s">
        <v>10</v>
      </c>
      <c r="C546" s="5" t="s">
        <v>5864</v>
      </c>
      <c r="D546" s="7" t="s">
        <v>630</v>
      </c>
      <c r="E546" s="7" t="s">
        <v>256</v>
      </c>
      <c r="F546" s="34" t="s">
        <v>257</v>
      </c>
      <c r="G546" s="7" t="s">
        <v>1481</v>
      </c>
      <c r="H546" s="7" t="s">
        <v>1481</v>
      </c>
      <c r="I546" s="7" t="s">
        <v>1477</v>
      </c>
      <c r="J546" s="7" t="s">
        <v>1478</v>
      </c>
      <c r="K546" s="5" t="s">
        <v>10</v>
      </c>
      <c r="L546" s="5" t="s">
        <v>45</v>
      </c>
      <c r="M546" s="5" t="s">
        <v>10</v>
      </c>
      <c r="N546" s="5" t="s">
        <v>10</v>
      </c>
      <c r="O546" s="46" t="s">
        <v>46</v>
      </c>
      <c r="P546" s="101">
        <v>46231</v>
      </c>
      <c r="Q546" s="100">
        <f t="shared" si="63"/>
        <v>46596</v>
      </c>
      <c r="R546" s="5" t="s">
        <v>3064</v>
      </c>
      <c r="S546" s="5" t="s">
        <v>5956</v>
      </c>
      <c r="T546" s="7">
        <v>0.24</v>
      </c>
      <c r="U546" s="7" t="s">
        <v>10</v>
      </c>
      <c r="V546" s="7">
        <f t="shared" si="64"/>
        <v>0.24</v>
      </c>
      <c r="W546" s="5">
        <v>0.5</v>
      </c>
      <c r="X546" s="5" t="s">
        <v>55</v>
      </c>
      <c r="Y546" s="48" t="str">
        <f t="shared" si="65"/>
        <v>APROVADO</v>
      </c>
      <c r="Z546" s="7" t="s">
        <v>56</v>
      </c>
      <c r="AA546" s="5">
        <v>11597046</v>
      </c>
      <c r="AB546" s="5" t="s">
        <v>3013</v>
      </c>
      <c r="AC546" s="5" t="s">
        <v>48</v>
      </c>
      <c r="AD546" s="5" t="s">
        <v>5530</v>
      </c>
      <c r="AE546" s="5" t="str">
        <f t="shared" ca="1" si="62"/>
        <v>NO PRAZO</v>
      </c>
      <c r="AF546" s="49"/>
    </row>
    <row r="547" spans="1:32" ht="30" customHeight="1" x14ac:dyDescent="0.25">
      <c r="A547" s="5" t="s">
        <v>5568</v>
      </c>
      <c r="B547" s="5" t="s">
        <v>1482</v>
      </c>
      <c r="C547" s="5" t="s">
        <v>5863</v>
      </c>
      <c r="D547" s="7" t="s">
        <v>171</v>
      </c>
      <c r="E547" s="7" t="s">
        <v>311</v>
      </c>
      <c r="F547" s="7" t="s">
        <v>642</v>
      </c>
      <c r="G547" s="7" t="s">
        <v>710</v>
      </c>
      <c r="H547" s="7" t="s">
        <v>10</v>
      </c>
      <c r="I547" s="7" t="s">
        <v>5569</v>
      </c>
      <c r="J547" s="7" t="s">
        <v>5569</v>
      </c>
      <c r="K547" s="5" t="s">
        <v>10</v>
      </c>
      <c r="L547" s="5" t="s">
        <v>45</v>
      </c>
      <c r="M547" s="5" t="s">
        <v>10</v>
      </c>
      <c r="N547" s="5" t="s">
        <v>10</v>
      </c>
      <c r="O547" s="46" t="s">
        <v>46</v>
      </c>
      <c r="P547" s="101">
        <v>46158</v>
      </c>
      <c r="Q547" s="100">
        <f t="shared" si="63"/>
        <v>46523</v>
      </c>
      <c r="R547" s="7" t="s">
        <v>2328</v>
      </c>
      <c r="S547" s="7" t="s">
        <v>5473</v>
      </c>
      <c r="T547" s="7">
        <v>8.5000000000000006E-2</v>
      </c>
      <c r="U547" s="7" t="s">
        <v>10</v>
      </c>
      <c r="V547" s="7">
        <f t="shared" si="64"/>
        <v>8.5000000000000006E-2</v>
      </c>
      <c r="W547" s="5">
        <v>0.5</v>
      </c>
      <c r="X547" s="5" t="s">
        <v>55</v>
      </c>
      <c r="Y547" s="48" t="str">
        <f t="shared" si="65"/>
        <v>APROVADO</v>
      </c>
      <c r="Z547" s="7" t="s">
        <v>56</v>
      </c>
      <c r="AA547" s="5">
        <v>11540642</v>
      </c>
      <c r="AB547" s="5" t="s">
        <v>2875</v>
      </c>
      <c r="AC547" s="5" t="s">
        <v>48</v>
      </c>
      <c r="AD547" s="5" t="s">
        <v>5530</v>
      </c>
      <c r="AE547" s="5" t="str">
        <f t="shared" ca="1" si="62"/>
        <v>NO PRAZO</v>
      </c>
      <c r="AF547" s="49"/>
    </row>
    <row r="548" spans="1:32" ht="30" customHeight="1" x14ac:dyDescent="0.25">
      <c r="A548" s="5" t="s">
        <v>1484</v>
      </c>
      <c r="B548" s="5" t="s">
        <v>10</v>
      </c>
      <c r="C548" s="5" t="s">
        <v>5863</v>
      </c>
      <c r="D548" s="7" t="s">
        <v>171</v>
      </c>
      <c r="E548" s="7" t="s">
        <v>311</v>
      </c>
      <c r="F548" s="7" t="s">
        <v>312</v>
      </c>
      <c r="G548" s="7" t="s">
        <v>1485</v>
      </c>
      <c r="H548" s="7" t="s">
        <v>196</v>
      </c>
      <c r="I548" s="7" t="s">
        <v>1486</v>
      </c>
      <c r="J548" s="7" t="s">
        <v>1486</v>
      </c>
      <c r="K548" s="5" t="s">
        <v>10</v>
      </c>
      <c r="L548" s="5" t="s">
        <v>45</v>
      </c>
      <c r="M548" s="5" t="s">
        <v>10</v>
      </c>
      <c r="N548" s="5" t="s">
        <v>10</v>
      </c>
      <c r="O548" s="46" t="s">
        <v>46</v>
      </c>
      <c r="P548" s="101">
        <v>45925</v>
      </c>
      <c r="Q548" s="100">
        <f t="shared" si="63"/>
        <v>46290</v>
      </c>
      <c r="R548" s="5" t="s">
        <v>1487</v>
      </c>
      <c r="S548" s="5" t="s">
        <v>3462</v>
      </c>
      <c r="T548" s="7">
        <v>0.25800000000000001</v>
      </c>
      <c r="U548" s="7" t="s">
        <v>10</v>
      </c>
      <c r="V548" s="7">
        <f t="shared" si="64"/>
        <v>0.25800000000000001</v>
      </c>
      <c r="W548" s="5">
        <v>0.5</v>
      </c>
      <c r="X548" s="5" t="s">
        <v>55</v>
      </c>
      <c r="Y548" s="48" t="str">
        <f t="shared" si="65"/>
        <v>APROVADO</v>
      </c>
      <c r="Z548" s="7" t="s">
        <v>56</v>
      </c>
      <c r="AA548" s="5">
        <v>11541690</v>
      </c>
      <c r="AB548" s="5" t="s">
        <v>3321</v>
      </c>
      <c r="AC548" s="5" t="s">
        <v>48</v>
      </c>
      <c r="AD548" s="5" t="s">
        <v>5530</v>
      </c>
      <c r="AE548" s="5" t="str">
        <f t="shared" ca="1" si="62"/>
        <v>NO PRAZO</v>
      </c>
      <c r="AF548" s="51"/>
    </row>
    <row r="549" spans="1:32" ht="30" customHeight="1" x14ac:dyDescent="0.25">
      <c r="A549" s="5" t="s">
        <v>5570</v>
      </c>
      <c r="B549" s="5" t="s">
        <v>1488</v>
      </c>
      <c r="C549" s="5" t="s">
        <v>5863</v>
      </c>
      <c r="D549" s="7" t="s">
        <v>171</v>
      </c>
      <c r="E549" s="7" t="s">
        <v>311</v>
      </c>
      <c r="F549" s="7" t="s">
        <v>642</v>
      </c>
      <c r="G549" s="7" t="s">
        <v>710</v>
      </c>
      <c r="H549" s="7" t="s">
        <v>10</v>
      </c>
      <c r="I549" s="7" t="s">
        <v>1483</v>
      </c>
      <c r="J549" s="7" t="s">
        <v>1483</v>
      </c>
      <c r="K549" s="5" t="s">
        <v>10</v>
      </c>
      <c r="L549" s="5" t="s">
        <v>45</v>
      </c>
      <c r="M549" s="5" t="s">
        <v>10</v>
      </c>
      <c r="N549" s="5" t="s">
        <v>10</v>
      </c>
      <c r="O549" s="46" t="s">
        <v>46</v>
      </c>
      <c r="P549" s="101">
        <v>46158</v>
      </c>
      <c r="Q549" s="100">
        <f t="shared" si="63"/>
        <v>46523</v>
      </c>
      <c r="R549" s="5" t="s">
        <v>2415</v>
      </c>
      <c r="S549" s="5" t="s">
        <v>5474</v>
      </c>
      <c r="T549" s="7">
        <v>5.6000000000000001E-2</v>
      </c>
      <c r="U549" s="7" t="s">
        <v>10</v>
      </c>
      <c r="V549" s="7">
        <f t="shared" si="64"/>
        <v>5.6000000000000001E-2</v>
      </c>
      <c r="W549" s="5">
        <v>0.5</v>
      </c>
      <c r="X549" s="5" t="s">
        <v>55</v>
      </c>
      <c r="Y549" s="48" t="str">
        <f t="shared" si="65"/>
        <v>APROVADO</v>
      </c>
      <c r="Z549" s="7" t="s">
        <v>56</v>
      </c>
      <c r="AA549" s="5">
        <v>11540644</v>
      </c>
      <c r="AB549" s="5" t="s">
        <v>2876</v>
      </c>
      <c r="AC549" s="5" t="s">
        <v>48</v>
      </c>
      <c r="AD549" s="5" t="s">
        <v>5530</v>
      </c>
      <c r="AE549" s="5" t="str">
        <f t="shared" ca="1" si="62"/>
        <v>NO PRAZO</v>
      </c>
      <c r="AF549" s="49"/>
    </row>
    <row r="550" spans="1:32" ht="30" customHeight="1" x14ac:dyDescent="0.25">
      <c r="A550" s="5" t="s">
        <v>5571</v>
      </c>
      <c r="B550" s="5" t="s">
        <v>1489</v>
      </c>
      <c r="C550" s="5" t="s">
        <v>5863</v>
      </c>
      <c r="D550" s="7" t="s">
        <v>171</v>
      </c>
      <c r="E550" s="7" t="s">
        <v>311</v>
      </c>
      <c r="F550" s="7" t="s">
        <v>642</v>
      </c>
      <c r="G550" s="7" t="s">
        <v>710</v>
      </c>
      <c r="H550" s="7" t="s">
        <v>10</v>
      </c>
      <c r="I550" s="7" t="s">
        <v>1483</v>
      </c>
      <c r="J550" s="7" t="s">
        <v>1483</v>
      </c>
      <c r="K550" s="5" t="s">
        <v>10</v>
      </c>
      <c r="L550" s="5" t="s">
        <v>45</v>
      </c>
      <c r="M550" s="5" t="s">
        <v>10</v>
      </c>
      <c r="N550" s="5" t="s">
        <v>10</v>
      </c>
      <c r="O550" s="46" t="s">
        <v>46</v>
      </c>
      <c r="P550" s="101">
        <v>46158</v>
      </c>
      <c r="Q550" s="100">
        <f t="shared" si="63"/>
        <v>46523</v>
      </c>
      <c r="R550" s="5" t="s">
        <v>2329</v>
      </c>
      <c r="S550" s="5" t="s">
        <v>5475</v>
      </c>
      <c r="T550" s="7">
        <v>5.6000000000000001E-2</v>
      </c>
      <c r="U550" s="7" t="s">
        <v>10</v>
      </c>
      <c r="V550" s="7">
        <f t="shared" si="64"/>
        <v>5.6000000000000001E-2</v>
      </c>
      <c r="W550" s="5">
        <v>0.5</v>
      </c>
      <c r="X550" s="5" t="s">
        <v>55</v>
      </c>
      <c r="Y550" s="48" t="str">
        <f t="shared" si="65"/>
        <v>APROVADO</v>
      </c>
      <c r="Z550" s="7" t="s">
        <v>56</v>
      </c>
      <c r="AA550" s="5">
        <v>11540645</v>
      </c>
      <c r="AB550" s="5" t="s">
        <v>2877</v>
      </c>
      <c r="AC550" s="5" t="s">
        <v>48</v>
      </c>
      <c r="AD550" s="5" t="s">
        <v>5530</v>
      </c>
      <c r="AE550" s="5" t="str">
        <f t="shared" ca="1" si="62"/>
        <v>NO PRAZO</v>
      </c>
      <c r="AF550" s="49"/>
    </row>
    <row r="551" spans="1:32" ht="30" customHeight="1" x14ac:dyDescent="0.25">
      <c r="A551" s="5" t="s">
        <v>5572</v>
      </c>
      <c r="B551" s="5" t="s">
        <v>1490</v>
      </c>
      <c r="C551" s="5" t="s">
        <v>5863</v>
      </c>
      <c r="D551" s="7" t="s">
        <v>171</v>
      </c>
      <c r="E551" s="7" t="s">
        <v>311</v>
      </c>
      <c r="F551" s="7" t="s">
        <v>642</v>
      </c>
      <c r="G551" s="7" t="s">
        <v>710</v>
      </c>
      <c r="H551" s="7" t="s">
        <v>10</v>
      </c>
      <c r="I551" s="7" t="s">
        <v>1483</v>
      </c>
      <c r="J551" s="7" t="s">
        <v>1483</v>
      </c>
      <c r="K551" s="5" t="s">
        <v>10</v>
      </c>
      <c r="L551" s="5" t="s">
        <v>45</v>
      </c>
      <c r="M551" s="5" t="s">
        <v>10</v>
      </c>
      <c r="N551" s="5" t="s">
        <v>10</v>
      </c>
      <c r="O551" s="46" t="s">
        <v>46</v>
      </c>
      <c r="P551" s="101">
        <v>46158</v>
      </c>
      <c r="Q551" s="100">
        <f t="shared" si="63"/>
        <v>46523</v>
      </c>
      <c r="R551" s="5" t="s">
        <v>2330</v>
      </c>
      <c r="S551" s="5" t="s">
        <v>5476</v>
      </c>
      <c r="T551" s="7">
        <v>7.0000000000000007E-2</v>
      </c>
      <c r="U551" s="7" t="s">
        <v>10</v>
      </c>
      <c r="V551" s="7">
        <f t="shared" si="64"/>
        <v>7.0000000000000007E-2</v>
      </c>
      <c r="W551" s="5">
        <v>0.5</v>
      </c>
      <c r="X551" s="5" t="s">
        <v>55</v>
      </c>
      <c r="Y551" s="48" t="str">
        <f t="shared" si="65"/>
        <v>APROVADO</v>
      </c>
      <c r="Z551" s="7" t="s">
        <v>56</v>
      </c>
      <c r="AA551" s="5">
        <v>11540646</v>
      </c>
      <c r="AB551" s="5" t="s">
        <v>2878</v>
      </c>
      <c r="AC551" s="5" t="s">
        <v>48</v>
      </c>
      <c r="AD551" s="5" t="s">
        <v>5530</v>
      </c>
      <c r="AE551" s="5" t="str">
        <f t="shared" ca="1" si="62"/>
        <v>NO PRAZO</v>
      </c>
      <c r="AF551" s="49"/>
    </row>
    <row r="552" spans="1:32" ht="30" customHeight="1" x14ac:dyDescent="0.25">
      <c r="A552" s="7" t="s">
        <v>2140</v>
      </c>
      <c r="B552" s="5" t="s">
        <v>10</v>
      </c>
      <c r="C552" s="5" t="s">
        <v>5863</v>
      </c>
      <c r="D552" s="7" t="s">
        <v>348</v>
      </c>
      <c r="E552" s="7" t="s">
        <v>311</v>
      </c>
      <c r="F552" s="7" t="s">
        <v>642</v>
      </c>
      <c r="G552" s="7" t="s">
        <v>2129</v>
      </c>
      <c r="H552" s="7" t="s">
        <v>10</v>
      </c>
      <c r="I552" s="7" t="s">
        <v>2133</v>
      </c>
      <c r="J552" s="7" t="s">
        <v>2135</v>
      </c>
      <c r="K552" s="5" t="s">
        <v>10</v>
      </c>
      <c r="L552" s="5" t="s">
        <v>45</v>
      </c>
      <c r="M552" s="5" t="s">
        <v>10</v>
      </c>
      <c r="N552" s="5" t="s">
        <v>10</v>
      </c>
      <c r="O552" s="95" t="s">
        <v>56</v>
      </c>
      <c r="P552" s="101">
        <v>46128</v>
      </c>
      <c r="Q552" s="100">
        <f t="shared" si="63"/>
        <v>46493</v>
      </c>
      <c r="R552" s="5" t="s">
        <v>2161</v>
      </c>
      <c r="S552" s="5" t="s">
        <v>5284</v>
      </c>
      <c r="T552" s="7">
        <v>0.27300000000000002</v>
      </c>
      <c r="U552" s="7"/>
      <c r="V552" s="7">
        <f t="shared" si="64"/>
        <v>0.27300000000000002</v>
      </c>
      <c r="W552" s="5">
        <v>0.5</v>
      </c>
      <c r="X552" s="5" t="s">
        <v>2151</v>
      </c>
      <c r="Y552" s="48" t="str">
        <f t="shared" si="65"/>
        <v>APROVADO</v>
      </c>
      <c r="Z552" s="7" t="s">
        <v>56</v>
      </c>
      <c r="AA552" s="5">
        <v>11606734</v>
      </c>
      <c r="AB552" s="5" t="s">
        <v>4208</v>
      </c>
      <c r="AC552" s="5" t="s">
        <v>48</v>
      </c>
      <c r="AD552" s="5" t="s">
        <v>5530</v>
      </c>
      <c r="AE552" s="5" t="str">
        <f t="shared" ca="1" si="62"/>
        <v>NO PRAZO</v>
      </c>
      <c r="AF552" s="49"/>
    </row>
    <row r="553" spans="1:32" ht="30" customHeight="1" x14ac:dyDescent="0.25">
      <c r="A553" s="7" t="s">
        <v>2141</v>
      </c>
      <c r="B553" s="5" t="s">
        <v>10</v>
      </c>
      <c r="C553" s="5" t="s">
        <v>5863</v>
      </c>
      <c r="D553" s="7" t="s">
        <v>348</v>
      </c>
      <c r="E553" s="7" t="s">
        <v>311</v>
      </c>
      <c r="F553" s="7" t="s">
        <v>642</v>
      </c>
      <c r="G553" s="7" t="s">
        <v>2129</v>
      </c>
      <c r="H553" s="7" t="s">
        <v>10</v>
      </c>
      <c r="I553" s="7" t="s">
        <v>2135</v>
      </c>
      <c r="J553" s="7" t="s">
        <v>2216</v>
      </c>
      <c r="K553" s="5" t="s">
        <v>10</v>
      </c>
      <c r="L553" s="5" t="s">
        <v>45</v>
      </c>
      <c r="M553" s="5" t="s">
        <v>10</v>
      </c>
      <c r="N553" s="5" t="s">
        <v>10</v>
      </c>
      <c r="O553" s="95" t="s">
        <v>56</v>
      </c>
      <c r="P553" s="101">
        <v>46128</v>
      </c>
      <c r="Q553" s="100">
        <f t="shared" si="63"/>
        <v>46493</v>
      </c>
      <c r="R553" s="5" t="s">
        <v>2162</v>
      </c>
      <c r="S553" s="5" t="s">
        <v>5285</v>
      </c>
      <c r="T553" s="7">
        <v>0.18099999999999999</v>
      </c>
      <c r="U553" s="7"/>
      <c r="V553" s="7">
        <f t="shared" si="64"/>
        <v>0.18099999999999999</v>
      </c>
      <c r="W553" s="5">
        <v>0.5</v>
      </c>
      <c r="X553" s="5" t="s">
        <v>2151</v>
      </c>
      <c r="Y553" s="48" t="str">
        <f t="shared" si="65"/>
        <v>APROVADO</v>
      </c>
      <c r="Z553" s="7" t="s">
        <v>46</v>
      </c>
      <c r="AA553" s="5">
        <v>11606735</v>
      </c>
      <c r="AB553" s="5" t="s">
        <v>4209</v>
      </c>
      <c r="AC553" s="5" t="s">
        <v>48</v>
      </c>
      <c r="AD553" s="5" t="s">
        <v>5530</v>
      </c>
      <c r="AE553" s="5" t="str">
        <f t="shared" ca="1" si="62"/>
        <v>NO PRAZO</v>
      </c>
      <c r="AF553" s="49"/>
    </row>
    <row r="554" spans="1:32" ht="30" customHeight="1" x14ac:dyDescent="0.25">
      <c r="A554" s="7" t="s">
        <v>2142</v>
      </c>
      <c r="B554" s="5" t="s">
        <v>10</v>
      </c>
      <c r="C554" s="5" t="s">
        <v>5863</v>
      </c>
      <c r="D554" s="7" t="s">
        <v>348</v>
      </c>
      <c r="E554" s="7" t="s">
        <v>311</v>
      </c>
      <c r="F554" s="7" t="s">
        <v>642</v>
      </c>
      <c r="G554" s="7" t="s">
        <v>2129</v>
      </c>
      <c r="H554" s="7" t="s">
        <v>10</v>
      </c>
      <c r="I554" s="7" t="s">
        <v>2135</v>
      </c>
      <c r="J554" s="7" t="s">
        <v>2216</v>
      </c>
      <c r="K554" s="5" t="s">
        <v>10</v>
      </c>
      <c r="L554" s="5" t="s">
        <v>45</v>
      </c>
      <c r="M554" s="5" t="s">
        <v>10</v>
      </c>
      <c r="N554" s="5" t="s">
        <v>10</v>
      </c>
      <c r="O554" s="95" t="s">
        <v>56</v>
      </c>
      <c r="P554" s="101">
        <v>46128</v>
      </c>
      <c r="Q554" s="100">
        <f t="shared" si="63"/>
        <v>46493</v>
      </c>
      <c r="R554" s="5" t="s">
        <v>2163</v>
      </c>
      <c r="S554" s="5" t="s">
        <v>5286</v>
      </c>
      <c r="T554" s="7">
        <v>0.219</v>
      </c>
      <c r="U554" s="7"/>
      <c r="V554" s="7">
        <f t="shared" si="64"/>
        <v>0.219</v>
      </c>
      <c r="W554" s="5">
        <v>0.5</v>
      </c>
      <c r="X554" s="5" t="s">
        <v>2151</v>
      </c>
      <c r="Y554" s="48" t="str">
        <f t="shared" si="65"/>
        <v>APROVADO</v>
      </c>
      <c r="Z554" s="7" t="s">
        <v>56</v>
      </c>
      <c r="AA554" s="5">
        <v>11606736</v>
      </c>
      <c r="AB554" s="5" t="s">
        <v>4210</v>
      </c>
      <c r="AC554" s="5" t="s">
        <v>48</v>
      </c>
      <c r="AD554" s="5" t="s">
        <v>5530</v>
      </c>
      <c r="AE554" s="5" t="str">
        <f t="shared" ca="1" si="62"/>
        <v>NO PRAZO</v>
      </c>
      <c r="AF554" s="49"/>
    </row>
    <row r="555" spans="1:32" ht="30" customHeight="1" x14ac:dyDescent="0.25">
      <c r="A555" s="7" t="s">
        <v>2143</v>
      </c>
      <c r="B555" s="5" t="s">
        <v>10</v>
      </c>
      <c r="C555" s="5" t="s">
        <v>5863</v>
      </c>
      <c r="D555" s="7" t="s">
        <v>348</v>
      </c>
      <c r="E555" s="7" t="s">
        <v>311</v>
      </c>
      <c r="F555" s="7" t="s">
        <v>642</v>
      </c>
      <c r="G555" s="7" t="s">
        <v>2129</v>
      </c>
      <c r="H555" s="7" t="s">
        <v>10</v>
      </c>
      <c r="I555" s="7" t="s">
        <v>2135</v>
      </c>
      <c r="J555" s="7" t="s">
        <v>2216</v>
      </c>
      <c r="K555" s="5" t="s">
        <v>10</v>
      </c>
      <c r="L555" s="5" t="s">
        <v>45</v>
      </c>
      <c r="M555" s="5" t="s">
        <v>10</v>
      </c>
      <c r="N555" s="5" t="s">
        <v>10</v>
      </c>
      <c r="O555" s="95" t="s">
        <v>56</v>
      </c>
      <c r="P555" s="101">
        <v>46128</v>
      </c>
      <c r="Q555" s="100">
        <f t="shared" si="63"/>
        <v>46493</v>
      </c>
      <c r="R555" s="5" t="s">
        <v>2164</v>
      </c>
      <c r="S555" s="5" t="s">
        <v>5288</v>
      </c>
      <c r="T555" s="7">
        <v>0.16500000000000001</v>
      </c>
      <c r="U555" s="7"/>
      <c r="V555" s="7">
        <f t="shared" si="64"/>
        <v>0.16500000000000001</v>
      </c>
      <c r="W555" s="5">
        <v>0.5</v>
      </c>
      <c r="X555" s="5" t="s">
        <v>2151</v>
      </c>
      <c r="Y555" s="48" t="str">
        <f t="shared" si="65"/>
        <v>APROVADO</v>
      </c>
      <c r="Z555" s="7" t="s">
        <v>46</v>
      </c>
      <c r="AA555" s="5">
        <v>11606737</v>
      </c>
      <c r="AB555" s="5" t="s">
        <v>4211</v>
      </c>
      <c r="AC555" s="5" t="s">
        <v>48</v>
      </c>
      <c r="AD555" s="5" t="s">
        <v>5530</v>
      </c>
      <c r="AE555" s="5" t="str">
        <f t="shared" ca="1" si="62"/>
        <v>NO PRAZO</v>
      </c>
      <c r="AF555" s="49"/>
    </row>
    <row r="556" spans="1:32" ht="30" customHeight="1" x14ac:dyDescent="0.25">
      <c r="A556" s="7" t="s">
        <v>2144</v>
      </c>
      <c r="B556" s="5" t="s">
        <v>10</v>
      </c>
      <c r="C556" s="5" t="s">
        <v>5863</v>
      </c>
      <c r="D556" s="7" t="s">
        <v>348</v>
      </c>
      <c r="E556" s="7" t="s">
        <v>311</v>
      </c>
      <c r="F556" s="7" t="s">
        <v>642</v>
      </c>
      <c r="G556" s="7" t="s">
        <v>2129</v>
      </c>
      <c r="H556" s="7" t="s">
        <v>10</v>
      </c>
      <c r="I556" s="7" t="s">
        <v>2135</v>
      </c>
      <c r="J556" s="7" t="s">
        <v>2216</v>
      </c>
      <c r="K556" s="5" t="s">
        <v>10</v>
      </c>
      <c r="L556" s="5" t="s">
        <v>45</v>
      </c>
      <c r="M556" s="5" t="s">
        <v>10</v>
      </c>
      <c r="N556" s="5" t="s">
        <v>10</v>
      </c>
      <c r="O556" s="95" t="s">
        <v>56</v>
      </c>
      <c r="P556" s="101">
        <v>46128</v>
      </c>
      <c r="Q556" s="100">
        <f t="shared" si="63"/>
        <v>46493</v>
      </c>
      <c r="R556" s="5" t="s">
        <v>2165</v>
      </c>
      <c r="S556" s="5" t="s">
        <v>5287</v>
      </c>
      <c r="T556" s="7">
        <v>0.161</v>
      </c>
      <c r="U556" s="7"/>
      <c r="V556" s="7">
        <f t="shared" si="64"/>
        <v>0.161</v>
      </c>
      <c r="W556" s="5">
        <v>0.5</v>
      </c>
      <c r="X556" s="5" t="s">
        <v>2151</v>
      </c>
      <c r="Y556" s="48" t="str">
        <f t="shared" si="65"/>
        <v>APROVADO</v>
      </c>
      <c r="Z556" s="7" t="s">
        <v>56</v>
      </c>
      <c r="AA556" s="5">
        <v>11606738</v>
      </c>
      <c r="AB556" s="5" t="s">
        <v>4212</v>
      </c>
      <c r="AC556" s="5" t="s">
        <v>48</v>
      </c>
      <c r="AD556" s="5" t="s">
        <v>5530</v>
      </c>
      <c r="AE556" s="5" t="str">
        <f t="shared" ca="1" si="62"/>
        <v>NO PRAZO</v>
      </c>
      <c r="AF556" s="49"/>
    </row>
    <row r="557" spans="1:32" ht="30" customHeight="1" x14ac:dyDescent="0.25">
      <c r="A557" s="7" t="s">
        <v>5289</v>
      </c>
      <c r="B557" s="5" t="s">
        <v>10</v>
      </c>
      <c r="C557" s="5" t="s">
        <v>5863</v>
      </c>
      <c r="D557" s="7" t="s">
        <v>348</v>
      </c>
      <c r="E557" s="7" t="s">
        <v>311</v>
      </c>
      <c r="F557" s="7" t="s">
        <v>642</v>
      </c>
      <c r="G557" s="7" t="s">
        <v>2129</v>
      </c>
      <c r="H557" s="7" t="s">
        <v>10</v>
      </c>
      <c r="I557" s="7" t="s">
        <v>2135</v>
      </c>
      <c r="J557" s="7" t="s">
        <v>2217</v>
      </c>
      <c r="K557" s="5" t="s">
        <v>10</v>
      </c>
      <c r="L557" s="5" t="s">
        <v>45</v>
      </c>
      <c r="M557" s="5" t="s">
        <v>10</v>
      </c>
      <c r="N557" s="5" t="s">
        <v>10</v>
      </c>
      <c r="O557" s="95" t="s">
        <v>56</v>
      </c>
      <c r="P557" s="101">
        <v>46128</v>
      </c>
      <c r="Q557" s="100">
        <f t="shared" si="63"/>
        <v>46493</v>
      </c>
      <c r="R557" s="5" t="s">
        <v>5290</v>
      </c>
      <c r="S557" s="5" t="s">
        <v>5291</v>
      </c>
      <c r="T557" s="7">
        <v>0.29299999999999998</v>
      </c>
      <c r="U557" s="7"/>
      <c r="V557" s="7">
        <f t="shared" si="64"/>
        <v>0.29299999999999998</v>
      </c>
      <c r="W557" s="5">
        <v>0.5</v>
      </c>
      <c r="X557" s="5" t="s">
        <v>2151</v>
      </c>
      <c r="Y557" s="48" t="str">
        <f t="shared" si="65"/>
        <v>APROVADO</v>
      </c>
      <c r="Z557" s="7" t="s">
        <v>56</v>
      </c>
      <c r="AA557" s="5" t="s">
        <v>4675</v>
      </c>
      <c r="AB557" s="5" t="s">
        <v>4675</v>
      </c>
      <c r="AC557" s="5" t="s">
        <v>48</v>
      </c>
      <c r="AD557" s="5" t="s">
        <v>5530</v>
      </c>
      <c r="AE557" s="5" t="str">
        <f t="shared" ca="1" si="62"/>
        <v>NO PRAZO</v>
      </c>
      <c r="AF557" s="49"/>
    </row>
    <row r="558" spans="1:32" ht="30" customHeight="1" x14ac:dyDescent="0.25">
      <c r="A558" s="14" t="s">
        <v>2362</v>
      </c>
      <c r="B558" s="82" t="s">
        <v>10</v>
      </c>
      <c r="C558" s="5" t="s">
        <v>5863</v>
      </c>
      <c r="D558" s="82" t="s">
        <v>588</v>
      </c>
      <c r="E558" s="82" t="s">
        <v>68</v>
      </c>
      <c r="F558" s="82" t="s">
        <v>69</v>
      </c>
      <c r="G558" s="82" t="s">
        <v>3033</v>
      </c>
      <c r="H558" s="82" t="s">
        <v>1434</v>
      </c>
      <c r="I558" s="82" t="s">
        <v>2363</v>
      </c>
      <c r="J558" s="82" t="s">
        <v>2364</v>
      </c>
      <c r="K558" s="82" t="s">
        <v>10</v>
      </c>
      <c r="L558" s="83" t="s">
        <v>45</v>
      </c>
      <c r="M558" s="82" t="s">
        <v>10</v>
      </c>
      <c r="N558" s="82" t="s">
        <v>10</v>
      </c>
      <c r="O558" s="84" t="s">
        <v>46</v>
      </c>
      <c r="P558" s="101">
        <v>46139</v>
      </c>
      <c r="Q558" s="100">
        <f t="shared" si="63"/>
        <v>46504</v>
      </c>
      <c r="R558" s="63" t="s">
        <v>2389</v>
      </c>
      <c r="S558" s="63" t="s">
        <v>5579</v>
      </c>
      <c r="T558" s="7">
        <v>0.18099999999999999</v>
      </c>
      <c r="U558" s="7"/>
      <c r="V558" s="7">
        <f t="shared" si="64"/>
        <v>0.18099999999999999</v>
      </c>
      <c r="W558" s="5">
        <v>0.5</v>
      </c>
      <c r="X558" s="85" t="s">
        <v>55</v>
      </c>
      <c r="Y558" s="48" t="str">
        <f t="shared" si="65"/>
        <v>APROVADO</v>
      </c>
      <c r="Z558" s="7" t="s">
        <v>56</v>
      </c>
      <c r="AA558" s="5">
        <v>11606643</v>
      </c>
      <c r="AB558" s="5" t="s">
        <v>4093</v>
      </c>
      <c r="AC558" s="5" t="s">
        <v>48</v>
      </c>
      <c r="AD558" s="5" t="s">
        <v>5530</v>
      </c>
      <c r="AE558" s="5" t="str">
        <f t="shared" ca="1" si="62"/>
        <v>NO PRAZO</v>
      </c>
      <c r="AF558" s="49"/>
    </row>
    <row r="559" spans="1:32" ht="30" customHeight="1" x14ac:dyDescent="0.25">
      <c r="A559" s="14" t="s">
        <v>2365</v>
      </c>
      <c r="B559" s="82" t="s">
        <v>10</v>
      </c>
      <c r="C559" s="5" t="s">
        <v>5863</v>
      </c>
      <c r="D559" s="82" t="s">
        <v>588</v>
      </c>
      <c r="E559" s="82" t="s">
        <v>68</v>
      </c>
      <c r="F559" s="82" t="s">
        <v>69</v>
      </c>
      <c r="G559" s="82" t="s">
        <v>3033</v>
      </c>
      <c r="H559" s="82" t="s">
        <v>1436</v>
      </c>
      <c r="I559" s="82" t="s">
        <v>2366</v>
      </c>
      <c r="J559" s="82" t="s">
        <v>2364</v>
      </c>
      <c r="K559" s="82" t="s">
        <v>10</v>
      </c>
      <c r="L559" s="83" t="s">
        <v>45</v>
      </c>
      <c r="M559" s="82" t="s">
        <v>10</v>
      </c>
      <c r="N559" s="82" t="s">
        <v>10</v>
      </c>
      <c r="O559" s="84" t="s">
        <v>46</v>
      </c>
      <c r="P559" s="101">
        <v>46139</v>
      </c>
      <c r="Q559" s="100">
        <f t="shared" si="63"/>
        <v>46504</v>
      </c>
      <c r="R559" s="63" t="s">
        <v>2390</v>
      </c>
      <c r="S559" s="63" t="s">
        <v>5580</v>
      </c>
      <c r="T559" s="7">
        <v>0.121</v>
      </c>
      <c r="U559" s="7"/>
      <c r="V559" s="7">
        <f t="shared" si="64"/>
        <v>0.121</v>
      </c>
      <c r="W559" s="5">
        <v>0.5</v>
      </c>
      <c r="X559" s="85" t="s">
        <v>55</v>
      </c>
      <c r="Y559" s="48" t="str">
        <f t="shared" si="65"/>
        <v>APROVADO</v>
      </c>
      <c r="Z559" s="7" t="s">
        <v>56</v>
      </c>
      <c r="AA559" s="5">
        <v>11606644</v>
      </c>
      <c r="AB559" s="5" t="s">
        <v>4094</v>
      </c>
      <c r="AC559" s="5" t="s">
        <v>48</v>
      </c>
      <c r="AD559" s="5" t="s">
        <v>5530</v>
      </c>
      <c r="AE559" s="5" t="str">
        <f t="shared" ca="1" si="62"/>
        <v>NO PRAZO</v>
      </c>
      <c r="AF559" s="49"/>
    </row>
    <row r="560" spans="1:32" ht="30" customHeight="1" x14ac:dyDescent="0.25">
      <c r="A560" s="14" t="s">
        <v>2367</v>
      </c>
      <c r="B560" s="82" t="s">
        <v>10</v>
      </c>
      <c r="C560" s="5" t="s">
        <v>5863</v>
      </c>
      <c r="D560" s="82" t="s">
        <v>588</v>
      </c>
      <c r="E560" s="82" t="s">
        <v>68</v>
      </c>
      <c r="F560" s="82" t="s">
        <v>69</v>
      </c>
      <c r="G560" s="82" t="s">
        <v>3033</v>
      </c>
      <c r="H560" s="82" t="s">
        <v>1438</v>
      </c>
      <c r="I560" s="82" t="s">
        <v>2366</v>
      </c>
      <c r="J560" s="82" t="s">
        <v>2364</v>
      </c>
      <c r="K560" s="82" t="s">
        <v>10</v>
      </c>
      <c r="L560" s="83" t="s">
        <v>45</v>
      </c>
      <c r="M560" s="82" t="s">
        <v>10</v>
      </c>
      <c r="N560" s="82" t="s">
        <v>10</v>
      </c>
      <c r="O560" s="84" t="s">
        <v>46</v>
      </c>
      <c r="P560" s="101">
        <v>46139</v>
      </c>
      <c r="Q560" s="100">
        <f t="shared" si="63"/>
        <v>46504</v>
      </c>
      <c r="R560" s="63" t="s">
        <v>2391</v>
      </c>
      <c r="S560" s="63" t="s">
        <v>5581</v>
      </c>
      <c r="T560" s="7">
        <v>0.121</v>
      </c>
      <c r="U560" s="7"/>
      <c r="V560" s="7">
        <f t="shared" si="64"/>
        <v>0.121</v>
      </c>
      <c r="W560" s="5">
        <v>0.5</v>
      </c>
      <c r="X560" s="85" t="s">
        <v>55</v>
      </c>
      <c r="Y560" s="48" t="str">
        <f t="shared" si="65"/>
        <v>APROVADO</v>
      </c>
      <c r="Z560" s="7" t="s">
        <v>56</v>
      </c>
      <c r="AA560" s="5">
        <v>11606645</v>
      </c>
      <c r="AB560" s="5" t="s">
        <v>4095</v>
      </c>
      <c r="AC560" s="5" t="s">
        <v>48</v>
      </c>
      <c r="AD560" s="5" t="s">
        <v>5530</v>
      </c>
      <c r="AE560" s="5" t="str">
        <f t="shared" ca="1" si="62"/>
        <v>NO PRAZO</v>
      </c>
      <c r="AF560" s="49"/>
    </row>
    <row r="561" spans="1:32" ht="30" customHeight="1" x14ac:dyDescent="0.25">
      <c r="A561" s="14" t="s">
        <v>2368</v>
      </c>
      <c r="B561" s="82" t="s">
        <v>10</v>
      </c>
      <c r="C561" s="5" t="s">
        <v>5863</v>
      </c>
      <c r="D561" s="82" t="s">
        <v>588</v>
      </c>
      <c r="E561" s="82" t="s">
        <v>68</v>
      </c>
      <c r="F561" s="82" t="s">
        <v>69</v>
      </c>
      <c r="G561" s="82" t="s">
        <v>3033</v>
      </c>
      <c r="H561" s="82" t="s">
        <v>1440</v>
      </c>
      <c r="I561" s="82" t="s">
        <v>2366</v>
      </c>
      <c r="J561" s="82" t="s">
        <v>2364</v>
      </c>
      <c r="K561" s="82" t="s">
        <v>10</v>
      </c>
      <c r="L561" s="83" t="s">
        <v>45</v>
      </c>
      <c r="M561" s="82" t="s">
        <v>10</v>
      </c>
      <c r="N561" s="82" t="s">
        <v>10</v>
      </c>
      <c r="O561" s="84" t="s">
        <v>46</v>
      </c>
      <c r="P561" s="101">
        <v>46139</v>
      </c>
      <c r="Q561" s="100">
        <f t="shared" si="63"/>
        <v>46504</v>
      </c>
      <c r="R561" s="63" t="s">
        <v>2392</v>
      </c>
      <c r="S561" s="63" t="s">
        <v>5582</v>
      </c>
      <c r="T561" s="7">
        <v>0.111</v>
      </c>
      <c r="U561" s="7"/>
      <c r="V561" s="7">
        <f t="shared" si="64"/>
        <v>0.111</v>
      </c>
      <c r="W561" s="5">
        <v>0.5</v>
      </c>
      <c r="X561" s="85" t="s">
        <v>55</v>
      </c>
      <c r="Y561" s="48" t="str">
        <f t="shared" si="65"/>
        <v>APROVADO</v>
      </c>
      <c r="Z561" s="7" t="s">
        <v>56</v>
      </c>
      <c r="AA561" s="5">
        <v>11606646</v>
      </c>
      <c r="AB561" s="5" t="s">
        <v>4096</v>
      </c>
      <c r="AC561" s="5" t="s">
        <v>48</v>
      </c>
      <c r="AD561" s="5" t="s">
        <v>5530</v>
      </c>
      <c r="AE561" s="5" t="str">
        <f t="shared" ca="1" si="62"/>
        <v>NO PRAZO</v>
      </c>
      <c r="AF561" s="49"/>
    </row>
    <row r="562" spans="1:32" ht="30" customHeight="1" x14ac:dyDescent="0.25">
      <c r="A562" s="14" t="s">
        <v>2369</v>
      </c>
      <c r="B562" s="82" t="s">
        <v>10</v>
      </c>
      <c r="C562" s="5" t="s">
        <v>5863</v>
      </c>
      <c r="D562" s="82" t="s">
        <v>588</v>
      </c>
      <c r="E562" s="82" t="s">
        <v>68</v>
      </c>
      <c r="F562" s="82" t="s">
        <v>69</v>
      </c>
      <c r="G562" s="82" t="s">
        <v>3033</v>
      </c>
      <c r="H562" s="82" t="s">
        <v>1445</v>
      </c>
      <c r="I562" s="82" t="s">
        <v>2366</v>
      </c>
      <c r="J562" s="82" t="s">
        <v>2364</v>
      </c>
      <c r="K562" s="82" t="s">
        <v>10</v>
      </c>
      <c r="L562" s="83" t="s">
        <v>45</v>
      </c>
      <c r="M562" s="82" t="s">
        <v>10</v>
      </c>
      <c r="N562" s="82" t="s">
        <v>10</v>
      </c>
      <c r="O562" s="84" t="s">
        <v>46</v>
      </c>
      <c r="P562" s="101">
        <v>46162</v>
      </c>
      <c r="Q562" s="100">
        <f t="shared" si="63"/>
        <v>46527</v>
      </c>
      <c r="R562" s="63" t="s">
        <v>2393</v>
      </c>
      <c r="S562" s="63" t="s">
        <v>5586</v>
      </c>
      <c r="T562" s="7">
        <v>0.17100000000000001</v>
      </c>
      <c r="U562" s="7"/>
      <c r="V562" s="7">
        <f t="shared" si="64"/>
        <v>0.17100000000000001</v>
      </c>
      <c r="W562" s="5">
        <v>0.5</v>
      </c>
      <c r="X562" s="85" t="s">
        <v>55</v>
      </c>
      <c r="Y562" s="48" t="str">
        <f t="shared" si="65"/>
        <v>APROVADO</v>
      </c>
      <c r="Z562" s="7" t="s">
        <v>46</v>
      </c>
      <c r="AA562" s="5">
        <v>11606647</v>
      </c>
      <c r="AB562" s="5" t="s">
        <v>4097</v>
      </c>
      <c r="AC562" s="5" t="s">
        <v>48</v>
      </c>
      <c r="AD562" s="5" t="s">
        <v>5530</v>
      </c>
      <c r="AE562" s="5" t="str">
        <f t="shared" ca="1" si="62"/>
        <v>NO PRAZO</v>
      </c>
      <c r="AF562" s="49"/>
    </row>
    <row r="563" spans="1:32" ht="30" customHeight="1" x14ac:dyDescent="0.25">
      <c r="A563" s="14" t="s">
        <v>2370</v>
      </c>
      <c r="B563" s="82" t="s">
        <v>10</v>
      </c>
      <c r="C563" s="5" t="s">
        <v>5863</v>
      </c>
      <c r="D563" s="82" t="s">
        <v>588</v>
      </c>
      <c r="E563" s="82" t="s">
        <v>68</v>
      </c>
      <c r="F563" s="82" t="s">
        <v>69</v>
      </c>
      <c r="G563" s="82" t="s">
        <v>3033</v>
      </c>
      <c r="H563" s="82" t="s">
        <v>1447</v>
      </c>
      <c r="I563" s="82" t="s">
        <v>2366</v>
      </c>
      <c r="J563" s="82" t="s">
        <v>2364</v>
      </c>
      <c r="K563" s="82" t="s">
        <v>10</v>
      </c>
      <c r="L563" s="83" t="s">
        <v>45</v>
      </c>
      <c r="M563" s="82" t="s">
        <v>10</v>
      </c>
      <c r="N563" s="82" t="s">
        <v>10</v>
      </c>
      <c r="O563" s="84" t="s">
        <v>46</v>
      </c>
      <c r="P563" s="101">
        <v>46139</v>
      </c>
      <c r="Q563" s="100">
        <f t="shared" si="63"/>
        <v>46504</v>
      </c>
      <c r="R563" s="63" t="s">
        <v>2378</v>
      </c>
      <c r="S563" s="63" t="s">
        <v>5583</v>
      </c>
      <c r="T563" s="7">
        <v>0.13100000000000001</v>
      </c>
      <c r="U563" s="7"/>
      <c r="V563" s="7">
        <f t="shared" si="64"/>
        <v>0.13100000000000001</v>
      </c>
      <c r="W563" s="5">
        <v>0.5</v>
      </c>
      <c r="X563" s="85" t="s">
        <v>55</v>
      </c>
      <c r="Y563" s="48" t="str">
        <f t="shared" si="65"/>
        <v>APROVADO</v>
      </c>
      <c r="Z563" s="7" t="s">
        <v>56</v>
      </c>
      <c r="AA563" s="5">
        <v>11606648</v>
      </c>
      <c r="AB563" s="5" t="s">
        <v>4098</v>
      </c>
      <c r="AC563" s="5" t="s">
        <v>48</v>
      </c>
      <c r="AD563" s="5" t="s">
        <v>5530</v>
      </c>
      <c r="AE563" s="5" t="str">
        <f t="shared" ca="1" si="62"/>
        <v>NO PRAZO</v>
      </c>
      <c r="AF563" s="49"/>
    </row>
    <row r="564" spans="1:32" ht="30" customHeight="1" x14ac:dyDescent="0.25">
      <c r="A564" s="14" t="s">
        <v>2371</v>
      </c>
      <c r="B564" s="82" t="s">
        <v>10</v>
      </c>
      <c r="C564" s="5" t="s">
        <v>5863</v>
      </c>
      <c r="D564" s="82" t="s">
        <v>588</v>
      </c>
      <c r="E564" s="82" t="s">
        <v>68</v>
      </c>
      <c r="F564" s="82" t="s">
        <v>69</v>
      </c>
      <c r="G564" s="82" t="s">
        <v>3033</v>
      </c>
      <c r="H564" s="82" t="s">
        <v>1449</v>
      </c>
      <c r="I564" s="82" t="s">
        <v>2366</v>
      </c>
      <c r="J564" s="82" t="s">
        <v>2364</v>
      </c>
      <c r="K564" s="82" t="s">
        <v>10</v>
      </c>
      <c r="L564" s="83" t="s">
        <v>45</v>
      </c>
      <c r="M564" s="82" t="s">
        <v>10</v>
      </c>
      <c r="N564" s="82" t="s">
        <v>10</v>
      </c>
      <c r="O564" s="84" t="s">
        <v>46</v>
      </c>
      <c r="P564" s="101">
        <v>46139</v>
      </c>
      <c r="Q564" s="100">
        <f t="shared" si="63"/>
        <v>46504</v>
      </c>
      <c r="R564" s="63" t="s">
        <v>2394</v>
      </c>
      <c r="S564" s="63" t="s">
        <v>5584</v>
      </c>
      <c r="T564" s="7">
        <v>0.10100000000000001</v>
      </c>
      <c r="U564" s="7"/>
      <c r="V564" s="7">
        <f t="shared" si="64"/>
        <v>0.10100000000000001</v>
      </c>
      <c r="W564" s="5">
        <v>0.5</v>
      </c>
      <c r="X564" s="85" t="s">
        <v>55</v>
      </c>
      <c r="Y564" s="48" t="str">
        <f t="shared" si="65"/>
        <v>APROVADO</v>
      </c>
      <c r="Z564" s="7" t="s">
        <v>56</v>
      </c>
      <c r="AA564" s="5">
        <v>11606649</v>
      </c>
      <c r="AB564" s="5" t="s">
        <v>4099</v>
      </c>
      <c r="AC564" s="5" t="s">
        <v>48</v>
      </c>
      <c r="AD564" s="5" t="s">
        <v>5530</v>
      </c>
      <c r="AE564" s="5" t="str">
        <f t="shared" ca="1" si="62"/>
        <v>NO PRAZO</v>
      </c>
      <c r="AF564" s="49"/>
    </row>
    <row r="565" spans="1:32" ht="30" customHeight="1" x14ac:dyDescent="0.25">
      <c r="A565" s="14" t="s">
        <v>2372</v>
      </c>
      <c r="B565" s="82" t="s">
        <v>10</v>
      </c>
      <c r="C565" s="5" t="s">
        <v>5863</v>
      </c>
      <c r="D565" s="82" t="s">
        <v>588</v>
      </c>
      <c r="E565" s="82" t="s">
        <v>68</v>
      </c>
      <c r="F565" s="82" t="s">
        <v>69</v>
      </c>
      <c r="G565" s="82" t="s">
        <v>3033</v>
      </c>
      <c r="H565" s="82" t="s">
        <v>1451</v>
      </c>
      <c r="I565" s="82" t="s">
        <v>2366</v>
      </c>
      <c r="J565" s="82" t="s">
        <v>2364</v>
      </c>
      <c r="K565" s="82" t="s">
        <v>10</v>
      </c>
      <c r="L565" s="83" t="s">
        <v>45</v>
      </c>
      <c r="M565" s="82" t="s">
        <v>10</v>
      </c>
      <c r="N565" s="82" t="s">
        <v>10</v>
      </c>
      <c r="O565" s="84" t="s">
        <v>46</v>
      </c>
      <c r="P565" s="101">
        <v>46139</v>
      </c>
      <c r="Q565" s="100">
        <f t="shared" si="63"/>
        <v>46504</v>
      </c>
      <c r="R565" s="63" t="s">
        <v>2475</v>
      </c>
      <c r="S565" s="63" t="s">
        <v>5585</v>
      </c>
      <c r="T565" s="7">
        <v>0.121</v>
      </c>
      <c r="U565" s="7"/>
      <c r="V565" s="7">
        <f t="shared" si="64"/>
        <v>0.121</v>
      </c>
      <c r="W565" s="5">
        <v>0.5</v>
      </c>
      <c r="X565" s="85" t="s">
        <v>55</v>
      </c>
      <c r="Y565" s="48" t="str">
        <f t="shared" si="65"/>
        <v>APROVADO</v>
      </c>
      <c r="Z565" s="7" t="s">
        <v>56</v>
      </c>
      <c r="AA565" s="5">
        <v>11606650</v>
      </c>
      <c r="AB565" s="5" t="s">
        <v>4100</v>
      </c>
      <c r="AC565" s="5" t="s">
        <v>48</v>
      </c>
      <c r="AD565" s="5" t="s">
        <v>5530</v>
      </c>
      <c r="AE565" s="5" t="str">
        <f t="shared" ca="1" si="62"/>
        <v>NO PRAZO</v>
      </c>
      <c r="AF565" s="49"/>
    </row>
    <row r="566" spans="1:32" ht="30" customHeight="1" x14ac:dyDescent="0.3">
      <c r="A566" s="5" t="s">
        <v>1533</v>
      </c>
      <c r="B566" s="5" t="s">
        <v>10</v>
      </c>
      <c r="C566" s="5" t="s">
        <v>5862</v>
      </c>
      <c r="D566" s="66" t="s">
        <v>588</v>
      </c>
      <c r="E566" s="7" t="s">
        <v>68</v>
      </c>
      <c r="F566" s="7" t="s">
        <v>69</v>
      </c>
      <c r="G566" s="7" t="s">
        <v>80</v>
      </c>
      <c r="H566" s="7" t="s">
        <v>1431</v>
      </c>
      <c r="I566" s="7" t="s">
        <v>339</v>
      </c>
      <c r="J566" s="7" t="s">
        <v>1420</v>
      </c>
      <c r="K566" s="5" t="s">
        <v>45</v>
      </c>
      <c r="L566" s="5" t="s">
        <v>10</v>
      </c>
      <c r="M566" s="5" t="s">
        <v>10</v>
      </c>
      <c r="N566" s="5" t="s">
        <v>10</v>
      </c>
      <c r="O566" s="46" t="s">
        <v>46</v>
      </c>
      <c r="P566" s="101">
        <v>46162</v>
      </c>
      <c r="Q566" s="100">
        <f t="shared" si="63"/>
        <v>46527</v>
      </c>
      <c r="R566" s="5" t="s">
        <v>2395</v>
      </c>
      <c r="S566" s="5" t="s">
        <v>5587</v>
      </c>
      <c r="T566" s="7">
        <v>0.19</v>
      </c>
      <c r="U566" s="7" t="s">
        <v>10</v>
      </c>
      <c r="V566" s="7">
        <f t="shared" si="64"/>
        <v>0.19</v>
      </c>
      <c r="W566" s="5">
        <v>0.5</v>
      </c>
      <c r="X566" s="5" t="s">
        <v>55</v>
      </c>
      <c r="Y566" s="48" t="str">
        <f t="shared" si="65"/>
        <v>APROVADO</v>
      </c>
      <c r="Z566" s="7" t="s">
        <v>56</v>
      </c>
      <c r="AA566" s="5">
        <v>11604395</v>
      </c>
      <c r="AB566" s="5" t="s">
        <v>2955</v>
      </c>
      <c r="AC566" s="5" t="s">
        <v>48</v>
      </c>
      <c r="AD566" s="5" t="s">
        <v>5530</v>
      </c>
      <c r="AE566" s="5" t="str">
        <f t="shared" ca="1" si="62"/>
        <v>NO PRAZO</v>
      </c>
      <c r="AF566" s="51"/>
    </row>
    <row r="567" spans="1:32" ht="30" customHeight="1" x14ac:dyDescent="0.3">
      <c r="A567" s="5" t="s">
        <v>1534</v>
      </c>
      <c r="B567" s="5" t="s">
        <v>10</v>
      </c>
      <c r="C567" s="5" t="s">
        <v>5862</v>
      </c>
      <c r="D567" s="66" t="s">
        <v>588</v>
      </c>
      <c r="E567" s="7" t="s">
        <v>68</v>
      </c>
      <c r="F567" s="7" t="s">
        <v>69</v>
      </c>
      <c r="G567" s="7" t="s">
        <v>80</v>
      </c>
      <c r="H567" s="7" t="s">
        <v>3053</v>
      </c>
      <c r="I567" s="7" t="s">
        <v>339</v>
      </c>
      <c r="J567" s="7" t="s">
        <v>1420</v>
      </c>
      <c r="K567" s="5" t="s">
        <v>45</v>
      </c>
      <c r="L567" s="5" t="s">
        <v>10</v>
      </c>
      <c r="M567" s="5" t="s">
        <v>10</v>
      </c>
      <c r="N567" s="5" t="s">
        <v>10</v>
      </c>
      <c r="O567" s="46" t="s">
        <v>46</v>
      </c>
      <c r="P567" s="101">
        <v>46162</v>
      </c>
      <c r="Q567" s="100">
        <f t="shared" si="63"/>
        <v>46527</v>
      </c>
      <c r="R567" s="5" t="s">
        <v>2396</v>
      </c>
      <c r="S567" s="5" t="s">
        <v>5588</v>
      </c>
      <c r="T567" s="7">
        <v>0.19</v>
      </c>
      <c r="U567" s="7" t="s">
        <v>10</v>
      </c>
      <c r="V567" s="7">
        <f t="shared" si="64"/>
        <v>0.19</v>
      </c>
      <c r="W567" s="5">
        <v>0.5</v>
      </c>
      <c r="X567" s="5" t="s">
        <v>55</v>
      </c>
      <c r="Y567" s="48" t="str">
        <f t="shared" si="65"/>
        <v>APROVADO</v>
      </c>
      <c r="Z567" s="7" t="s">
        <v>56</v>
      </c>
      <c r="AA567" s="5">
        <v>11604396</v>
      </c>
      <c r="AB567" s="5" t="s">
        <v>2956</v>
      </c>
      <c r="AC567" s="5" t="s">
        <v>48</v>
      </c>
      <c r="AD567" s="5" t="s">
        <v>5530</v>
      </c>
      <c r="AE567" s="5" t="str">
        <f t="shared" ca="1" si="62"/>
        <v>NO PRAZO</v>
      </c>
      <c r="AF567" s="51"/>
    </row>
    <row r="568" spans="1:32" ht="30" customHeight="1" x14ac:dyDescent="0.3">
      <c r="A568" s="5" t="s">
        <v>1535</v>
      </c>
      <c r="B568" s="5" t="s">
        <v>10</v>
      </c>
      <c r="C568" s="5" t="s">
        <v>5863</v>
      </c>
      <c r="D568" s="66" t="s">
        <v>588</v>
      </c>
      <c r="E568" s="7" t="s">
        <v>68</v>
      </c>
      <c r="F568" s="7" t="s">
        <v>69</v>
      </c>
      <c r="G568" s="7" t="s">
        <v>80</v>
      </c>
      <c r="H568" s="7" t="s">
        <v>1438</v>
      </c>
      <c r="I568" s="7" t="s">
        <v>339</v>
      </c>
      <c r="J568" s="7" t="s">
        <v>1420</v>
      </c>
      <c r="K568" s="5" t="s">
        <v>10</v>
      </c>
      <c r="L568" s="5" t="s">
        <v>45</v>
      </c>
      <c r="M568" s="5" t="s">
        <v>10</v>
      </c>
      <c r="N568" s="5" t="s">
        <v>10</v>
      </c>
      <c r="O568" s="46" t="s">
        <v>46</v>
      </c>
      <c r="P568" s="101">
        <v>46154</v>
      </c>
      <c r="Q568" s="100">
        <f t="shared" si="63"/>
        <v>46519</v>
      </c>
      <c r="R568" s="5" t="s">
        <v>2264</v>
      </c>
      <c r="S568" s="5" t="s">
        <v>5589</v>
      </c>
      <c r="T568" s="7">
        <v>0.17</v>
      </c>
      <c r="U568" s="7" t="s">
        <v>10</v>
      </c>
      <c r="V568" s="7">
        <f t="shared" si="64"/>
        <v>0.17</v>
      </c>
      <c r="W568" s="5">
        <v>0.5</v>
      </c>
      <c r="X568" s="5" t="s">
        <v>55</v>
      </c>
      <c r="Y568" s="48" t="str">
        <f t="shared" si="65"/>
        <v>APROVADO</v>
      </c>
      <c r="Z568" s="7" t="s">
        <v>56</v>
      </c>
      <c r="AA568" s="5">
        <v>11606705</v>
      </c>
      <c r="AB568" s="5" t="s">
        <v>4156</v>
      </c>
      <c r="AC568" s="5" t="s">
        <v>48</v>
      </c>
      <c r="AD568" s="5" t="s">
        <v>5530</v>
      </c>
      <c r="AE568" s="5" t="str">
        <f t="shared" ca="1" si="62"/>
        <v>NO PRAZO</v>
      </c>
      <c r="AF568" s="51"/>
    </row>
    <row r="569" spans="1:32" ht="30" customHeight="1" x14ac:dyDescent="0.3">
      <c r="A569" s="5" t="s">
        <v>1536</v>
      </c>
      <c r="B569" s="5" t="s">
        <v>10</v>
      </c>
      <c r="C569" s="5" t="s">
        <v>5863</v>
      </c>
      <c r="D569" s="66" t="s">
        <v>588</v>
      </c>
      <c r="E569" s="7" t="s">
        <v>68</v>
      </c>
      <c r="F569" s="7" t="s">
        <v>69</v>
      </c>
      <c r="G569" s="7" t="s">
        <v>80</v>
      </c>
      <c r="H569" s="7" t="s">
        <v>1449</v>
      </c>
      <c r="I569" s="7" t="s">
        <v>339</v>
      </c>
      <c r="J569" s="7" t="s">
        <v>1420</v>
      </c>
      <c r="K569" s="5" t="s">
        <v>10</v>
      </c>
      <c r="L569" s="5" t="s">
        <v>45</v>
      </c>
      <c r="M569" s="5" t="s">
        <v>10</v>
      </c>
      <c r="N569" s="5" t="s">
        <v>10</v>
      </c>
      <c r="O569" s="46" t="s">
        <v>46</v>
      </c>
      <c r="P569" s="101">
        <v>46154</v>
      </c>
      <c r="Q569" s="100">
        <f t="shared" si="63"/>
        <v>46519</v>
      </c>
      <c r="R569" s="5" t="s">
        <v>2265</v>
      </c>
      <c r="S569" s="5" t="s">
        <v>5590</v>
      </c>
      <c r="T569" s="7">
        <v>0.151</v>
      </c>
      <c r="U569" s="7" t="s">
        <v>10</v>
      </c>
      <c r="V569" s="7">
        <f t="shared" si="64"/>
        <v>0.151</v>
      </c>
      <c r="W569" s="5">
        <v>0.5</v>
      </c>
      <c r="X569" s="5" t="s">
        <v>55</v>
      </c>
      <c r="Y569" s="48" t="str">
        <f t="shared" si="65"/>
        <v>APROVADO</v>
      </c>
      <c r="Z569" s="7" t="s">
        <v>56</v>
      </c>
      <c r="AA569" s="5">
        <v>11606706</v>
      </c>
      <c r="AB569" s="5" t="s">
        <v>4157</v>
      </c>
      <c r="AC569" s="5" t="s">
        <v>48</v>
      </c>
      <c r="AD569" s="5" t="s">
        <v>5530</v>
      </c>
      <c r="AE569" s="5" t="str">
        <f t="shared" ca="1" si="62"/>
        <v>NO PRAZO</v>
      </c>
      <c r="AF569" s="51"/>
    </row>
    <row r="570" spans="1:32" ht="30" customHeight="1" x14ac:dyDescent="0.25">
      <c r="A570" s="5" t="s">
        <v>2479</v>
      </c>
      <c r="B570" s="5" t="s">
        <v>10</v>
      </c>
      <c r="C570" s="5" t="s">
        <v>5862</v>
      </c>
      <c r="D570" s="7" t="s">
        <v>588</v>
      </c>
      <c r="E570" s="7" t="s">
        <v>68</v>
      </c>
      <c r="F570" s="7" t="s">
        <v>69</v>
      </c>
      <c r="G570" s="7" t="s">
        <v>80</v>
      </c>
      <c r="H570" s="7" t="s">
        <v>2485</v>
      </c>
      <c r="I570" s="7" t="s">
        <v>2480</v>
      </c>
      <c r="J570" s="7" t="s">
        <v>2364</v>
      </c>
      <c r="K570" s="5" t="s">
        <v>45</v>
      </c>
      <c r="L570" s="5" t="s">
        <v>10</v>
      </c>
      <c r="M570" s="5" t="s">
        <v>10</v>
      </c>
      <c r="N570" s="5" t="s">
        <v>10</v>
      </c>
      <c r="O570" s="86" t="s">
        <v>46</v>
      </c>
      <c r="P570" s="101">
        <v>46162</v>
      </c>
      <c r="Q570" s="100">
        <f t="shared" si="63"/>
        <v>46527</v>
      </c>
      <c r="R570" s="5" t="s">
        <v>2483</v>
      </c>
      <c r="S570" s="5" t="s">
        <v>5798</v>
      </c>
      <c r="T570" s="7">
        <v>0.19</v>
      </c>
      <c r="U570" s="7"/>
      <c r="V570" s="7">
        <f t="shared" si="64"/>
        <v>0.19</v>
      </c>
      <c r="W570" s="5">
        <v>0.5</v>
      </c>
      <c r="X570" s="5" t="s">
        <v>55</v>
      </c>
      <c r="Y570" s="48" t="str">
        <f t="shared" si="65"/>
        <v>APROVADO</v>
      </c>
      <c r="Z570" s="7" t="s">
        <v>56</v>
      </c>
      <c r="AA570" s="5">
        <v>11606703</v>
      </c>
      <c r="AB570" s="5" t="s">
        <v>4154</v>
      </c>
      <c r="AC570" s="5" t="s">
        <v>48</v>
      </c>
      <c r="AD570" s="5" t="s">
        <v>5530</v>
      </c>
      <c r="AE570" s="5" t="str">
        <f t="shared" ca="1" si="62"/>
        <v>NO PRAZO</v>
      </c>
      <c r="AF570" s="51"/>
    </row>
    <row r="571" spans="1:32" ht="30" customHeight="1" x14ac:dyDescent="0.25">
      <c r="A571" s="5" t="s">
        <v>1548</v>
      </c>
      <c r="B571" s="5" t="s">
        <v>10</v>
      </c>
      <c r="C571" s="5" t="s">
        <v>5864</v>
      </c>
      <c r="D571" s="7" t="s">
        <v>1549</v>
      </c>
      <c r="E571" s="7" t="s">
        <v>256</v>
      </c>
      <c r="F571" s="7" t="s">
        <v>257</v>
      </c>
      <c r="G571" s="7" t="s">
        <v>1549</v>
      </c>
      <c r="H571" s="7" t="s">
        <v>1549</v>
      </c>
      <c r="I571" s="7" t="s">
        <v>1550</v>
      </c>
      <c r="J571" s="7" t="s">
        <v>1551</v>
      </c>
      <c r="K571" s="5" t="s">
        <v>10</v>
      </c>
      <c r="L571" s="5" t="s">
        <v>45</v>
      </c>
      <c r="M571" s="5" t="s">
        <v>10</v>
      </c>
      <c r="N571" s="5" t="s">
        <v>10</v>
      </c>
      <c r="O571" s="46" t="s">
        <v>46</v>
      </c>
      <c r="P571" s="101">
        <v>45967</v>
      </c>
      <c r="Q571" s="100">
        <f t="shared" si="63"/>
        <v>46332</v>
      </c>
      <c r="R571" s="5" t="s">
        <v>1741</v>
      </c>
      <c r="S571" s="5" t="s">
        <v>3781</v>
      </c>
      <c r="T571" s="7">
        <v>0.62</v>
      </c>
      <c r="U571" s="7" t="s">
        <v>10</v>
      </c>
      <c r="V571" s="7">
        <f t="shared" si="64"/>
        <v>0.62</v>
      </c>
      <c r="W571" s="5" t="s">
        <v>10</v>
      </c>
      <c r="X571" s="5" t="s">
        <v>330</v>
      </c>
      <c r="Y571" s="48" t="str">
        <f t="shared" si="65"/>
        <v>A DEFINIR</v>
      </c>
      <c r="Z571" s="7" t="s">
        <v>56</v>
      </c>
      <c r="AA571" s="5">
        <v>11599738</v>
      </c>
      <c r="AB571" s="5" t="s">
        <v>3951</v>
      </c>
      <c r="AC571" s="5" t="s">
        <v>48</v>
      </c>
      <c r="AD571" s="5" t="s">
        <v>5530</v>
      </c>
      <c r="AE571" s="5" t="str">
        <f t="shared" ca="1" si="62"/>
        <v>NO PRAZO</v>
      </c>
      <c r="AF571" s="49"/>
    </row>
    <row r="572" spans="1:32" ht="30" customHeight="1" x14ac:dyDescent="0.25">
      <c r="A572" s="5" t="s">
        <v>1552</v>
      </c>
      <c r="B572" s="5" t="s">
        <v>10</v>
      </c>
      <c r="C572" s="5" t="s">
        <v>5864</v>
      </c>
      <c r="D572" s="7" t="s">
        <v>1549</v>
      </c>
      <c r="E572" s="7" t="s">
        <v>256</v>
      </c>
      <c r="F572" s="7" t="s">
        <v>257</v>
      </c>
      <c r="G572" s="7" t="s">
        <v>1549</v>
      </c>
      <c r="H572" s="7" t="s">
        <v>1549</v>
      </c>
      <c r="I572" s="7" t="s">
        <v>1550</v>
      </c>
      <c r="J572" s="7" t="s">
        <v>1551</v>
      </c>
      <c r="K572" s="5" t="s">
        <v>10</v>
      </c>
      <c r="L572" s="5" t="s">
        <v>45</v>
      </c>
      <c r="M572" s="5" t="s">
        <v>10</v>
      </c>
      <c r="N572" s="5" t="s">
        <v>10</v>
      </c>
      <c r="O572" s="46" t="s">
        <v>46</v>
      </c>
      <c r="P572" s="101">
        <v>45967</v>
      </c>
      <c r="Q572" s="100">
        <f t="shared" si="63"/>
        <v>46332</v>
      </c>
      <c r="R572" s="5" t="s">
        <v>1742</v>
      </c>
      <c r="S572" s="5" t="s">
        <v>3782</v>
      </c>
      <c r="T572" s="7">
        <v>0.62</v>
      </c>
      <c r="U572" s="7" t="s">
        <v>10</v>
      </c>
      <c r="V572" s="7">
        <f t="shared" si="64"/>
        <v>0.62</v>
      </c>
      <c r="W572" s="5" t="s">
        <v>10</v>
      </c>
      <c r="X572" s="5" t="s">
        <v>330</v>
      </c>
      <c r="Y572" s="48" t="str">
        <f t="shared" si="65"/>
        <v>A DEFINIR</v>
      </c>
      <c r="Z572" s="7" t="s">
        <v>56</v>
      </c>
      <c r="AA572" s="5">
        <v>11599739</v>
      </c>
      <c r="AB572" s="5" t="s">
        <v>3952</v>
      </c>
      <c r="AC572" s="5" t="s">
        <v>48</v>
      </c>
      <c r="AD572" s="5" t="s">
        <v>5530</v>
      </c>
      <c r="AE572" s="5" t="str">
        <f t="shared" ca="1" si="62"/>
        <v>NO PRAZO</v>
      </c>
      <c r="AF572" s="49"/>
    </row>
    <row r="573" spans="1:32" ht="30" customHeight="1" x14ac:dyDescent="0.25">
      <c r="A573" s="5" t="s">
        <v>1747</v>
      </c>
      <c r="B573" s="5" t="s">
        <v>10</v>
      </c>
      <c r="C573" s="5" t="s">
        <v>5864</v>
      </c>
      <c r="D573" s="7" t="s">
        <v>3986</v>
      </c>
      <c r="E573" s="7" t="s">
        <v>256</v>
      </c>
      <c r="F573" s="7" t="s">
        <v>312</v>
      </c>
      <c r="G573" s="7" t="s">
        <v>3986</v>
      </c>
      <c r="H573" s="7" t="s">
        <v>3986</v>
      </c>
      <c r="I573" s="62" t="s">
        <v>1795</v>
      </c>
      <c r="J573" s="62" t="s">
        <v>1796</v>
      </c>
      <c r="K573" s="5" t="s">
        <v>10</v>
      </c>
      <c r="L573" s="5" t="s">
        <v>45</v>
      </c>
      <c r="M573" s="5" t="s">
        <v>10</v>
      </c>
      <c r="N573" s="5" t="s">
        <v>10</v>
      </c>
      <c r="O573" s="46" t="s">
        <v>46</v>
      </c>
      <c r="P573" s="101">
        <v>45967</v>
      </c>
      <c r="Q573" s="100">
        <f t="shared" si="63"/>
        <v>46332</v>
      </c>
      <c r="R573" s="82" t="s">
        <v>1748</v>
      </c>
      <c r="S573" s="82" t="s">
        <v>3784</v>
      </c>
      <c r="T573" s="7">
        <v>0.63</v>
      </c>
      <c r="U573" s="7" t="s">
        <v>10</v>
      </c>
      <c r="V573" s="7">
        <f t="shared" si="64"/>
        <v>0.63</v>
      </c>
      <c r="W573" s="5" t="s">
        <v>10</v>
      </c>
      <c r="X573" s="5" t="s">
        <v>55</v>
      </c>
      <c r="Y573" s="48" t="str">
        <f t="shared" si="65"/>
        <v>A DEFINIR</v>
      </c>
      <c r="Z573" s="7" t="s">
        <v>56</v>
      </c>
      <c r="AA573" s="5">
        <v>11599811</v>
      </c>
      <c r="AB573" s="5" t="s">
        <v>3954</v>
      </c>
      <c r="AC573" s="5" t="s">
        <v>48</v>
      </c>
      <c r="AD573" s="5" t="s">
        <v>5530</v>
      </c>
      <c r="AE573" s="5" t="str">
        <f t="shared" ca="1" si="62"/>
        <v>NO PRAZO</v>
      </c>
      <c r="AF573" s="49"/>
    </row>
    <row r="574" spans="1:32" ht="30" customHeight="1" x14ac:dyDescent="0.25">
      <c r="A574" s="5" t="s">
        <v>1749</v>
      </c>
      <c r="B574" s="5" t="s">
        <v>10</v>
      </c>
      <c r="C574" s="5" t="s">
        <v>5864</v>
      </c>
      <c r="D574" s="7" t="s">
        <v>3986</v>
      </c>
      <c r="E574" s="7" t="s">
        <v>256</v>
      </c>
      <c r="F574" s="7" t="s">
        <v>312</v>
      </c>
      <c r="G574" s="7" t="s">
        <v>3986</v>
      </c>
      <c r="H574" s="7" t="s">
        <v>3986</v>
      </c>
      <c r="I574" s="62" t="s">
        <v>1797</v>
      </c>
      <c r="J574" s="62" t="s">
        <v>1796</v>
      </c>
      <c r="K574" s="5" t="s">
        <v>10</v>
      </c>
      <c r="L574" s="5" t="s">
        <v>45</v>
      </c>
      <c r="M574" s="5" t="s">
        <v>10</v>
      </c>
      <c r="N574" s="5" t="s">
        <v>10</v>
      </c>
      <c r="O574" s="46" t="s">
        <v>46</v>
      </c>
      <c r="P574" s="101">
        <v>45967</v>
      </c>
      <c r="Q574" s="100">
        <f t="shared" si="63"/>
        <v>46332</v>
      </c>
      <c r="R574" s="82" t="s">
        <v>1750</v>
      </c>
      <c r="S574" s="82" t="s">
        <v>3783</v>
      </c>
      <c r="T574" s="7">
        <v>0.72</v>
      </c>
      <c r="U574" s="7"/>
      <c r="V574" s="7">
        <f t="shared" si="64"/>
        <v>0.72</v>
      </c>
      <c r="W574" s="5" t="s">
        <v>10</v>
      </c>
      <c r="X574" s="5" t="s">
        <v>55</v>
      </c>
      <c r="Y574" s="48" t="str">
        <f t="shared" si="65"/>
        <v>A DEFINIR</v>
      </c>
      <c r="Z574" s="7" t="s">
        <v>56</v>
      </c>
      <c r="AA574" s="5">
        <v>11606077</v>
      </c>
      <c r="AB574" s="5" t="s">
        <v>3953</v>
      </c>
      <c r="AC574" s="5" t="s">
        <v>48</v>
      </c>
      <c r="AD574" s="5" t="s">
        <v>5530</v>
      </c>
      <c r="AE574" s="5" t="str">
        <f t="shared" ca="1" si="62"/>
        <v>NO PRAZO</v>
      </c>
      <c r="AF574" s="49"/>
    </row>
    <row r="575" spans="1:32" ht="30" customHeight="1" x14ac:dyDescent="0.25">
      <c r="A575" s="5" t="s">
        <v>1553</v>
      </c>
      <c r="B575" s="5" t="s">
        <v>10</v>
      </c>
      <c r="C575" s="5" t="s">
        <v>5863</v>
      </c>
      <c r="D575" s="7" t="s">
        <v>1554</v>
      </c>
      <c r="E575" s="7" t="s">
        <v>311</v>
      </c>
      <c r="F575" s="7" t="s">
        <v>642</v>
      </c>
      <c r="G575" s="7" t="s">
        <v>713</v>
      </c>
      <c r="H575" s="7" t="s">
        <v>10</v>
      </c>
      <c r="I575" s="7" t="s">
        <v>101</v>
      </c>
      <c r="J575" s="62" t="s">
        <v>1555</v>
      </c>
      <c r="K575" s="5" t="s">
        <v>10</v>
      </c>
      <c r="L575" s="5" t="s">
        <v>45</v>
      </c>
      <c r="M575" s="5" t="s">
        <v>10</v>
      </c>
      <c r="N575" s="5" t="s">
        <v>10</v>
      </c>
      <c r="O575" s="46" t="s">
        <v>46</v>
      </c>
      <c r="P575" s="101">
        <v>46079</v>
      </c>
      <c r="Q575" s="100">
        <f t="shared" si="63"/>
        <v>46444</v>
      </c>
      <c r="R575" s="63" t="s">
        <v>2017</v>
      </c>
      <c r="S575" s="63" t="s">
        <v>4961</v>
      </c>
      <c r="T575" s="7">
        <v>0.316</v>
      </c>
      <c r="U575" s="7" t="s">
        <v>10</v>
      </c>
      <c r="V575" s="7">
        <f t="shared" si="64"/>
        <v>0.316</v>
      </c>
      <c r="W575" s="5">
        <v>0.5</v>
      </c>
      <c r="X575" s="5" t="s">
        <v>55</v>
      </c>
      <c r="Y575" s="48" t="str">
        <f t="shared" si="65"/>
        <v>APROVADO</v>
      </c>
      <c r="Z575" s="7" t="s">
        <v>56</v>
      </c>
      <c r="AA575" s="5">
        <v>11604411</v>
      </c>
      <c r="AB575" s="5" t="s">
        <v>2580</v>
      </c>
      <c r="AC575" s="5" t="s">
        <v>48</v>
      </c>
      <c r="AD575" s="5" t="s">
        <v>5530</v>
      </c>
      <c r="AE575" s="5" t="str">
        <f t="shared" ca="1" si="62"/>
        <v>NO PRAZO</v>
      </c>
      <c r="AF575" s="49"/>
    </row>
    <row r="576" spans="1:32" ht="30" customHeight="1" x14ac:dyDescent="0.25">
      <c r="A576" s="9" t="s">
        <v>1556</v>
      </c>
      <c r="B576" s="5" t="s">
        <v>10</v>
      </c>
      <c r="C576" s="5" t="s">
        <v>5862</v>
      </c>
      <c r="D576" s="7" t="s">
        <v>151</v>
      </c>
      <c r="E576" s="7" t="s">
        <v>68</v>
      </c>
      <c r="F576" s="7" t="s">
        <v>86</v>
      </c>
      <c r="G576" s="61" t="s">
        <v>342</v>
      </c>
      <c r="H576" s="61" t="s">
        <v>10</v>
      </c>
      <c r="I576" s="61" t="s">
        <v>199</v>
      </c>
      <c r="J576" s="62" t="s">
        <v>1557</v>
      </c>
      <c r="K576" s="7" t="s">
        <v>45</v>
      </c>
      <c r="L576" s="7" t="s">
        <v>10</v>
      </c>
      <c r="M576" s="7" t="s">
        <v>10</v>
      </c>
      <c r="N576" s="7" t="s">
        <v>10</v>
      </c>
      <c r="O576" s="86" t="s">
        <v>46</v>
      </c>
      <c r="P576" s="99">
        <v>46154</v>
      </c>
      <c r="Q576" s="100">
        <f t="shared" si="63"/>
        <v>46519</v>
      </c>
      <c r="R576" s="63" t="s">
        <v>5411</v>
      </c>
      <c r="S576" s="63" t="s">
        <v>5411</v>
      </c>
      <c r="T576" s="7">
        <v>0.30099999999999999</v>
      </c>
      <c r="U576" s="5" t="s">
        <v>10</v>
      </c>
      <c r="V576" s="7">
        <f t="shared" si="64"/>
        <v>0.30099999999999999</v>
      </c>
      <c r="W576" s="5">
        <v>0.5</v>
      </c>
      <c r="X576" s="5" t="s">
        <v>55</v>
      </c>
      <c r="Y576" s="48" t="str">
        <f t="shared" si="65"/>
        <v>APROVADO</v>
      </c>
      <c r="Z576" s="7" t="s">
        <v>56</v>
      </c>
      <c r="AA576" s="5">
        <v>11604005</v>
      </c>
      <c r="AB576" s="5" t="s">
        <v>4159</v>
      </c>
      <c r="AC576" s="5" t="s">
        <v>48</v>
      </c>
      <c r="AD576" s="5" t="s">
        <v>5530</v>
      </c>
      <c r="AE576" s="5" t="str">
        <f t="shared" ca="1" si="62"/>
        <v>NO PRAZO</v>
      </c>
      <c r="AF576" s="51"/>
    </row>
    <row r="577" spans="1:32" ht="30" customHeight="1" x14ac:dyDescent="0.25">
      <c r="A577" s="9" t="s">
        <v>3238</v>
      </c>
      <c r="B577" s="5" t="s">
        <v>10</v>
      </c>
      <c r="C577" s="5" t="s">
        <v>5863</v>
      </c>
      <c r="D577" s="61" t="s">
        <v>151</v>
      </c>
      <c r="E577" s="7" t="s">
        <v>68</v>
      </c>
      <c r="F577" s="7" t="s">
        <v>86</v>
      </c>
      <c r="G577" s="61" t="s">
        <v>342</v>
      </c>
      <c r="H577" s="61" t="s">
        <v>1422</v>
      </c>
      <c r="I577" s="61" t="s">
        <v>199</v>
      </c>
      <c r="J577" s="62" t="s">
        <v>1420</v>
      </c>
      <c r="K577" s="5" t="s">
        <v>10</v>
      </c>
      <c r="L577" s="5" t="s">
        <v>10</v>
      </c>
      <c r="M577" s="5" t="s">
        <v>10</v>
      </c>
      <c r="N577" s="5" t="s">
        <v>45</v>
      </c>
      <c r="O577" s="80" t="s">
        <v>56</v>
      </c>
      <c r="P577" s="99">
        <v>46158</v>
      </c>
      <c r="Q577" s="100">
        <f t="shared" si="63"/>
        <v>46523</v>
      </c>
      <c r="R577" s="63" t="s">
        <v>2294</v>
      </c>
      <c r="S577" s="63" t="s">
        <v>5412</v>
      </c>
      <c r="T577" s="7">
        <v>0.23499999999999999</v>
      </c>
      <c r="U577" s="7" t="s">
        <v>10</v>
      </c>
      <c r="V577" s="7">
        <f t="shared" si="64"/>
        <v>0.23499999999999999</v>
      </c>
      <c r="W577" s="5">
        <v>0.5</v>
      </c>
      <c r="X577" s="5" t="s">
        <v>55</v>
      </c>
      <c r="Y577" s="48" t="str">
        <f t="shared" si="65"/>
        <v>APROVADO</v>
      </c>
      <c r="Z577" s="7" t="s">
        <v>56</v>
      </c>
      <c r="AA577" s="5">
        <v>11604080</v>
      </c>
      <c r="AB577" s="5" t="s">
        <v>4160</v>
      </c>
      <c r="AC577" s="5" t="s">
        <v>48</v>
      </c>
      <c r="AD577" s="5" t="s">
        <v>5530</v>
      </c>
      <c r="AE577" s="5" t="str">
        <f t="shared" ca="1" si="62"/>
        <v>NO PRAZO</v>
      </c>
      <c r="AF577" s="51"/>
    </row>
    <row r="578" spans="1:32" ht="30" customHeight="1" x14ac:dyDescent="0.25">
      <c r="A578" s="9" t="s">
        <v>3239</v>
      </c>
      <c r="B578" s="5" t="s">
        <v>10</v>
      </c>
      <c r="C578" s="5" t="s">
        <v>5863</v>
      </c>
      <c r="D578" s="61" t="s">
        <v>151</v>
      </c>
      <c r="E578" s="7" t="s">
        <v>68</v>
      </c>
      <c r="F578" s="7" t="s">
        <v>86</v>
      </c>
      <c r="G578" s="61" t="s">
        <v>342</v>
      </c>
      <c r="H578" s="61" t="s">
        <v>1423</v>
      </c>
      <c r="I578" s="61" t="s">
        <v>199</v>
      </c>
      <c r="J578" s="62" t="s">
        <v>1420</v>
      </c>
      <c r="K578" s="5" t="s">
        <v>10</v>
      </c>
      <c r="L578" s="5" t="s">
        <v>10</v>
      </c>
      <c r="M578" s="5" t="s">
        <v>10</v>
      </c>
      <c r="N578" s="5" t="s">
        <v>45</v>
      </c>
      <c r="O578" s="80" t="s">
        <v>56</v>
      </c>
      <c r="P578" s="99">
        <v>46154</v>
      </c>
      <c r="Q578" s="100">
        <f t="shared" si="63"/>
        <v>46519</v>
      </c>
      <c r="R578" s="63" t="s">
        <v>2295</v>
      </c>
      <c r="S578" s="63" t="s">
        <v>5413</v>
      </c>
      <c r="T578" s="7">
        <v>0.36799999999999999</v>
      </c>
      <c r="U578" s="7" t="s">
        <v>10</v>
      </c>
      <c r="V578" s="7">
        <f t="shared" si="64"/>
        <v>0.36799999999999999</v>
      </c>
      <c r="W578" s="5">
        <v>0.5</v>
      </c>
      <c r="X578" s="5" t="s">
        <v>55</v>
      </c>
      <c r="Y578" s="48" t="str">
        <f t="shared" si="65"/>
        <v>APROVADO</v>
      </c>
      <c r="Z578" s="7" t="s">
        <v>56</v>
      </c>
      <c r="AA578" s="5">
        <v>11604081</v>
      </c>
      <c r="AB578" s="5" t="s">
        <v>4161</v>
      </c>
      <c r="AC578" s="5" t="s">
        <v>48</v>
      </c>
      <c r="AD578" s="5" t="s">
        <v>5530</v>
      </c>
      <c r="AE578" s="5" t="str">
        <f t="shared" ca="1" si="62"/>
        <v>NO PRAZO</v>
      </c>
      <c r="AF578" s="51"/>
    </row>
    <row r="579" spans="1:32" ht="30" customHeight="1" x14ac:dyDescent="0.25">
      <c r="A579" s="5" t="s">
        <v>1705</v>
      </c>
      <c r="B579" s="5" t="s">
        <v>10</v>
      </c>
      <c r="C579" s="5" t="s">
        <v>5862</v>
      </c>
      <c r="D579" s="7" t="s">
        <v>151</v>
      </c>
      <c r="E579" s="7" t="s">
        <v>68</v>
      </c>
      <c r="F579" s="7" t="s">
        <v>86</v>
      </c>
      <c r="G579" s="7" t="s">
        <v>342</v>
      </c>
      <c r="H579" s="7" t="s">
        <v>1706</v>
      </c>
      <c r="I579" s="7" t="s">
        <v>453</v>
      </c>
      <c r="J579" s="7" t="s">
        <v>1557</v>
      </c>
      <c r="K579" s="5" t="s">
        <v>45</v>
      </c>
      <c r="L579" s="5" t="s">
        <v>10</v>
      </c>
      <c r="M579" s="5" t="s">
        <v>10</v>
      </c>
      <c r="N579" s="5" t="s">
        <v>10</v>
      </c>
      <c r="O579" s="46" t="s">
        <v>46</v>
      </c>
      <c r="P579" s="99">
        <v>46154</v>
      </c>
      <c r="Q579" s="100">
        <f t="shared" si="63"/>
        <v>46519</v>
      </c>
      <c r="R579" s="7" t="s">
        <v>2312</v>
      </c>
      <c r="S579" s="7" t="s">
        <v>5435</v>
      </c>
      <c r="T579" s="7">
        <v>0.24299999999999999</v>
      </c>
      <c r="U579" s="7" t="s">
        <v>10</v>
      </c>
      <c r="V579" s="7">
        <f t="shared" si="64"/>
        <v>0.24299999999999999</v>
      </c>
      <c r="W579" s="7">
        <v>0.5</v>
      </c>
      <c r="X579" s="7" t="s">
        <v>55</v>
      </c>
      <c r="Y579" s="48" t="str">
        <f t="shared" si="65"/>
        <v>APROVADO</v>
      </c>
      <c r="Z579" s="7" t="s">
        <v>56</v>
      </c>
      <c r="AA579" s="5">
        <v>11604099</v>
      </c>
      <c r="AB579" s="5" t="s">
        <v>4182</v>
      </c>
      <c r="AC579" s="5" t="s">
        <v>48</v>
      </c>
      <c r="AD579" s="5" t="s">
        <v>5530</v>
      </c>
      <c r="AE579" s="5" t="str">
        <f t="shared" ca="1" si="62"/>
        <v>NO PRAZO</v>
      </c>
      <c r="AF579" s="51"/>
    </row>
    <row r="580" spans="1:32" ht="30" customHeight="1" x14ac:dyDescent="0.25">
      <c r="A580" s="9" t="s">
        <v>3240</v>
      </c>
      <c r="B580" s="5" t="s">
        <v>10</v>
      </c>
      <c r="C580" s="5" t="s">
        <v>5863</v>
      </c>
      <c r="D580" s="61" t="s">
        <v>151</v>
      </c>
      <c r="E580" s="7" t="s">
        <v>68</v>
      </c>
      <c r="F580" s="7" t="s">
        <v>86</v>
      </c>
      <c r="G580" s="61" t="s">
        <v>342</v>
      </c>
      <c r="H580" s="61" t="s">
        <v>1422</v>
      </c>
      <c r="I580" s="61" t="s">
        <v>199</v>
      </c>
      <c r="J580" s="62" t="s">
        <v>1420</v>
      </c>
      <c r="K580" s="5" t="s">
        <v>10</v>
      </c>
      <c r="L580" s="5" t="s">
        <v>10</v>
      </c>
      <c r="M580" s="5" t="s">
        <v>10</v>
      </c>
      <c r="N580" s="5" t="s">
        <v>45</v>
      </c>
      <c r="O580" s="80" t="s">
        <v>56</v>
      </c>
      <c r="P580" s="99">
        <v>46154</v>
      </c>
      <c r="Q580" s="100">
        <f t="shared" si="63"/>
        <v>46519</v>
      </c>
      <c r="R580" s="63" t="s">
        <v>2296</v>
      </c>
      <c r="S580" s="63" t="s">
        <v>5414</v>
      </c>
      <c r="T580" s="7">
        <v>0.36799999999999999</v>
      </c>
      <c r="U580" s="7" t="s">
        <v>10</v>
      </c>
      <c r="V580" s="7">
        <f t="shared" si="64"/>
        <v>0.36799999999999999</v>
      </c>
      <c r="W580" s="5">
        <v>0.5</v>
      </c>
      <c r="X580" s="5" t="s">
        <v>55</v>
      </c>
      <c r="Y580" s="48" t="str">
        <f t="shared" si="65"/>
        <v>APROVADO</v>
      </c>
      <c r="Z580" s="7" t="s">
        <v>56</v>
      </c>
      <c r="AA580" s="5">
        <v>11604082</v>
      </c>
      <c r="AB580" s="5" t="s">
        <v>4162</v>
      </c>
      <c r="AC580" s="5" t="s">
        <v>48</v>
      </c>
      <c r="AD580" s="5" t="s">
        <v>5530</v>
      </c>
      <c r="AE580" s="5" t="str">
        <f t="shared" ca="1" si="62"/>
        <v>NO PRAZO</v>
      </c>
      <c r="AF580" s="51"/>
    </row>
    <row r="581" spans="1:32" ht="30" customHeight="1" x14ac:dyDescent="0.25">
      <c r="A581" s="9" t="s">
        <v>3241</v>
      </c>
      <c r="B581" s="5" t="s">
        <v>10</v>
      </c>
      <c r="C581" s="5" t="s">
        <v>5863</v>
      </c>
      <c r="D581" s="61" t="s">
        <v>151</v>
      </c>
      <c r="E581" s="7" t="s">
        <v>68</v>
      </c>
      <c r="F581" s="7" t="s">
        <v>86</v>
      </c>
      <c r="G581" s="61" t="s">
        <v>342</v>
      </c>
      <c r="H581" s="61" t="s">
        <v>1423</v>
      </c>
      <c r="I581" s="61" t="s">
        <v>199</v>
      </c>
      <c r="J581" s="62" t="s">
        <v>1420</v>
      </c>
      <c r="K581" s="5" t="s">
        <v>10</v>
      </c>
      <c r="L581" s="5" t="s">
        <v>10</v>
      </c>
      <c r="M581" s="5" t="s">
        <v>10</v>
      </c>
      <c r="N581" s="5" t="s">
        <v>45</v>
      </c>
      <c r="O581" s="80" t="s">
        <v>56</v>
      </c>
      <c r="P581" s="99">
        <v>46154</v>
      </c>
      <c r="Q581" s="100">
        <f t="shared" si="63"/>
        <v>46519</v>
      </c>
      <c r="R581" s="63" t="s">
        <v>2297</v>
      </c>
      <c r="S581" s="63" t="s">
        <v>5415</v>
      </c>
      <c r="T581" s="7">
        <v>0.34799999999999998</v>
      </c>
      <c r="U581" s="7" t="s">
        <v>10</v>
      </c>
      <c r="V581" s="7">
        <f t="shared" si="64"/>
        <v>0.34799999999999998</v>
      </c>
      <c r="W581" s="5">
        <v>0.5</v>
      </c>
      <c r="X581" s="5" t="s">
        <v>55</v>
      </c>
      <c r="Y581" s="48" t="str">
        <f t="shared" si="65"/>
        <v>APROVADO</v>
      </c>
      <c r="Z581" s="7" t="s">
        <v>56</v>
      </c>
      <c r="AA581" s="5">
        <v>11604100</v>
      </c>
      <c r="AB581" s="5" t="s">
        <v>4163</v>
      </c>
      <c r="AC581" s="5" t="s">
        <v>48</v>
      </c>
      <c r="AD581" s="5" t="s">
        <v>5530</v>
      </c>
      <c r="AE581" s="5" t="str">
        <f t="shared" ca="1" si="62"/>
        <v>NO PRAZO</v>
      </c>
      <c r="AF581" s="51"/>
    </row>
    <row r="582" spans="1:32" ht="30" customHeight="1" x14ac:dyDescent="0.25">
      <c r="A582" s="9" t="s">
        <v>3242</v>
      </c>
      <c r="B582" s="5" t="s">
        <v>10</v>
      </c>
      <c r="C582" s="5" t="s">
        <v>5863</v>
      </c>
      <c r="D582" s="61" t="s">
        <v>151</v>
      </c>
      <c r="E582" s="7" t="s">
        <v>68</v>
      </c>
      <c r="F582" s="7" t="s">
        <v>86</v>
      </c>
      <c r="G582" s="61" t="s">
        <v>342</v>
      </c>
      <c r="H582" s="61" t="s">
        <v>1422</v>
      </c>
      <c r="I582" s="61" t="s">
        <v>199</v>
      </c>
      <c r="J582" s="62" t="s">
        <v>1420</v>
      </c>
      <c r="K582" s="5" t="s">
        <v>10</v>
      </c>
      <c r="L582" s="5" t="s">
        <v>10</v>
      </c>
      <c r="M582" s="5" t="s">
        <v>10</v>
      </c>
      <c r="N582" s="5" t="s">
        <v>45</v>
      </c>
      <c r="O582" s="80" t="s">
        <v>56</v>
      </c>
      <c r="P582" s="99">
        <v>46154</v>
      </c>
      <c r="Q582" s="100">
        <f t="shared" si="63"/>
        <v>46519</v>
      </c>
      <c r="R582" s="63" t="s">
        <v>2298</v>
      </c>
      <c r="S582" s="63" t="s">
        <v>5416</v>
      </c>
      <c r="T582" s="7">
        <v>0.251</v>
      </c>
      <c r="U582" s="7" t="s">
        <v>10</v>
      </c>
      <c r="V582" s="7">
        <f t="shared" si="64"/>
        <v>0.251</v>
      </c>
      <c r="W582" s="5">
        <v>0.5</v>
      </c>
      <c r="X582" s="5" t="s">
        <v>55</v>
      </c>
      <c r="Y582" s="48" t="str">
        <f t="shared" si="65"/>
        <v>APROVADO</v>
      </c>
      <c r="Z582" s="7" t="s">
        <v>56</v>
      </c>
      <c r="AA582" s="5">
        <v>11604083</v>
      </c>
      <c r="AB582" s="5" t="s">
        <v>4164</v>
      </c>
      <c r="AC582" s="5" t="s">
        <v>48</v>
      </c>
      <c r="AD582" s="5" t="s">
        <v>5530</v>
      </c>
      <c r="AE582" s="5" t="str">
        <f t="shared" ca="1" si="62"/>
        <v>NO PRAZO</v>
      </c>
      <c r="AF582" s="51"/>
    </row>
    <row r="583" spans="1:32" ht="30" customHeight="1" x14ac:dyDescent="0.25">
      <c r="A583" s="9" t="s">
        <v>2358</v>
      </c>
      <c r="B583" s="5" t="s">
        <v>10</v>
      </c>
      <c r="C583" s="5" t="s">
        <v>5863</v>
      </c>
      <c r="D583" s="61" t="s">
        <v>151</v>
      </c>
      <c r="E583" s="7" t="s">
        <v>68</v>
      </c>
      <c r="F583" s="7" t="s">
        <v>86</v>
      </c>
      <c r="G583" s="61" t="s">
        <v>342</v>
      </c>
      <c r="H583" s="61" t="s">
        <v>1423</v>
      </c>
      <c r="I583" s="61" t="s">
        <v>199</v>
      </c>
      <c r="J583" s="62" t="s">
        <v>1420</v>
      </c>
      <c r="K583" s="5" t="s">
        <v>10</v>
      </c>
      <c r="L583" s="5" t="s">
        <v>10</v>
      </c>
      <c r="M583" s="5" t="s">
        <v>10</v>
      </c>
      <c r="N583" s="5" t="s">
        <v>45</v>
      </c>
      <c r="O583" s="80" t="s">
        <v>56</v>
      </c>
      <c r="P583" s="99">
        <v>46154</v>
      </c>
      <c r="Q583" s="100">
        <f t="shared" si="63"/>
        <v>46519</v>
      </c>
      <c r="R583" s="63" t="s">
        <v>2299</v>
      </c>
      <c r="S583" s="63" t="s">
        <v>5417</v>
      </c>
      <c r="T583" s="7">
        <v>0.24099999999999999</v>
      </c>
      <c r="U583" s="7"/>
      <c r="V583" s="7">
        <f t="shared" si="64"/>
        <v>0.24099999999999999</v>
      </c>
      <c r="W583" s="5">
        <v>0.5</v>
      </c>
      <c r="X583" s="5" t="s">
        <v>55</v>
      </c>
      <c r="Y583" s="48" t="str">
        <f t="shared" si="65"/>
        <v>APROVADO</v>
      </c>
      <c r="Z583" s="7" t="s">
        <v>56</v>
      </c>
      <c r="AA583" s="5">
        <v>11604085</v>
      </c>
      <c r="AB583" s="5" t="s">
        <v>4165</v>
      </c>
      <c r="AC583" s="5" t="s">
        <v>48</v>
      </c>
      <c r="AD583" s="5" t="s">
        <v>5530</v>
      </c>
      <c r="AE583" s="5" t="str">
        <f t="shared" ca="1" si="62"/>
        <v>NO PRAZO</v>
      </c>
      <c r="AF583" s="51"/>
    </row>
    <row r="584" spans="1:32" ht="30" customHeight="1" x14ac:dyDescent="0.25">
      <c r="A584" s="9" t="s">
        <v>3245</v>
      </c>
      <c r="B584" s="5" t="s">
        <v>10</v>
      </c>
      <c r="C584" s="5" t="s">
        <v>5863</v>
      </c>
      <c r="D584" s="61" t="s">
        <v>151</v>
      </c>
      <c r="E584" s="7" t="s">
        <v>68</v>
      </c>
      <c r="F584" s="7" t="s">
        <v>86</v>
      </c>
      <c r="G584" s="61" t="s">
        <v>342</v>
      </c>
      <c r="H584" s="61" t="s">
        <v>1422</v>
      </c>
      <c r="I584" s="61" t="s">
        <v>199</v>
      </c>
      <c r="J584" s="62" t="s">
        <v>1420</v>
      </c>
      <c r="K584" s="5" t="s">
        <v>10</v>
      </c>
      <c r="L584" s="5" t="s">
        <v>10</v>
      </c>
      <c r="M584" s="5" t="s">
        <v>10</v>
      </c>
      <c r="N584" s="5" t="s">
        <v>45</v>
      </c>
      <c r="O584" s="80" t="s">
        <v>56</v>
      </c>
      <c r="P584" s="99">
        <v>46154</v>
      </c>
      <c r="Q584" s="100">
        <f t="shared" si="63"/>
        <v>46519</v>
      </c>
      <c r="R584" s="63" t="s">
        <v>2301</v>
      </c>
      <c r="S584" s="63" t="s">
        <v>5418</v>
      </c>
      <c r="T584" s="7">
        <v>0.27700000000000002</v>
      </c>
      <c r="U584" s="7" t="s">
        <v>10</v>
      </c>
      <c r="V584" s="7">
        <f t="shared" si="64"/>
        <v>0.27700000000000002</v>
      </c>
      <c r="W584" s="5">
        <v>0.5</v>
      </c>
      <c r="X584" s="5" t="s">
        <v>55</v>
      </c>
      <c r="Y584" s="48" t="str">
        <f t="shared" si="65"/>
        <v>APROVADO</v>
      </c>
      <c r="Z584" s="7" t="s">
        <v>56</v>
      </c>
      <c r="AA584" s="5">
        <v>11604087</v>
      </c>
      <c r="AB584" s="5" t="s">
        <v>4168</v>
      </c>
      <c r="AC584" s="5" t="s">
        <v>48</v>
      </c>
      <c r="AD584" s="5" t="s">
        <v>5530</v>
      </c>
      <c r="AE584" s="5" t="str">
        <f t="shared" ca="1" si="62"/>
        <v>NO PRAZO</v>
      </c>
      <c r="AF584" s="51"/>
    </row>
    <row r="585" spans="1:32" ht="30" customHeight="1" x14ac:dyDescent="0.25">
      <c r="A585" s="9" t="s">
        <v>3246</v>
      </c>
      <c r="B585" s="5" t="s">
        <v>10</v>
      </c>
      <c r="C585" s="5" t="s">
        <v>5863</v>
      </c>
      <c r="D585" s="61" t="s">
        <v>151</v>
      </c>
      <c r="E585" s="7" t="s">
        <v>68</v>
      </c>
      <c r="F585" s="7" t="s">
        <v>86</v>
      </c>
      <c r="G585" s="61" t="s">
        <v>342</v>
      </c>
      <c r="H585" s="61" t="s">
        <v>1423</v>
      </c>
      <c r="I585" s="61" t="s">
        <v>199</v>
      </c>
      <c r="J585" s="62" t="s">
        <v>1420</v>
      </c>
      <c r="K585" s="5" t="s">
        <v>10</v>
      </c>
      <c r="L585" s="5" t="s">
        <v>10</v>
      </c>
      <c r="M585" s="5" t="s">
        <v>10</v>
      </c>
      <c r="N585" s="5" t="s">
        <v>45</v>
      </c>
      <c r="O585" s="80" t="s">
        <v>56</v>
      </c>
      <c r="P585" s="99">
        <v>46154</v>
      </c>
      <c r="Q585" s="100">
        <f t="shared" si="63"/>
        <v>46519</v>
      </c>
      <c r="R585" s="63" t="s">
        <v>2302</v>
      </c>
      <c r="S585" s="63" t="s">
        <v>5419</v>
      </c>
      <c r="T585" s="7">
        <v>0.45</v>
      </c>
      <c r="U585" s="7" t="s">
        <v>10</v>
      </c>
      <c r="V585" s="7">
        <f t="shared" si="64"/>
        <v>0.45</v>
      </c>
      <c r="W585" s="5">
        <v>0.5</v>
      </c>
      <c r="X585" s="5" t="s">
        <v>55</v>
      </c>
      <c r="Y585" s="48" t="str">
        <f t="shared" si="65"/>
        <v>APROVADO</v>
      </c>
      <c r="Z585" s="7" t="s">
        <v>56</v>
      </c>
      <c r="AA585" s="5">
        <v>11604089</v>
      </c>
      <c r="AB585" s="5" t="s">
        <v>4169</v>
      </c>
      <c r="AC585" s="5" t="s">
        <v>48</v>
      </c>
      <c r="AD585" s="5" t="s">
        <v>5530</v>
      </c>
      <c r="AE585" s="5" t="str">
        <f t="shared" ca="1" si="62"/>
        <v>NO PRAZO</v>
      </c>
      <c r="AF585" s="51"/>
    </row>
    <row r="586" spans="1:32" ht="30" customHeight="1" x14ac:dyDescent="0.25">
      <c r="A586" s="9" t="s">
        <v>3247</v>
      </c>
      <c r="B586" s="5" t="s">
        <v>10</v>
      </c>
      <c r="C586" s="5" t="s">
        <v>5863</v>
      </c>
      <c r="D586" s="61" t="s">
        <v>151</v>
      </c>
      <c r="E586" s="7" t="s">
        <v>68</v>
      </c>
      <c r="F586" s="7" t="s">
        <v>86</v>
      </c>
      <c r="G586" s="61" t="s">
        <v>342</v>
      </c>
      <c r="H586" s="61" t="s">
        <v>1422</v>
      </c>
      <c r="I586" s="61" t="s">
        <v>199</v>
      </c>
      <c r="J586" s="62" t="s">
        <v>1420</v>
      </c>
      <c r="K586" s="5" t="s">
        <v>10</v>
      </c>
      <c r="L586" s="5" t="s">
        <v>10</v>
      </c>
      <c r="M586" s="5" t="s">
        <v>10</v>
      </c>
      <c r="N586" s="5" t="s">
        <v>45</v>
      </c>
      <c r="O586" s="80" t="s">
        <v>56</v>
      </c>
      <c r="P586" s="99">
        <v>46154</v>
      </c>
      <c r="Q586" s="100">
        <f t="shared" si="63"/>
        <v>46519</v>
      </c>
      <c r="R586" s="63" t="s">
        <v>2303</v>
      </c>
      <c r="S586" s="63" t="s">
        <v>5420</v>
      </c>
      <c r="T586" s="7">
        <v>0.255</v>
      </c>
      <c r="U586" s="7" t="s">
        <v>10</v>
      </c>
      <c r="V586" s="7">
        <f t="shared" si="64"/>
        <v>0.255</v>
      </c>
      <c r="W586" s="5">
        <v>0.5</v>
      </c>
      <c r="X586" s="5" t="s">
        <v>55</v>
      </c>
      <c r="Y586" s="48" t="str">
        <f t="shared" si="65"/>
        <v>APROVADO</v>
      </c>
      <c r="Z586" s="7" t="s">
        <v>56</v>
      </c>
      <c r="AA586" s="5">
        <v>11604090</v>
      </c>
      <c r="AB586" s="5" t="s">
        <v>4170</v>
      </c>
      <c r="AC586" s="5" t="s">
        <v>48</v>
      </c>
      <c r="AD586" s="5" t="s">
        <v>5530</v>
      </c>
      <c r="AE586" s="5" t="str">
        <f t="shared" ref="AE586:AE649" ca="1" si="66">IFERROR(IF(OR(AND(YEAR(Q586)=YEAR(TODAY()),MONTH(Q586)&gt;MONTH(TODAY())),(YEAR(Q586)&gt;YEAR(TODAY()))),$AK$4,IF(AND(YEAR(Q586)=YEAR(TODAY()),MONTH(Q586)=MONTH(TODAY())),$AK$5,IF(Q586="",$AK$6,$AK$7))),"-")</f>
        <v>NO PRAZO</v>
      </c>
      <c r="AF586" s="51"/>
    </row>
    <row r="587" spans="1:32" ht="30" customHeight="1" x14ac:dyDescent="0.25">
      <c r="A587" s="9" t="s">
        <v>1559</v>
      </c>
      <c r="B587" s="5" t="s">
        <v>10</v>
      </c>
      <c r="C587" s="5" t="s">
        <v>5863</v>
      </c>
      <c r="D587" s="61" t="s">
        <v>151</v>
      </c>
      <c r="E587" s="7" t="s">
        <v>68</v>
      </c>
      <c r="F587" s="7" t="s">
        <v>86</v>
      </c>
      <c r="G587" s="61" t="s">
        <v>342</v>
      </c>
      <c r="H587" s="61" t="s">
        <v>1423</v>
      </c>
      <c r="I587" s="61" t="s">
        <v>199</v>
      </c>
      <c r="J587" s="62" t="s">
        <v>1420</v>
      </c>
      <c r="K587" s="5" t="s">
        <v>10</v>
      </c>
      <c r="L587" s="5" t="s">
        <v>10</v>
      </c>
      <c r="M587" s="5" t="s">
        <v>10</v>
      </c>
      <c r="N587" s="5" t="s">
        <v>45</v>
      </c>
      <c r="O587" s="80" t="s">
        <v>56</v>
      </c>
      <c r="P587" s="99">
        <v>46154</v>
      </c>
      <c r="Q587" s="100">
        <f t="shared" si="63"/>
        <v>46519</v>
      </c>
      <c r="R587" s="63" t="s">
        <v>2304</v>
      </c>
      <c r="S587" s="63" t="s">
        <v>5421</v>
      </c>
      <c r="T587" s="7">
        <v>0.251</v>
      </c>
      <c r="U587" s="7" t="s">
        <v>10</v>
      </c>
      <c r="V587" s="7">
        <f t="shared" si="64"/>
        <v>0.251</v>
      </c>
      <c r="W587" s="5">
        <v>0.5</v>
      </c>
      <c r="X587" s="5" t="s">
        <v>55</v>
      </c>
      <c r="Y587" s="48" t="str">
        <f t="shared" si="65"/>
        <v>APROVADO</v>
      </c>
      <c r="Z587" s="7" t="s">
        <v>56</v>
      </c>
      <c r="AA587" s="5">
        <v>11604091</v>
      </c>
      <c r="AB587" s="5" t="s">
        <v>4171</v>
      </c>
      <c r="AC587" s="5" t="s">
        <v>48</v>
      </c>
      <c r="AD587" s="5" t="s">
        <v>5530</v>
      </c>
      <c r="AE587" s="5" t="str">
        <f t="shared" ca="1" si="66"/>
        <v>NO PRAZO</v>
      </c>
      <c r="AF587" s="51"/>
    </row>
    <row r="588" spans="1:32" ht="30" customHeight="1" x14ac:dyDescent="0.25">
      <c r="A588" s="9" t="s">
        <v>3250</v>
      </c>
      <c r="B588" s="5" t="s">
        <v>10</v>
      </c>
      <c r="C588" s="5" t="s">
        <v>5863</v>
      </c>
      <c r="D588" s="61" t="s">
        <v>151</v>
      </c>
      <c r="E588" s="7" t="s">
        <v>68</v>
      </c>
      <c r="F588" s="7" t="s">
        <v>86</v>
      </c>
      <c r="G588" s="61" t="s">
        <v>342</v>
      </c>
      <c r="H588" s="61" t="s">
        <v>1423</v>
      </c>
      <c r="I588" s="61" t="s">
        <v>199</v>
      </c>
      <c r="J588" s="62" t="s">
        <v>1420</v>
      </c>
      <c r="K588" s="5" t="s">
        <v>10</v>
      </c>
      <c r="L588" s="5" t="s">
        <v>10</v>
      </c>
      <c r="M588" s="5" t="s">
        <v>10</v>
      </c>
      <c r="N588" s="5" t="s">
        <v>45</v>
      </c>
      <c r="O588" s="80" t="s">
        <v>56</v>
      </c>
      <c r="P588" s="99">
        <v>46154</v>
      </c>
      <c r="Q588" s="100">
        <f t="shared" si="63"/>
        <v>46519</v>
      </c>
      <c r="R588" s="63" t="s">
        <v>2308</v>
      </c>
      <c r="S588" s="63" t="s">
        <v>5422</v>
      </c>
      <c r="T588" s="7">
        <v>0.248</v>
      </c>
      <c r="U588" s="7" t="s">
        <v>10</v>
      </c>
      <c r="V588" s="7">
        <f t="shared" si="64"/>
        <v>0.248</v>
      </c>
      <c r="W588" s="5">
        <v>0.5</v>
      </c>
      <c r="X588" s="5" t="s">
        <v>55</v>
      </c>
      <c r="Y588" s="48" t="str">
        <f t="shared" si="65"/>
        <v>APROVADO</v>
      </c>
      <c r="Z588" s="7" t="s">
        <v>56</v>
      </c>
      <c r="AA588" s="5">
        <v>11606708</v>
      </c>
      <c r="AB588" s="5" t="s">
        <v>4175</v>
      </c>
      <c r="AC588" s="5" t="s">
        <v>48</v>
      </c>
      <c r="AD588" s="5" t="s">
        <v>5530</v>
      </c>
      <c r="AE588" s="5" t="str">
        <f t="shared" ca="1" si="66"/>
        <v>NO PRAZO</v>
      </c>
      <c r="AF588" s="51"/>
    </row>
    <row r="589" spans="1:32" ht="30" customHeight="1" x14ac:dyDescent="0.25">
      <c r="A589" s="5" t="s">
        <v>5573</v>
      </c>
      <c r="B589" s="5" t="s">
        <v>1560</v>
      </c>
      <c r="C589" s="5" t="s">
        <v>5863</v>
      </c>
      <c r="D589" s="7" t="s">
        <v>1554</v>
      </c>
      <c r="E589" s="7" t="s">
        <v>311</v>
      </c>
      <c r="F589" s="7" t="s">
        <v>642</v>
      </c>
      <c r="G589" s="7" t="s">
        <v>710</v>
      </c>
      <c r="H589" s="7" t="s">
        <v>10</v>
      </c>
      <c r="I589" s="7" t="s">
        <v>1483</v>
      </c>
      <c r="J589" s="7" t="s">
        <v>1561</v>
      </c>
      <c r="K589" s="5" t="s">
        <v>10</v>
      </c>
      <c r="L589" s="5" t="s">
        <v>45</v>
      </c>
      <c r="M589" s="5" t="s">
        <v>10</v>
      </c>
      <c r="N589" s="5" t="s">
        <v>10</v>
      </c>
      <c r="O589" s="46" t="s">
        <v>46</v>
      </c>
      <c r="P589" s="101">
        <v>46158</v>
      </c>
      <c r="Q589" s="100">
        <f t="shared" si="63"/>
        <v>46523</v>
      </c>
      <c r="R589" s="5" t="s">
        <v>2331</v>
      </c>
      <c r="S589" s="5" t="s">
        <v>5482</v>
      </c>
      <c r="T589" s="7">
        <v>0.38</v>
      </c>
      <c r="U589" s="7" t="s">
        <v>10</v>
      </c>
      <c r="V589" s="7">
        <f t="shared" si="64"/>
        <v>0.38</v>
      </c>
      <c r="W589" s="5">
        <v>0.5</v>
      </c>
      <c r="X589" s="5" t="s">
        <v>55</v>
      </c>
      <c r="Y589" s="48" t="str">
        <f t="shared" si="65"/>
        <v>APROVADO</v>
      </c>
      <c r="Z589" s="7" t="s">
        <v>56</v>
      </c>
      <c r="AA589" s="5">
        <v>11542223</v>
      </c>
      <c r="AB589" s="5" t="s">
        <v>2886</v>
      </c>
      <c r="AC589" s="5" t="s">
        <v>48</v>
      </c>
      <c r="AD589" s="5" t="s">
        <v>5530</v>
      </c>
      <c r="AE589" s="5" t="str">
        <f t="shared" ca="1" si="66"/>
        <v>NO PRAZO</v>
      </c>
      <c r="AF589" s="49"/>
    </row>
    <row r="590" spans="1:32" ht="30" customHeight="1" x14ac:dyDescent="0.25">
      <c r="A590" s="5" t="s">
        <v>1562</v>
      </c>
      <c r="B590" s="5" t="s">
        <v>10</v>
      </c>
      <c r="C590" s="5" t="s">
        <v>5863</v>
      </c>
      <c r="D590" s="7" t="s">
        <v>1554</v>
      </c>
      <c r="E590" s="7" t="s">
        <v>311</v>
      </c>
      <c r="F590" s="7" t="s">
        <v>312</v>
      </c>
      <c r="G590" s="7" t="s">
        <v>1485</v>
      </c>
      <c r="H590" s="7" t="s">
        <v>1563</v>
      </c>
      <c r="I590" s="7" t="s">
        <v>1486</v>
      </c>
      <c r="J590" s="7" t="s">
        <v>1486</v>
      </c>
      <c r="K590" s="5" t="s">
        <v>10</v>
      </c>
      <c r="L590" s="5" t="s">
        <v>45</v>
      </c>
      <c r="M590" s="5" t="s">
        <v>10</v>
      </c>
      <c r="N590" s="5" t="s">
        <v>10</v>
      </c>
      <c r="O590" s="46" t="s">
        <v>46</v>
      </c>
      <c r="P590" s="101">
        <v>45925</v>
      </c>
      <c r="Q590" s="100">
        <f t="shared" si="63"/>
        <v>46290</v>
      </c>
      <c r="R590" s="5" t="s">
        <v>1564</v>
      </c>
      <c r="S590" s="5" t="s">
        <v>3463</v>
      </c>
      <c r="T590" s="7">
        <v>0.49</v>
      </c>
      <c r="U590" s="7" t="s">
        <v>10</v>
      </c>
      <c r="V590" s="7">
        <f t="shared" si="64"/>
        <v>0.49</v>
      </c>
      <c r="W590" s="5">
        <v>0.5</v>
      </c>
      <c r="X590" s="5" t="s">
        <v>55</v>
      </c>
      <c r="Y590" s="48" t="str">
        <f t="shared" si="65"/>
        <v>APROVADO</v>
      </c>
      <c r="Z590" s="7" t="s">
        <v>56</v>
      </c>
      <c r="AA590" s="5">
        <v>11540641</v>
      </c>
      <c r="AB590" s="5" t="s">
        <v>3322</v>
      </c>
      <c r="AC590" s="5" t="s">
        <v>48</v>
      </c>
      <c r="AD590" s="5" t="s">
        <v>5530</v>
      </c>
      <c r="AE590" s="5" t="str">
        <f t="shared" ca="1" si="66"/>
        <v>NO PRAZO</v>
      </c>
      <c r="AF590" s="51"/>
    </row>
    <row r="591" spans="1:32" ht="30" customHeight="1" x14ac:dyDescent="0.25">
      <c r="A591" s="129" t="s">
        <v>5555</v>
      </c>
      <c r="B591" s="129" t="s">
        <v>3244</v>
      </c>
      <c r="C591" s="5" t="s">
        <v>5863</v>
      </c>
      <c r="D591" s="133" t="s">
        <v>151</v>
      </c>
      <c r="E591" s="12" t="s">
        <v>68</v>
      </c>
      <c r="F591" s="12" t="s">
        <v>86</v>
      </c>
      <c r="G591" s="133" t="s">
        <v>342</v>
      </c>
      <c r="H591" s="133" t="s">
        <v>1422</v>
      </c>
      <c r="I591" s="133" t="s">
        <v>199</v>
      </c>
      <c r="J591" s="117" t="s">
        <v>1420</v>
      </c>
      <c r="K591" s="13" t="s">
        <v>10</v>
      </c>
      <c r="L591" s="13" t="s">
        <v>10</v>
      </c>
      <c r="M591" s="13" t="s">
        <v>10</v>
      </c>
      <c r="N591" s="13" t="s">
        <v>45</v>
      </c>
      <c r="O591" s="140" t="s">
        <v>56</v>
      </c>
      <c r="P591" s="141">
        <v>46154</v>
      </c>
      <c r="Q591" s="100">
        <f t="shared" si="63"/>
        <v>46519</v>
      </c>
      <c r="R591" s="63" t="s">
        <v>2300</v>
      </c>
      <c r="S591" s="63" t="s">
        <v>5423</v>
      </c>
      <c r="T591" s="7">
        <v>0.30099999999999999</v>
      </c>
      <c r="U591" s="7"/>
      <c r="V591" s="7">
        <f t="shared" si="64"/>
        <v>0.30099999999999999</v>
      </c>
      <c r="W591" s="5">
        <v>0.5</v>
      </c>
      <c r="X591" s="5" t="s">
        <v>55</v>
      </c>
      <c r="Y591" s="48" t="str">
        <f t="shared" si="65"/>
        <v>APROVADO</v>
      </c>
      <c r="Z591" s="7" t="s">
        <v>56</v>
      </c>
      <c r="AA591" s="5">
        <v>11542224</v>
      </c>
      <c r="AB591" s="5" t="s">
        <v>4167</v>
      </c>
      <c r="AC591" s="5" t="s">
        <v>48</v>
      </c>
      <c r="AD591" s="5" t="s">
        <v>5530</v>
      </c>
      <c r="AE591" s="5" t="str">
        <f t="shared" ca="1" si="66"/>
        <v>NO PRAZO</v>
      </c>
      <c r="AF591" s="51"/>
    </row>
    <row r="592" spans="1:32" ht="30" customHeight="1" x14ac:dyDescent="0.25">
      <c r="A592" s="13" t="s">
        <v>5574</v>
      </c>
      <c r="B592" s="13" t="s">
        <v>2335</v>
      </c>
      <c r="C592" s="5" t="s">
        <v>5863</v>
      </c>
      <c r="D592" s="12" t="s">
        <v>1554</v>
      </c>
      <c r="E592" s="12" t="s">
        <v>311</v>
      </c>
      <c r="F592" s="12" t="s">
        <v>642</v>
      </c>
      <c r="G592" s="12" t="s">
        <v>710</v>
      </c>
      <c r="H592" s="12" t="s">
        <v>10</v>
      </c>
      <c r="I592" s="12" t="s">
        <v>1483</v>
      </c>
      <c r="J592" s="12" t="s">
        <v>1561</v>
      </c>
      <c r="K592" s="13" t="s">
        <v>10</v>
      </c>
      <c r="L592" s="13" t="s">
        <v>45</v>
      </c>
      <c r="M592" s="13" t="s">
        <v>10</v>
      </c>
      <c r="N592" s="13" t="s">
        <v>10</v>
      </c>
      <c r="O592" s="94" t="s">
        <v>46</v>
      </c>
      <c r="P592" s="104">
        <v>46158</v>
      </c>
      <c r="Q592" s="100">
        <f t="shared" ref="Q592:Q655" si="67">IF(P592="","",P592+365)</f>
        <v>46523</v>
      </c>
      <c r="R592" s="5" t="s">
        <v>2332</v>
      </c>
      <c r="S592" s="5" t="s">
        <v>5483</v>
      </c>
      <c r="T592" s="7">
        <v>0.36</v>
      </c>
      <c r="U592" s="7" t="s">
        <v>10</v>
      </c>
      <c r="V592" s="7">
        <f t="shared" ref="V592:V655" si="68">IFERROR(IF(U592&gt;0,T592*100/U592,T592),T592)</f>
        <v>0.36</v>
      </c>
      <c r="W592" s="5">
        <v>0.5</v>
      </c>
      <c r="X592" s="5" t="s">
        <v>55</v>
      </c>
      <c r="Y592" s="48" t="str">
        <f t="shared" ref="Y592:Y655" si="69">IFERROR(IF(W592="-",$AL$6,CHOOSE(IF(T592="",1,2),$AL$7,IF(V592&gt;W592,$AL$5,$AL$4))),"-")</f>
        <v>APROVADO</v>
      </c>
      <c r="Z592" s="7" t="s">
        <v>56</v>
      </c>
      <c r="AA592" s="5">
        <v>11542225</v>
      </c>
      <c r="AB592" s="5" t="s">
        <v>3955</v>
      </c>
      <c r="AC592" s="5" t="s">
        <v>48</v>
      </c>
      <c r="AD592" s="5" t="s">
        <v>5530</v>
      </c>
      <c r="AE592" s="5" t="str">
        <f t="shared" ca="1" si="66"/>
        <v>NO PRAZO</v>
      </c>
      <c r="AF592" s="49"/>
    </row>
    <row r="593" spans="1:32" ht="30" customHeight="1" x14ac:dyDescent="0.25">
      <c r="A593" s="13" t="s">
        <v>5575</v>
      </c>
      <c r="B593" s="13" t="s">
        <v>1565</v>
      </c>
      <c r="C593" s="5" t="s">
        <v>5863</v>
      </c>
      <c r="D593" s="12" t="s">
        <v>1554</v>
      </c>
      <c r="E593" s="12" t="s">
        <v>311</v>
      </c>
      <c r="F593" s="12" t="s">
        <v>642</v>
      </c>
      <c r="G593" s="12" t="s">
        <v>710</v>
      </c>
      <c r="H593" s="12" t="s">
        <v>10</v>
      </c>
      <c r="I593" s="12" t="s">
        <v>1483</v>
      </c>
      <c r="J593" s="12" t="s">
        <v>1561</v>
      </c>
      <c r="K593" s="13" t="s">
        <v>10</v>
      </c>
      <c r="L593" s="13" t="s">
        <v>45</v>
      </c>
      <c r="M593" s="13" t="s">
        <v>10</v>
      </c>
      <c r="N593" s="13" t="s">
        <v>10</v>
      </c>
      <c r="O593" s="94" t="s">
        <v>46</v>
      </c>
      <c r="P593" s="104">
        <v>46158</v>
      </c>
      <c r="Q593" s="100">
        <f t="shared" si="67"/>
        <v>46523</v>
      </c>
      <c r="R593" s="5" t="s">
        <v>2333</v>
      </c>
      <c r="S593" s="5" t="s">
        <v>5484</v>
      </c>
      <c r="T593" s="7">
        <v>0.36</v>
      </c>
      <c r="U593" s="7" t="s">
        <v>10</v>
      </c>
      <c r="V593" s="7">
        <f t="shared" si="68"/>
        <v>0.36</v>
      </c>
      <c r="W593" s="5">
        <v>0.5</v>
      </c>
      <c r="X593" s="5" t="s">
        <v>55</v>
      </c>
      <c r="Y593" s="48" t="str">
        <f t="shared" si="69"/>
        <v>APROVADO</v>
      </c>
      <c r="Z593" s="7" t="s">
        <v>56</v>
      </c>
      <c r="AA593" s="5">
        <v>11542226</v>
      </c>
      <c r="AB593" s="5" t="s">
        <v>2887</v>
      </c>
      <c r="AC593" s="5" t="s">
        <v>48</v>
      </c>
      <c r="AD593" s="5" t="s">
        <v>5530</v>
      </c>
      <c r="AE593" s="5" t="str">
        <f t="shared" ca="1" si="66"/>
        <v>NO PRAZO</v>
      </c>
      <c r="AF593" s="49"/>
    </row>
    <row r="594" spans="1:32" ht="30" customHeight="1" x14ac:dyDescent="0.25">
      <c r="A594" s="129" t="s">
        <v>5556</v>
      </c>
      <c r="B594" s="129" t="s">
        <v>1558</v>
      </c>
      <c r="C594" s="5" t="s">
        <v>5862</v>
      </c>
      <c r="D594" s="7" t="s">
        <v>151</v>
      </c>
      <c r="E594" s="12" t="s">
        <v>68</v>
      </c>
      <c r="F594" s="12" t="s">
        <v>86</v>
      </c>
      <c r="G594" s="133" t="s">
        <v>342</v>
      </c>
      <c r="H594" s="133" t="s">
        <v>10</v>
      </c>
      <c r="I594" s="133" t="s">
        <v>453</v>
      </c>
      <c r="J594" s="117" t="s">
        <v>1420</v>
      </c>
      <c r="K594" s="12" t="s">
        <v>45</v>
      </c>
      <c r="L594" s="12" t="s">
        <v>10</v>
      </c>
      <c r="M594" s="12" t="s">
        <v>10</v>
      </c>
      <c r="N594" s="12" t="s">
        <v>10</v>
      </c>
      <c r="O594" s="139" t="s">
        <v>46</v>
      </c>
      <c r="P594" s="99">
        <v>46154</v>
      </c>
      <c r="Q594" s="100">
        <f t="shared" si="67"/>
        <v>46519</v>
      </c>
      <c r="R594" s="63" t="s">
        <v>2293</v>
      </c>
      <c r="S594" s="63" t="s">
        <v>5436</v>
      </c>
      <c r="T594" s="7">
        <v>0.34100000000000003</v>
      </c>
      <c r="U594" s="5" t="s">
        <v>10</v>
      </c>
      <c r="V594" s="7">
        <f t="shared" si="68"/>
        <v>0.34100000000000003</v>
      </c>
      <c r="W594" s="5">
        <v>0.5</v>
      </c>
      <c r="X594" s="5" t="s">
        <v>55</v>
      </c>
      <c r="Y594" s="48" t="str">
        <f t="shared" si="69"/>
        <v>APROVADO</v>
      </c>
      <c r="Z594" s="7" t="s">
        <v>56</v>
      </c>
      <c r="AA594" s="5">
        <v>11606813</v>
      </c>
      <c r="AB594" s="5" t="s">
        <v>4101</v>
      </c>
      <c r="AC594" s="5" t="s">
        <v>48</v>
      </c>
      <c r="AD594" s="5" t="s">
        <v>5530</v>
      </c>
      <c r="AE594" s="5" t="str">
        <f t="shared" ca="1" si="66"/>
        <v>NO PRAZO</v>
      </c>
      <c r="AF594" s="51"/>
    </row>
    <row r="595" spans="1:32" ht="30" customHeight="1" x14ac:dyDescent="0.25">
      <c r="A595" s="13" t="s">
        <v>5576</v>
      </c>
      <c r="B595" s="13" t="s">
        <v>1566</v>
      </c>
      <c r="C595" s="5" t="s">
        <v>5863</v>
      </c>
      <c r="D595" s="12" t="s">
        <v>1554</v>
      </c>
      <c r="E595" s="12" t="s">
        <v>311</v>
      </c>
      <c r="F595" s="12" t="s">
        <v>642</v>
      </c>
      <c r="G595" s="12" t="s">
        <v>710</v>
      </c>
      <c r="H595" s="12" t="s">
        <v>10</v>
      </c>
      <c r="I595" s="12" t="s">
        <v>1483</v>
      </c>
      <c r="J595" s="12" t="s">
        <v>1561</v>
      </c>
      <c r="K595" s="13" t="s">
        <v>10</v>
      </c>
      <c r="L595" s="13" t="s">
        <v>45</v>
      </c>
      <c r="M595" s="13" t="s">
        <v>10</v>
      </c>
      <c r="N595" s="13" t="s">
        <v>10</v>
      </c>
      <c r="O595" s="94" t="s">
        <v>46</v>
      </c>
      <c r="P595" s="104">
        <v>46158</v>
      </c>
      <c r="Q595" s="100">
        <f t="shared" si="67"/>
        <v>46523</v>
      </c>
      <c r="R595" s="5" t="s">
        <v>2334</v>
      </c>
      <c r="S595" s="5" t="s">
        <v>5485</v>
      </c>
      <c r="T595" s="7">
        <v>0.36</v>
      </c>
      <c r="U595" s="7" t="s">
        <v>10</v>
      </c>
      <c r="V595" s="7">
        <f t="shared" si="68"/>
        <v>0.36</v>
      </c>
      <c r="W595" s="5">
        <v>0.5</v>
      </c>
      <c r="X595" s="5" t="s">
        <v>55</v>
      </c>
      <c r="Y595" s="48" t="str">
        <f t="shared" si="69"/>
        <v>APROVADO</v>
      </c>
      <c r="Z595" s="7" t="s">
        <v>56</v>
      </c>
      <c r="AA595" s="5">
        <v>11542227</v>
      </c>
      <c r="AB595" s="5" t="s">
        <v>2888</v>
      </c>
      <c r="AC595" s="5" t="s">
        <v>48</v>
      </c>
      <c r="AD595" s="5" t="s">
        <v>5530</v>
      </c>
      <c r="AE595" s="5" t="str">
        <f t="shared" ca="1" si="66"/>
        <v>NO PRAZO</v>
      </c>
      <c r="AF595" s="49"/>
    </row>
    <row r="596" spans="1:32" ht="30" customHeight="1" x14ac:dyDescent="0.25">
      <c r="A596" s="129" t="s">
        <v>5557</v>
      </c>
      <c r="B596" s="129" t="s">
        <v>1567</v>
      </c>
      <c r="C596" s="5" t="s">
        <v>5863</v>
      </c>
      <c r="D596" s="133" t="s">
        <v>151</v>
      </c>
      <c r="E596" s="12" t="s">
        <v>68</v>
      </c>
      <c r="F596" s="12" t="s">
        <v>86</v>
      </c>
      <c r="G596" s="133" t="s">
        <v>342</v>
      </c>
      <c r="H596" s="133" t="s">
        <v>10</v>
      </c>
      <c r="I596" s="133" t="s">
        <v>199</v>
      </c>
      <c r="J596" s="117" t="s">
        <v>1420</v>
      </c>
      <c r="K596" s="13" t="s">
        <v>10</v>
      </c>
      <c r="L596" s="13" t="s">
        <v>10</v>
      </c>
      <c r="M596" s="13" t="s">
        <v>10</v>
      </c>
      <c r="N596" s="13" t="s">
        <v>45</v>
      </c>
      <c r="O596" s="140" t="s">
        <v>56</v>
      </c>
      <c r="P596" s="141">
        <v>46154</v>
      </c>
      <c r="Q596" s="100">
        <f t="shared" si="67"/>
        <v>46519</v>
      </c>
      <c r="R596" s="63" t="s">
        <v>2306</v>
      </c>
      <c r="S596" s="63" t="s">
        <v>5424</v>
      </c>
      <c r="T596" s="7">
        <v>0.37</v>
      </c>
      <c r="U596" s="7" t="s">
        <v>10</v>
      </c>
      <c r="V596" s="7">
        <f t="shared" si="68"/>
        <v>0.37</v>
      </c>
      <c r="W596" s="5">
        <v>0.5</v>
      </c>
      <c r="X596" s="5" t="s">
        <v>55</v>
      </c>
      <c r="Y596" s="48" t="str">
        <f t="shared" si="69"/>
        <v>APROVADO</v>
      </c>
      <c r="Z596" s="7" t="s">
        <v>56</v>
      </c>
      <c r="AA596" s="5">
        <v>11604093</v>
      </c>
      <c r="AB596" s="5" t="s">
        <v>4173</v>
      </c>
      <c r="AC596" s="5" t="s">
        <v>48</v>
      </c>
      <c r="AD596" s="5" t="s">
        <v>5530</v>
      </c>
      <c r="AE596" s="5" t="str">
        <f t="shared" ca="1" si="66"/>
        <v>NO PRAZO</v>
      </c>
      <c r="AF596" s="51"/>
    </row>
    <row r="597" spans="1:32" ht="30" customHeight="1" x14ac:dyDescent="0.25">
      <c r="A597" s="129" t="s">
        <v>5558</v>
      </c>
      <c r="B597" s="129" t="s">
        <v>3249</v>
      </c>
      <c r="C597" s="5" t="s">
        <v>5863</v>
      </c>
      <c r="D597" s="133" t="s">
        <v>151</v>
      </c>
      <c r="E597" s="12" t="s">
        <v>68</v>
      </c>
      <c r="F597" s="12" t="s">
        <v>86</v>
      </c>
      <c r="G597" s="133" t="s">
        <v>342</v>
      </c>
      <c r="H597" s="133" t="s">
        <v>10</v>
      </c>
      <c r="I597" s="133" t="s">
        <v>199</v>
      </c>
      <c r="J597" s="117" t="s">
        <v>1420</v>
      </c>
      <c r="K597" s="13" t="s">
        <v>10</v>
      </c>
      <c r="L597" s="13" t="s">
        <v>10</v>
      </c>
      <c r="M597" s="13" t="s">
        <v>10</v>
      </c>
      <c r="N597" s="13" t="s">
        <v>45</v>
      </c>
      <c r="O597" s="140" t="s">
        <v>56</v>
      </c>
      <c r="P597" s="141">
        <v>46154</v>
      </c>
      <c r="Q597" s="100">
        <f t="shared" si="67"/>
        <v>46519</v>
      </c>
      <c r="R597" s="63" t="s">
        <v>2307</v>
      </c>
      <c r="S597" s="63" t="s">
        <v>5425</v>
      </c>
      <c r="T597" s="7">
        <v>0.36099999999999999</v>
      </c>
      <c r="U597" s="7" t="s">
        <v>10</v>
      </c>
      <c r="V597" s="7">
        <f t="shared" si="68"/>
        <v>0.36099999999999999</v>
      </c>
      <c r="W597" s="5">
        <v>0.5</v>
      </c>
      <c r="X597" s="5" t="s">
        <v>55</v>
      </c>
      <c r="Y597" s="48" t="str">
        <f t="shared" si="69"/>
        <v>APROVADO</v>
      </c>
      <c r="Z597" s="7" t="s">
        <v>56</v>
      </c>
      <c r="AA597" s="5">
        <v>11604094</v>
      </c>
      <c r="AB597" s="5" t="s">
        <v>4174</v>
      </c>
      <c r="AC597" s="5" t="s">
        <v>48</v>
      </c>
      <c r="AD597" s="5" t="s">
        <v>5530</v>
      </c>
      <c r="AE597" s="5" t="str">
        <f t="shared" ca="1" si="66"/>
        <v>NO PRAZO</v>
      </c>
      <c r="AF597" s="51"/>
    </row>
    <row r="598" spans="1:32" ht="30" customHeight="1" x14ac:dyDescent="0.25">
      <c r="A598" s="129" t="s">
        <v>5559</v>
      </c>
      <c r="B598" s="129" t="s">
        <v>3248</v>
      </c>
      <c r="C598" s="5" t="s">
        <v>5863</v>
      </c>
      <c r="D598" s="133" t="s">
        <v>151</v>
      </c>
      <c r="E598" s="12" t="s">
        <v>68</v>
      </c>
      <c r="F598" s="12" t="s">
        <v>86</v>
      </c>
      <c r="G598" s="133" t="s">
        <v>342</v>
      </c>
      <c r="H598" s="133" t="s">
        <v>1423</v>
      </c>
      <c r="I598" s="133" t="s">
        <v>199</v>
      </c>
      <c r="J598" s="117" t="s">
        <v>1420</v>
      </c>
      <c r="K598" s="13" t="s">
        <v>10</v>
      </c>
      <c r="L598" s="13" t="s">
        <v>10</v>
      </c>
      <c r="M598" s="13" t="s">
        <v>10</v>
      </c>
      <c r="N598" s="13" t="s">
        <v>45</v>
      </c>
      <c r="O598" s="140" t="s">
        <v>56</v>
      </c>
      <c r="P598" s="141">
        <v>46154</v>
      </c>
      <c r="Q598" s="100">
        <f t="shared" si="67"/>
        <v>46519</v>
      </c>
      <c r="R598" s="63" t="s">
        <v>2305</v>
      </c>
      <c r="S598" s="63" t="s">
        <v>5426</v>
      </c>
      <c r="T598" s="7">
        <v>0.24099999999999999</v>
      </c>
      <c r="U598" s="7" t="s">
        <v>10</v>
      </c>
      <c r="V598" s="7">
        <f t="shared" si="68"/>
        <v>0.24099999999999999</v>
      </c>
      <c r="W598" s="5">
        <v>0.5</v>
      </c>
      <c r="X598" s="5" t="s">
        <v>55</v>
      </c>
      <c r="Y598" s="48" t="str">
        <f t="shared" si="69"/>
        <v>APROVADO</v>
      </c>
      <c r="Z598" s="7" t="s">
        <v>56</v>
      </c>
      <c r="AA598" s="5">
        <v>11604092</v>
      </c>
      <c r="AB598" s="5" t="s">
        <v>4172</v>
      </c>
      <c r="AC598" s="5" t="s">
        <v>48</v>
      </c>
      <c r="AD598" s="5" t="s">
        <v>5530</v>
      </c>
      <c r="AE598" s="5" t="str">
        <f t="shared" ca="1" si="66"/>
        <v>NO PRAZO</v>
      </c>
      <c r="AF598" s="51"/>
    </row>
    <row r="599" spans="1:32" ht="30" customHeight="1" x14ac:dyDescent="0.25">
      <c r="A599" s="129" t="s">
        <v>5560</v>
      </c>
      <c r="B599" s="129" t="s">
        <v>1570</v>
      </c>
      <c r="C599" s="5" t="s">
        <v>5863</v>
      </c>
      <c r="D599" s="133" t="s">
        <v>151</v>
      </c>
      <c r="E599" s="12" t="s">
        <v>68</v>
      </c>
      <c r="F599" s="12" t="s">
        <v>86</v>
      </c>
      <c r="G599" s="133" t="s">
        <v>342</v>
      </c>
      <c r="H599" s="133" t="s">
        <v>10</v>
      </c>
      <c r="I599" s="133" t="s">
        <v>199</v>
      </c>
      <c r="J599" s="117" t="s">
        <v>1420</v>
      </c>
      <c r="K599" s="13" t="s">
        <v>10</v>
      </c>
      <c r="L599" s="13" t="s">
        <v>10</v>
      </c>
      <c r="M599" s="13" t="s">
        <v>10</v>
      </c>
      <c r="N599" s="13" t="s">
        <v>45</v>
      </c>
      <c r="O599" s="140" t="s">
        <v>56</v>
      </c>
      <c r="P599" s="141">
        <v>46154</v>
      </c>
      <c r="Q599" s="100">
        <f t="shared" si="67"/>
        <v>46519</v>
      </c>
      <c r="R599" s="63" t="s">
        <v>2309</v>
      </c>
      <c r="S599" s="63" t="s">
        <v>5427</v>
      </c>
      <c r="T599" s="7">
        <v>0.251</v>
      </c>
      <c r="U599" s="7" t="s">
        <v>10</v>
      </c>
      <c r="V599" s="7">
        <f t="shared" si="68"/>
        <v>0.251</v>
      </c>
      <c r="W599" s="5">
        <v>0.5</v>
      </c>
      <c r="X599" s="5" t="s">
        <v>55</v>
      </c>
      <c r="Y599" s="48" t="str">
        <f t="shared" si="69"/>
        <v>APROVADO</v>
      </c>
      <c r="Z599" s="7" t="s">
        <v>56</v>
      </c>
      <c r="AA599" s="5">
        <v>11604096</v>
      </c>
      <c r="AB599" s="5" t="s">
        <v>4176</v>
      </c>
      <c r="AC599" s="5" t="s">
        <v>48</v>
      </c>
      <c r="AD599" s="5" t="s">
        <v>5530</v>
      </c>
      <c r="AE599" s="5" t="str">
        <f t="shared" ca="1" si="66"/>
        <v>NO PRAZO</v>
      </c>
      <c r="AF599" s="51"/>
    </row>
    <row r="600" spans="1:32" ht="30" customHeight="1" x14ac:dyDescent="0.25">
      <c r="A600" s="129" t="s">
        <v>5561</v>
      </c>
      <c r="B600" s="129" t="s">
        <v>1573</v>
      </c>
      <c r="C600" s="5" t="s">
        <v>5863</v>
      </c>
      <c r="D600" s="133" t="s">
        <v>151</v>
      </c>
      <c r="E600" s="12" t="s">
        <v>68</v>
      </c>
      <c r="F600" s="12" t="s">
        <v>86</v>
      </c>
      <c r="G600" s="133" t="s">
        <v>342</v>
      </c>
      <c r="H600" s="133" t="s">
        <v>1423</v>
      </c>
      <c r="I600" s="133" t="s">
        <v>199</v>
      </c>
      <c r="J600" s="117" t="s">
        <v>1420</v>
      </c>
      <c r="K600" s="13" t="s">
        <v>10</v>
      </c>
      <c r="L600" s="13" t="s">
        <v>10</v>
      </c>
      <c r="M600" s="13" t="s">
        <v>10</v>
      </c>
      <c r="N600" s="13" t="s">
        <v>45</v>
      </c>
      <c r="O600" s="140" t="s">
        <v>56</v>
      </c>
      <c r="P600" s="141">
        <v>46154</v>
      </c>
      <c r="Q600" s="100">
        <f t="shared" si="67"/>
        <v>46519</v>
      </c>
      <c r="R600" s="63" t="s">
        <v>2310</v>
      </c>
      <c r="S600" s="63" t="s">
        <v>5428</v>
      </c>
      <c r="T600" s="7">
        <v>0.251</v>
      </c>
      <c r="U600" s="7" t="s">
        <v>10</v>
      </c>
      <c r="V600" s="7">
        <f t="shared" si="68"/>
        <v>0.251</v>
      </c>
      <c r="W600" s="5">
        <v>0.5</v>
      </c>
      <c r="X600" s="5" t="s">
        <v>55</v>
      </c>
      <c r="Y600" s="48" t="str">
        <f t="shared" si="69"/>
        <v>APROVADO</v>
      </c>
      <c r="Z600" s="7" t="s">
        <v>56</v>
      </c>
      <c r="AA600" s="5">
        <v>11604097</v>
      </c>
      <c r="AB600" s="5" t="s">
        <v>4177</v>
      </c>
      <c r="AC600" s="5" t="s">
        <v>48</v>
      </c>
      <c r="AD600" s="5" t="s">
        <v>5530</v>
      </c>
      <c r="AE600" s="5" t="str">
        <f t="shared" ca="1" si="66"/>
        <v>NO PRAZO</v>
      </c>
      <c r="AF600" s="51"/>
    </row>
    <row r="601" spans="1:32" ht="30" customHeight="1" x14ac:dyDescent="0.25">
      <c r="A601" s="13" t="s">
        <v>3225</v>
      </c>
      <c r="B601" s="13" t="s">
        <v>10</v>
      </c>
      <c r="C601" s="5" t="s">
        <v>5862</v>
      </c>
      <c r="D601" s="12" t="s">
        <v>137</v>
      </c>
      <c r="E601" s="12" t="s">
        <v>68</v>
      </c>
      <c r="F601" s="12" t="s">
        <v>86</v>
      </c>
      <c r="G601" s="12" t="s">
        <v>342</v>
      </c>
      <c r="H601" s="12" t="s">
        <v>343</v>
      </c>
      <c r="I601" s="12" t="s">
        <v>53</v>
      </c>
      <c r="J601" s="12" t="s">
        <v>345</v>
      </c>
      <c r="K601" s="13" t="s">
        <v>45</v>
      </c>
      <c r="L601" s="13" t="s">
        <v>10</v>
      </c>
      <c r="M601" s="13" t="s">
        <v>10</v>
      </c>
      <c r="N601" s="13" t="s">
        <v>10</v>
      </c>
      <c r="O601" s="140" t="s">
        <v>46</v>
      </c>
      <c r="P601" s="104">
        <v>46154</v>
      </c>
      <c r="Q601" s="100">
        <f t="shared" si="67"/>
        <v>46519</v>
      </c>
      <c r="R601" s="5" t="s">
        <v>2318</v>
      </c>
      <c r="S601" s="5" t="s">
        <v>5429</v>
      </c>
      <c r="T601" s="7">
        <v>0.26900000000000002</v>
      </c>
      <c r="U601" s="7" t="s">
        <v>10</v>
      </c>
      <c r="V601" s="7">
        <f t="shared" si="68"/>
        <v>0.26900000000000002</v>
      </c>
      <c r="W601" s="5">
        <v>0.5</v>
      </c>
      <c r="X601" s="5" t="s">
        <v>55</v>
      </c>
      <c r="Y601" s="48" t="str">
        <f t="shared" si="69"/>
        <v>APROVADO</v>
      </c>
      <c r="Z601" s="7" t="s">
        <v>56</v>
      </c>
      <c r="AA601" s="5">
        <v>11606652</v>
      </c>
      <c r="AB601" s="5" t="s">
        <v>4103</v>
      </c>
      <c r="AC601" s="5" t="s">
        <v>48</v>
      </c>
      <c r="AD601" s="5" t="s">
        <v>5530</v>
      </c>
      <c r="AE601" s="5" t="str">
        <f t="shared" ca="1" si="66"/>
        <v>NO PRAZO</v>
      </c>
      <c r="AF601" s="51"/>
    </row>
    <row r="602" spans="1:32" ht="30" customHeight="1" x14ac:dyDescent="0.25">
      <c r="A602" s="13" t="s">
        <v>341</v>
      </c>
      <c r="B602" s="13" t="s">
        <v>10</v>
      </c>
      <c r="C602" s="5" t="s">
        <v>5862</v>
      </c>
      <c r="D602" s="12" t="s">
        <v>137</v>
      </c>
      <c r="E602" s="12" t="s">
        <v>68</v>
      </c>
      <c r="F602" s="12" t="s">
        <v>86</v>
      </c>
      <c r="G602" s="12" t="s">
        <v>342</v>
      </c>
      <c r="H602" s="12" t="s">
        <v>343</v>
      </c>
      <c r="I602" s="12" t="s">
        <v>53</v>
      </c>
      <c r="J602" s="12" t="s">
        <v>344</v>
      </c>
      <c r="K602" s="13" t="s">
        <v>45</v>
      </c>
      <c r="L602" s="13" t="s">
        <v>10</v>
      </c>
      <c r="M602" s="13" t="s">
        <v>10</v>
      </c>
      <c r="N602" s="13" t="s">
        <v>10</v>
      </c>
      <c r="O602" s="140" t="s">
        <v>46</v>
      </c>
      <c r="P602" s="104">
        <v>46154</v>
      </c>
      <c r="Q602" s="100">
        <f t="shared" si="67"/>
        <v>46519</v>
      </c>
      <c r="R602" s="5" t="s">
        <v>2317</v>
      </c>
      <c r="S602" s="5" t="s">
        <v>5430</v>
      </c>
      <c r="T602" s="7">
        <v>0.249</v>
      </c>
      <c r="U602" s="7" t="s">
        <v>10</v>
      </c>
      <c r="V602" s="7">
        <f t="shared" si="68"/>
        <v>0.249</v>
      </c>
      <c r="W602" s="5">
        <v>0.5</v>
      </c>
      <c r="X602" s="5" t="s">
        <v>55</v>
      </c>
      <c r="Y602" s="48" t="str">
        <f t="shared" si="69"/>
        <v>APROVADO</v>
      </c>
      <c r="Z602" s="7" t="s">
        <v>56</v>
      </c>
      <c r="AA602" s="5">
        <v>11606651</v>
      </c>
      <c r="AB602" s="5" t="s">
        <v>4102</v>
      </c>
      <c r="AC602" s="5" t="s">
        <v>48</v>
      </c>
      <c r="AD602" s="5" t="s">
        <v>5530</v>
      </c>
      <c r="AE602" s="5" t="str">
        <f t="shared" ca="1" si="66"/>
        <v>NO PRAZO</v>
      </c>
      <c r="AF602" s="51"/>
    </row>
    <row r="603" spans="1:32" ht="30" customHeight="1" x14ac:dyDescent="0.25">
      <c r="A603" s="13" t="s">
        <v>3226</v>
      </c>
      <c r="B603" s="13" t="s">
        <v>10</v>
      </c>
      <c r="C603" s="5" t="s">
        <v>5862</v>
      </c>
      <c r="D603" s="12" t="s">
        <v>137</v>
      </c>
      <c r="E603" s="12" t="s">
        <v>68</v>
      </c>
      <c r="F603" s="12" t="s">
        <v>86</v>
      </c>
      <c r="G603" s="12" t="s">
        <v>342</v>
      </c>
      <c r="H603" s="12" t="s">
        <v>343</v>
      </c>
      <c r="I603" s="12" t="s">
        <v>53</v>
      </c>
      <c r="J603" s="12" t="s">
        <v>345</v>
      </c>
      <c r="K603" s="13" t="s">
        <v>45</v>
      </c>
      <c r="L603" s="13" t="s">
        <v>10</v>
      </c>
      <c r="M603" s="13" t="s">
        <v>10</v>
      </c>
      <c r="N603" s="13" t="s">
        <v>10</v>
      </c>
      <c r="O603" s="140" t="s">
        <v>46</v>
      </c>
      <c r="P603" s="104">
        <v>46154</v>
      </c>
      <c r="Q603" s="100">
        <f t="shared" si="67"/>
        <v>46519</v>
      </c>
      <c r="R603" s="5" t="s">
        <v>2320</v>
      </c>
      <c r="S603" s="5" t="s">
        <v>5431</v>
      </c>
      <c r="T603" s="7">
        <v>0.251</v>
      </c>
      <c r="U603" s="7" t="s">
        <v>10</v>
      </c>
      <c r="V603" s="7">
        <f t="shared" si="68"/>
        <v>0.251</v>
      </c>
      <c r="W603" s="5">
        <v>0.5</v>
      </c>
      <c r="X603" s="5" t="s">
        <v>55</v>
      </c>
      <c r="Y603" s="48" t="str">
        <f t="shared" si="69"/>
        <v>APROVADO</v>
      </c>
      <c r="Z603" s="7" t="s">
        <v>56</v>
      </c>
      <c r="AA603" s="5">
        <v>11606654</v>
      </c>
      <c r="AB603" s="5" t="s">
        <v>4105</v>
      </c>
      <c r="AC603" s="5" t="s">
        <v>48</v>
      </c>
      <c r="AD603" s="5" t="s">
        <v>5530</v>
      </c>
      <c r="AE603" s="5" t="str">
        <f t="shared" ca="1" si="66"/>
        <v>NO PRAZO</v>
      </c>
      <c r="AF603" s="51"/>
    </row>
    <row r="604" spans="1:32" ht="30" customHeight="1" x14ac:dyDescent="0.25">
      <c r="A604" s="13" t="s">
        <v>346</v>
      </c>
      <c r="B604" s="13" t="s">
        <v>10</v>
      </c>
      <c r="C604" s="5" t="s">
        <v>5862</v>
      </c>
      <c r="D604" s="12" t="s">
        <v>137</v>
      </c>
      <c r="E604" s="12" t="s">
        <v>68</v>
      </c>
      <c r="F604" s="12" t="s">
        <v>86</v>
      </c>
      <c r="G604" s="12" t="s">
        <v>342</v>
      </c>
      <c r="H604" s="12" t="s">
        <v>343</v>
      </c>
      <c r="I604" s="12" t="s">
        <v>53</v>
      </c>
      <c r="J604" s="12" t="s">
        <v>345</v>
      </c>
      <c r="K604" s="13" t="s">
        <v>45</v>
      </c>
      <c r="L604" s="13" t="s">
        <v>10</v>
      </c>
      <c r="M604" s="13" t="s">
        <v>10</v>
      </c>
      <c r="N604" s="13" t="s">
        <v>10</v>
      </c>
      <c r="O604" s="140" t="s">
        <v>46</v>
      </c>
      <c r="P604" s="104">
        <v>46154</v>
      </c>
      <c r="Q604" s="100">
        <f t="shared" si="67"/>
        <v>46519</v>
      </c>
      <c r="R604" s="5" t="s">
        <v>2319</v>
      </c>
      <c r="S604" s="5" t="s">
        <v>5432</v>
      </c>
      <c r="T604" s="7">
        <v>0.29099999999999998</v>
      </c>
      <c r="U604" s="7" t="s">
        <v>10</v>
      </c>
      <c r="V604" s="7">
        <f t="shared" si="68"/>
        <v>0.29099999999999998</v>
      </c>
      <c r="W604" s="5">
        <v>0.5</v>
      </c>
      <c r="X604" s="5" t="s">
        <v>55</v>
      </c>
      <c r="Y604" s="48" t="str">
        <f t="shared" si="69"/>
        <v>APROVADO</v>
      </c>
      <c r="Z604" s="7" t="s">
        <v>56</v>
      </c>
      <c r="AA604" s="5">
        <v>11606653</v>
      </c>
      <c r="AB604" s="5" t="s">
        <v>4104</v>
      </c>
      <c r="AC604" s="5" t="s">
        <v>48</v>
      </c>
      <c r="AD604" s="5" t="s">
        <v>5530</v>
      </c>
      <c r="AE604" s="5" t="str">
        <f t="shared" ca="1" si="66"/>
        <v>NO PRAZO</v>
      </c>
      <c r="AF604" s="51"/>
    </row>
    <row r="605" spans="1:32" ht="30" customHeight="1" x14ac:dyDescent="0.25">
      <c r="A605" s="129" t="s">
        <v>3243</v>
      </c>
      <c r="B605" s="13" t="s">
        <v>10</v>
      </c>
      <c r="C605" s="5" t="s">
        <v>5863</v>
      </c>
      <c r="D605" s="133" t="s">
        <v>151</v>
      </c>
      <c r="E605" s="12" t="s">
        <v>68</v>
      </c>
      <c r="F605" s="12" t="s">
        <v>86</v>
      </c>
      <c r="G605" s="133" t="s">
        <v>342</v>
      </c>
      <c r="H605" s="133" t="s">
        <v>1423</v>
      </c>
      <c r="I605" s="133" t="s">
        <v>199</v>
      </c>
      <c r="J605" s="117" t="s">
        <v>1420</v>
      </c>
      <c r="K605" s="13" t="s">
        <v>10</v>
      </c>
      <c r="L605" s="13" t="s">
        <v>10</v>
      </c>
      <c r="M605" s="13" t="s">
        <v>10</v>
      </c>
      <c r="N605" s="13" t="s">
        <v>45</v>
      </c>
      <c r="O605" s="140" t="s">
        <v>56</v>
      </c>
      <c r="P605" s="141">
        <v>46154</v>
      </c>
      <c r="Q605" s="100">
        <f t="shared" si="67"/>
        <v>46519</v>
      </c>
      <c r="R605" s="63" t="s">
        <v>2357</v>
      </c>
      <c r="S605" s="63" t="s">
        <v>5433</v>
      </c>
      <c r="T605" s="7">
        <v>0.36899999999999999</v>
      </c>
      <c r="U605" s="7" t="s">
        <v>10</v>
      </c>
      <c r="V605" s="7">
        <f t="shared" si="68"/>
        <v>0.36899999999999999</v>
      </c>
      <c r="W605" s="5">
        <v>0.5</v>
      </c>
      <c r="X605" s="5" t="s">
        <v>55</v>
      </c>
      <c r="Y605" s="48" t="str">
        <f t="shared" si="69"/>
        <v>APROVADO</v>
      </c>
      <c r="Z605" s="7" t="s">
        <v>56</v>
      </c>
      <c r="AA605" s="5">
        <v>11606707</v>
      </c>
      <c r="AB605" s="5" t="s">
        <v>4166</v>
      </c>
      <c r="AC605" s="5" t="s">
        <v>48</v>
      </c>
      <c r="AD605" s="5" t="s">
        <v>5530</v>
      </c>
      <c r="AE605" s="5" t="str">
        <f t="shared" ca="1" si="66"/>
        <v>NO PRAZO</v>
      </c>
      <c r="AF605" s="51"/>
    </row>
    <row r="606" spans="1:32" ht="30" customHeight="1" x14ac:dyDescent="0.25">
      <c r="A606" s="129" t="s">
        <v>3251</v>
      </c>
      <c r="B606" s="13" t="s">
        <v>10</v>
      </c>
      <c r="C606" s="5" t="s">
        <v>5863</v>
      </c>
      <c r="D606" s="133" t="s">
        <v>151</v>
      </c>
      <c r="E606" s="12" t="s">
        <v>68</v>
      </c>
      <c r="F606" s="12" t="s">
        <v>86</v>
      </c>
      <c r="G606" s="133" t="s">
        <v>342</v>
      </c>
      <c r="H606" s="133" t="s">
        <v>10</v>
      </c>
      <c r="I606" s="133" t="s">
        <v>199</v>
      </c>
      <c r="J606" s="117" t="s">
        <v>1420</v>
      </c>
      <c r="K606" s="13" t="s">
        <v>10</v>
      </c>
      <c r="L606" s="13" t="s">
        <v>10</v>
      </c>
      <c r="M606" s="13" t="s">
        <v>10</v>
      </c>
      <c r="N606" s="13" t="s">
        <v>45</v>
      </c>
      <c r="O606" s="140" t="s">
        <v>56</v>
      </c>
      <c r="P606" s="141">
        <v>46154</v>
      </c>
      <c r="Q606" s="100">
        <f t="shared" si="67"/>
        <v>46519</v>
      </c>
      <c r="R606" s="63" t="s">
        <v>2311</v>
      </c>
      <c r="S606" s="63" t="s">
        <v>5434</v>
      </c>
      <c r="T606" s="7">
        <v>0.35</v>
      </c>
      <c r="U606" s="7" t="s">
        <v>10</v>
      </c>
      <c r="V606" s="7">
        <f t="shared" si="68"/>
        <v>0.35</v>
      </c>
      <c r="W606" s="5">
        <v>0.5</v>
      </c>
      <c r="X606" s="5" t="s">
        <v>55</v>
      </c>
      <c r="Y606" s="48" t="str">
        <f t="shared" si="69"/>
        <v>APROVADO</v>
      </c>
      <c r="Z606" s="7" t="s">
        <v>56</v>
      </c>
      <c r="AA606" s="5">
        <v>11604098</v>
      </c>
      <c r="AB606" s="5" t="s">
        <v>4178</v>
      </c>
      <c r="AC606" s="5" t="s">
        <v>48</v>
      </c>
      <c r="AD606" s="5" t="s">
        <v>5530</v>
      </c>
      <c r="AE606" s="5" t="str">
        <f t="shared" ca="1" si="66"/>
        <v>NO PRAZO</v>
      </c>
      <c r="AF606" s="51"/>
    </row>
    <row r="607" spans="1:32" ht="30" customHeight="1" x14ac:dyDescent="0.25">
      <c r="A607" s="13" t="s">
        <v>1598</v>
      </c>
      <c r="B607" s="13" t="s">
        <v>10</v>
      </c>
      <c r="C607" s="5" t="s">
        <v>5864</v>
      </c>
      <c r="D607" s="12" t="s">
        <v>1599</v>
      </c>
      <c r="E607" s="12" t="s">
        <v>256</v>
      </c>
      <c r="F607" s="12" t="s">
        <v>263</v>
      </c>
      <c r="G607" s="122" t="s">
        <v>1599</v>
      </c>
      <c r="H607" s="12" t="s">
        <v>1599</v>
      </c>
      <c r="I607" s="12" t="s">
        <v>3555</v>
      </c>
      <c r="J607" s="12" t="s">
        <v>3554</v>
      </c>
      <c r="K607" s="13" t="s">
        <v>10</v>
      </c>
      <c r="L607" s="13" t="s">
        <v>45</v>
      </c>
      <c r="M607" s="13" t="s">
        <v>10</v>
      </c>
      <c r="N607" s="13" t="s">
        <v>10</v>
      </c>
      <c r="O607" s="94" t="s">
        <v>46</v>
      </c>
      <c r="P607" s="104">
        <v>45938</v>
      </c>
      <c r="Q607" s="100">
        <f t="shared" si="67"/>
        <v>46303</v>
      </c>
      <c r="R607" s="5" t="s">
        <v>1808</v>
      </c>
      <c r="S607" s="5" t="s">
        <v>3497</v>
      </c>
      <c r="T607" s="7">
        <v>9.9</v>
      </c>
      <c r="U607" s="7" t="s">
        <v>10</v>
      </c>
      <c r="V607" s="7">
        <f t="shared" si="68"/>
        <v>9.9</v>
      </c>
      <c r="W607" s="5" t="s">
        <v>10</v>
      </c>
      <c r="X607" s="5" t="s">
        <v>55</v>
      </c>
      <c r="Y607" s="48" t="str">
        <f t="shared" si="69"/>
        <v>A DEFINIR</v>
      </c>
      <c r="Z607" s="7" t="s">
        <v>56</v>
      </c>
      <c r="AA607" s="5">
        <v>11599740</v>
      </c>
      <c r="AB607" s="5" t="s">
        <v>3956</v>
      </c>
      <c r="AC607" s="5" t="s">
        <v>48</v>
      </c>
      <c r="AD607" s="5" t="s">
        <v>5530</v>
      </c>
      <c r="AE607" s="5" t="str">
        <f t="shared" ca="1" si="66"/>
        <v>NO PRAZO</v>
      </c>
      <c r="AF607" s="51"/>
    </row>
    <row r="608" spans="1:32" ht="30" customHeight="1" x14ac:dyDescent="0.25">
      <c r="A608" s="13" t="s">
        <v>1604</v>
      </c>
      <c r="B608" s="13" t="s">
        <v>10</v>
      </c>
      <c r="C608" s="5" t="s">
        <v>5864</v>
      </c>
      <c r="D608" s="12" t="s">
        <v>1600</v>
      </c>
      <c r="E608" s="7" t="s">
        <v>256</v>
      </c>
      <c r="F608" s="7" t="s">
        <v>257</v>
      </c>
      <c r="G608" s="7" t="s">
        <v>1600</v>
      </c>
      <c r="H608" s="12" t="s">
        <v>1600</v>
      </c>
      <c r="I608" s="12" t="s">
        <v>1601</v>
      </c>
      <c r="J608" s="135" t="s">
        <v>1602</v>
      </c>
      <c r="K608" s="13" t="s">
        <v>10</v>
      </c>
      <c r="L608" s="13" t="s">
        <v>45</v>
      </c>
      <c r="M608" s="13" t="s">
        <v>10</v>
      </c>
      <c r="N608" s="13" t="s">
        <v>10</v>
      </c>
      <c r="O608" s="94" t="s">
        <v>46</v>
      </c>
      <c r="P608" s="104">
        <v>46034</v>
      </c>
      <c r="Q608" s="100">
        <f t="shared" si="67"/>
        <v>46399</v>
      </c>
      <c r="R608" s="5" t="s">
        <v>1890</v>
      </c>
      <c r="S608" s="5" t="s">
        <v>5029</v>
      </c>
      <c r="T608" s="5">
        <v>7.7</v>
      </c>
      <c r="U608" s="7" t="s">
        <v>10</v>
      </c>
      <c r="V608" s="7">
        <f t="shared" si="68"/>
        <v>7.7</v>
      </c>
      <c r="W608" s="5">
        <v>10</v>
      </c>
      <c r="X608" s="5" t="s">
        <v>1603</v>
      </c>
      <c r="Y608" s="48" t="str">
        <f t="shared" si="69"/>
        <v>APROVADO</v>
      </c>
      <c r="Z608" s="7" t="s">
        <v>56</v>
      </c>
      <c r="AA608" s="5">
        <v>11599791</v>
      </c>
      <c r="AB608" s="5" t="s">
        <v>3957</v>
      </c>
      <c r="AC608" s="5" t="s">
        <v>48</v>
      </c>
      <c r="AD608" s="5" t="s">
        <v>5530</v>
      </c>
      <c r="AE608" s="5" t="str">
        <f t="shared" ca="1" si="66"/>
        <v>NO PRAZO</v>
      </c>
      <c r="AF608" s="49"/>
    </row>
    <row r="609" spans="1:32" ht="30" customHeight="1" x14ac:dyDescent="0.25">
      <c r="A609" s="13" t="s">
        <v>1605</v>
      </c>
      <c r="B609" s="13" t="s">
        <v>10</v>
      </c>
      <c r="C609" s="5" t="s">
        <v>5864</v>
      </c>
      <c r="D609" s="12" t="s">
        <v>1600</v>
      </c>
      <c r="E609" s="7" t="s">
        <v>256</v>
      </c>
      <c r="F609" s="12" t="s">
        <v>257</v>
      </c>
      <c r="G609" s="12" t="s">
        <v>1600</v>
      </c>
      <c r="H609" s="12" t="s">
        <v>1600</v>
      </c>
      <c r="I609" s="12" t="s">
        <v>1601</v>
      </c>
      <c r="J609" s="135" t="s">
        <v>1602</v>
      </c>
      <c r="K609" s="13" t="s">
        <v>10</v>
      </c>
      <c r="L609" s="13" t="s">
        <v>45</v>
      </c>
      <c r="M609" s="13" t="s">
        <v>10</v>
      </c>
      <c r="N609" s="13" t="s">
        <v>10</v>
      </c>
      <c r="O609" s="94" t="s">
        <v>46</v>
      </c>
      <c r="P609" s="104">
        <v>46034</v>
      </c>
      <c r="Q609" s="100">
        <f t="shared" si="67"/>
        <v>46399</v>
      </c>
      <c r="R609" s="7" t="s">
        <v>1891</v>
      </c>
      <c r="S609" s="7" t="s">
        <v>5030</v>
      </c>
      <c r="T609" s="5">
        <v>7.6</v>
      </c>
      <c r="U609" s="7" t="s">
        <v>10</v>
      </c>
      <c r="V609" s="7">
        <f t="shared" si="68"/>
        <v>7.6</v>
      </c>
      <c r="W609" s="5">
        <v>10</v>
      </c>
      <c r="X609" s="5" t="s">
        <v>1603</v>
      </c>
      <c r="Y609" s="48" t="str">
        <f t="shared" si="69"/>
        <v>APROVADO</v>
      </c>
      <c r="Z609" s="7" t="s">
        <v>56</v>
      </c>
      <c r="AA609" s="5">
        <v>11599793</v>
      </c>
      <c r="AB609" s="5" t="s">
        <v>3958</v>
      </c>
      <c r="AC609" s="5" t="s">
        <v>48</v>
      </c>
      <c r="AD609" s="5" t="s">
        <v>5530</v>
      </c>
      <c r="AE609" s="5" t="str">
        <f t="shared" ca="1" si="66"/>
        <v>NO PRAZO</v>
      </c>
      <c r="AF609" s="49"/>
    </row>
    <row r="610" spans="1:32" ht="30" customHeight="1" x14ac:dyDescent="0.25">
      <c r="A610" s="13" t="s">
        <v>1606</v>
      </c>
      <c r="B610" s="13" t="s">
        <v>10</v>
      </c>
      <c r="C610" s="5" t="s">
        <v>5864</v>
      </c>
      <c r="D610" s="12" t="s">
        <v>1600</v>
      </c>
      <c r="E610" s="7" t="s">
        <v>256</v>
      </c>
      <c r="F610" s="12" t="s">
        <v>257</v>
      </c>
      <c r="G610" s="12" t="s">
        <v>1600</v>
      </c>
      <c r="H610" s="12" t="s">
        <v>680</v>
      </c>
      <c r="I610" s="12" t="s">
        <v>1607</v>
      </c>
      <c r="J610" s="12" t="s">
        <v>1608</v>
      </c>
      <c r="K610" s="13" t="s">
        <v>10</v>
      </c>
      <c r="L610" s="13" t="s">
        <v>45</v>
      </c>
      <c r="M610" s="13" t="s">
        <v>10</v>
      </c>
      <c r="N610" s="13" t="s">
        <v>10</v>
      </c>
      <c r="O610" s="94" t="s">
        <v>46</v>
      </c>
      <c r="P610" s="104">
        <v>46077</v>
      </c>
      <c r="Q610" s="100">
        <f t="shared" si="67"/>
        <v>46442</v>
      </c>
      <c r="R610" s="5" t="s">
        <v>1904</v>
      </c>
      <c r="S610" s="5" t="s">
        <v>4993</v>
      </c>
      <c r="T610" s="5">
        <v>6.2</v>
      </c>
      <c r="U610" s="7" t="s">
        <v>10</v>
      </c>
      <c r="V610" s="7">
        <f t="shared" si="68"/>
        <v>6.2</v>
      </c>
      <c r="W610" s="5">
        <v>10</v>
      </c>
      <c r="X610" s="5" t="s">
        <v>1603</v>
      </c>
      <c r="Y610" s="48" t="str">
        <f t="shared" si="69"/>
        <v>APROVADO</v>
      </c>
      <c r="Z610" s="7" t="s">
        <v>56</v>
      </c>
      <c r="AA610" s="5">
        <v>11600083</v>
      </c>
      <c r="AB610" s="5" t="s">
        <v>3959</v>
      </c>
      <c r="AC610" s="5" t="s">
        <v>48</v>
      </c>
      <c r="AD610" s="5" t="s">
        <v>5530</v>
      </c>
      <c r="AE610" s="5" t="str">
        <f t="shared" ca="1" si="66"/>
        <v>NO PRAZO</v>
      </c>
      <c r="AF610" s="53"/>
    </row>
    <row r="611" spans="1:32" ht="30" customHeight="1" x14ac:dyDescent="0.25">
      <c r="A611" s="13" t="s">
        <v>1609</v>
      </c>
      <c r="B611" s="13" t="s">
        <v>10</v>
      </c>
      <c r="C611" s="5" t="s">
        <v>5864</v>
      </c>
      <c r="D611" s="12" t="s">
        <v>4393</v>
      </c>
      <c r="E611" s="7" t="s">
        <v>256</v>
      </c>
      <c r="F611" s="12" t="s">
        <v>257</v>
      </c>
      <c r="G611" s="12" t="s">
        <v>1600</v>
      </c>
      <c r="H611" s="12" t="s">
        <v>1610</v>
      </c>
      <c r="I611" s="12" t="s">
        <v>1601</v>
      </c>
      <c r="J611" s="137" t="s">
        <v>1611</v>
      </c>
      <c r="K611" s="13" t="s">
        <v>10</v>
      </c>
      <c r="L611" s="13" t="s">
        <v>45</v>
      </c>
      <c r="M611" s="13" t="s">
        <v>10</v>
      </c>
      <c r="N611" s="13" t="s">
        <v>10</v>
      </c>
      <c r="O611" s="94" t="s">
        <v>46</v>
      </c>
      <c r="P611" s="104">
        <v>45995</v>
      </c>
      <c r="Q611" s="100">
        <f t="shared" si="67"/>
        <v>46360</v>
      </c>
      <c r="R611" s="5" t="s">
        <v>1866</v>
      </c>
      <c r="S611" s="5" t="s">
        <v>4250</v>
      </c>
      <c r="T611" s="7">
        <v>8.1999999999999993</v>
      </c>
      <c r="U611" s="7" t="s">
        <v>10</v>
      </c>
      <c r="V611" s="7">
        <f t="shared" si="68"/>
        <v>8.1999999999999993</v>
      </c>
      <c r="W611" s="5">
        <v>10</v>
      </c>
      <c r="X611" s="5" t="s">
        <v>1603</v>
      </c>
      <c r="Y611" s="48" t="str">
        <f t="shared" si="69"/>
        <v>APROVADO</v>
      </c>
      <c r="Z611" s="7" t="s">
        <v>56</v>
      </c>
      <c r="AA611" s="5">
        <v>11599741</v>
      </c>
      <c r="AB611" s="5" t="s">
        <v>3960</v>
      </c>
      <c r="AC611" s="5" t="s">
        <v>48</v>
      </c>
      <c r="AD611" s="5" t="s">
        <v>5530</v>
      </c>
      <c r="AE611" s="5" t="str">
        <f t="shared" ca="1" si="66"/>
        <v>NO PRAZO</v>
      </c>
      <c r="AF611" s="52"/>
    </row>
    <row r="612" spans="1:32" ht="30" customHeight="1" x14ac:dyDescent="0.25">
      <c r="A612" s="13" t="s">
        <v>1612</v>
      </c>
      <c r="B612" s="13" t="s">
        <v>10</v>
      </c>
      <c r="C612" s="5" t="s">
        <v>5864</v>
      </c>
      <c r="D612" s="12" t="s">
        <v>1600</v>
      </c>
      <c r="E612" s="7" t="s">
        <v>256</v>
      </c>
      <c r="F612" s="12" t="s">
        <v>257</v>
      </c>
      <c r="G612" s="12" t="s">
        <v>1600</v>
      </c>
      <c r="H612" s="12" t="s">
        <v>1610</v>
      </c>
      <c r="I612" s="12" t="s">
        <v>1601</v>
      </c>
      <c r="J612" s="135" t="s">
        <v>1602</v>
      </c>
      <c r="K612" s="13" t="s">
        <v>10</v>
      </c>
      <c r="L612" s="13" t="s">
        <v>45</v>
      </c>
      <c r="M612" s="13" t="s">
        <v>10</v>
      </c>
      <c r="N612" s="13" t="s">
        <v>10</v>
      </c>
      <c r="O612" s="94" t="s">
        <v>46</v>
      </c>
      <c r="P612" s="104">
        <v>46153</v>
      </c>
      <c r="Q612" s="100">
        <f t="shared" si="67"/>
        <v>46518</v>
      </c>
      <c r="R612" s="5" t="s">
        <v>2236</v>
      </c>
      <c r="S612" s="5" t="s">
        <v>5371</v>
      </c>
      <c r="T612" s="7">
        <v>7.3</v>
      </c>
      <c r="U612" s="7" t="s">
        <v>10</v>
      </c>
      <c r="V612" s="7">
        <f t="shared" si="68"/>
        <v>7.3</v>
      </c>
      <c r="W612" s="5">
        <v>10</v>
      </c>
      <c r="X612" s="5" t="s">
        <v>1603</v>
      </c>
      <c r="Y612" s="48" t="str">
        <f t="shared" si="69"/>
        <v>APROVADO</v>
      </c>
      <c r="Z612" s="7" t="s">
        <v>46</v>
      </c>
      <c r="AA612" s="5">
        <v>11606709</v>
      </c>
      <c r="AB612" s="5" t="s">
        <v>4179</v>
      </c>
      <c r="AC612" s="5" t="s">
        <v>48</v>
      </c>
      <c r="AD612" s="5" t="s">
        <v>5530</v>
      </c>
      <c r="AE612" s="5" t="str">
        <f t="shared" ca="1" si="66"/>
        <v>NO PRAZO</v>
      </c>
      <c r="AF612" s="49"/>
    </row>
    <row r="613" spans="1:32" ht="30" customHeight="1" x14ac:dyDescent="0.25">
      <c r="A613" s="13" t="s">
        <v>1613</v>
      </c>
      <c r="B613" s="13" t="s">
        <v>10</v>
      </c>
      <c r="C613" s="5" t="s">
        <v>5864</v>
      </c>
      <c r="D613" s="12" t="s">
        <v>1600</v>
      </c>
      <c r="E613" s="7" t="s">
        <v>256</v>
      </c>
      <c r="F613" s="12" t="s">
        <v>257</v>
      </c>
      <c r="G613" s="12" t="s">
        <v>1600</v>
      </c>
      <c r="H613" s="7" t="s">
        <v>1610</v>
      </c>
      <c r="I613" s="12" t="s">
        <v>1601</v>
      </c>
      <c r="J613" s="135" t="s">
        <v>1602</v>
      </c>
      <c r="K613" s="13" t="s">
        <v>10</v>
      </c>
      <c r="L613" s="13" t="s">
        <v>45</v>
      </c>
      <c r="M613" s="13" t="s">
        <v>10</v>
      </c>
      <c r="N613" s="13" t="s">
        <v>10</v>
      </c>
      <c r="O613" s="94" t="s">
        <v>46</v>
      </c>
      <c r="P613" s="104">
        <v>46230</v>
      </c>
      <c r="Q613" s="100">
        <f t="shared" si="67"/>
        <v>46595</v>
      </c>
      <c r="R613" s="5" t="s">
        <v>2240</v>
      </c>
      <c r="S613" s="5" t="s">
        <v>5930</v>
      </c>
      <c r="T613" s="7">
        <v>9.1</v>
      </c>
      <c r="U613" s="7" t="s">
        <v>10</v>
      </c>
      <c r="V613" s="7">
        <f t="shared" si="68"/>
        <v>9.1</v>
      </c>
      <c r="W613" s="5">
        <v>10</v>
      </c>
      <c r="X613" s="5" t="s">
        <v>1603</v>
      </c>
      <c r="Y613" s="48" t="str">
        <f t="shared" si="69"/>
        <v>APROVADO</v>
      </c>
      <c r="Z613" s="7" t="s">
        <v>56</v>
      </c>
      <c r="AA613" s="5">
        <v>11586905</v>
      </c>
      <c r="AB613" s="5" t="s">
        <v>2889</v>
      </c>
      <c r="AC613" s="5" t="s">
        <v>48</v>
      </c>
      <c r="AD613" s="5" t="s">
        <v>5632</v>
      </c>
      <c r="AE613" s="5" t="str">
        <f t="shared" ca="1" si="66"/>
        <v>NO PRAZO</v>
      </c>
      <c r="AF613" s="49"/>
    </row>
    <row r="614" spans="1:32" ht="30" customHeight="1" x14ac:dyDescent="0.25">
      <c r="A614" s="13" t="s">
        <v>1614</v>
      </c>
      <c r="B614" s="13" t="s">
        <v>10</v>
      </c>
      <c r="C614" s="5" t="s">
        <v>5864</v>
      </c>
      <c r="D614" s="12" t="s">
        <v>1600</v>
      </c>
      <c r="E614" s="7" t="s">
        <v>256</v>
      </c>
      <c r="F614" s="12" t="s">
        <v>257</v>
      </c>
      <c r="G614" s="12" t="s">
        <v>1600</v>
      </c>
      <c r="H614" s="12" t="s">
        <v>1610</v>
      </c>
      <c r="I614" s="12" t="s">
        <v>1601</v>
      </c>
      <c r="J614" s="135" t="s">
        <v>1602</v>
      </c>
      <c r="K614" s="13" t="s">
        <v>10</v>
      </c>
      <c r="L614" s="13" t="s">
        <v>45</v>
      </c>
      <c r="M614" s="13" t="s">
        <v>10</v>
      </c>
      <c r="N614" s="13" t="s">
        <v>10</v>
      </c>
      <c r="O614" s="94" t="s">
        <v>46</v>
      </c>
      <c r="P614" s="104">
        <v>46153</v>
      </c>
      <c r="Q614" s="100">
        <f t="shared" si="67"/>
        <v>46518</v>
      </c>
      <c r="R614" s="5" t="s">
        <v>2237</v>
      </c>
      <c r="S614" s="5" t="s">
        <v>5372</v>
      </c>
      <c r="T614" s="7">
        <v>7.3</v>
      </c>
      <c r="U614" s="7" t="s">
        <v>10</v>
      </c>
      <c r="V614" s="7">
        <f t="shared" si="68"/>
        <v>7.3</v>
      </c>
      <c r="W614" s="5">
        <v>10</v>
      </c>
      <c r="X614" s="5" t="s">
        <v>1603</v>
      </c>
      <c r="Y614" s="48" t="str">
        <f t="shared" si="69"/>
        <v>APROVADO</v>
      </c>
      <c r="Z614" s="7" t="s">
        <v>56</v>
      </c>
      <c r="AA614" s="5">
        <v>11604102</v>
      </c>
      <c r="AB614" s="5" t="s">
        <v>2890</v>
      </c>
      <c r="AC614" s="5" t="s">
        <v>48</v>
      </c>
      <c r="AD614" s="5" t="s">
        <v>5530</v>
      </c>
      <c r="AE614" s="5" t="str">
        <f t="shared" ca="1" si="66"/>
        <v>NO PRAZO</v>
      </c>
      <c r="AF614" s="49"/>
    </row>
    <row r="615" spans="1:32" ht="30" customHeight="1" x14ac:dyDescent="0.25">
      <c r="A615" s="13" t="s">
        <v>1615</v>
      </c>
      <c r="B615" s="13" t="s">
        <v>10</v>
      </c>
      <c r="C615" s="5" t="s">
        <v>5864</v>
      </c>
      <c r="D615" s="12" t="s">
        <v>1600</v>
      </c>
      <c r="E615" s="12" t="s">
        <v>256</v>
      </c>
      <c r="F615" s="12" t="s">
        <v>257</v>
      </c>
      <c r="G615" s="12" t="s">
        <v>1600</v>
      </c>
      <c r="H615" s="12" t="s">
        <v>1610</v>
      </c>
      <c r="I615" s="12" t="s">
        <v>1601</v>
      </c>
      <c r="J615" s="47" t="s">
        <v>1602</v>
      </c>
      <c r="K615" s="13" t="s">
        <v>10</v>
      </c>
      <c r="L615" s="13" t="s">
        <v>45</v>
      </c>
      <c r="M615" s="13" t="s">
        <v>10</v>
      </c>
      <c r="N615" s="13" t="s">
        <v>10</v>
      </c>
      <c r="O615" s="94" t="s">
        <v>46</v>
      </c>
      <c r="P615" s="104">
        <v>46153</v>
      </c>
      <c r="Q615" s="100">
        <f t="shared" si="67"/>
        <v>46518</v>
      </c>
      <c r="R615" s="13" t="s">
        <v>2238</v>
      </c>
      <c r="S615" s="13" t="s">
        <v>5373</v>
      </c>
      <c r="T615" s="7">
        <v>7.2</v>
      </c>
      <c r="U615" s="7" t="s">
        <v>10</v>
      </c>
      <c r="V615" s="7">
        <f t="shared" si="68"/>
        <v>7.2</v>
      </c>
      <c r="W615" s="5">
        <v>10</v>
      </c>
      <c r="X615" s="5" t="s">
        <v>1603</v>
      </c>
      <c r="Y615" s="48" t="str">
        <f t="shared" si="69"/>
        <v>APROVADO</v>
      </c>
      <c r="Z615" s="7" t="s">
        <v>46</v>
      </c>
      <c r="AA615" s="5">
        <v>11604103</v>
      </c>
      <c r="AB615" s="5" t="s">
        <v>2891</v>
      </c>
      <c r="AC615" s="5" t="s">
        <v>48</v>
      </c>
      <c r="AD615" s="5" t="s">
        <v>5530</v>
      </c>
      <c r="AE615" s="5" t="str">
        <f t="shared" ca="1" si="66"/>
        <v>NO PRAZO</v>
      </c>
      <c r="AF615" s="49"/>
    </row>
    <row r="616" spans="1:32" ht="30" customHeight="1" x14ac:dyDescent="0.25">
      <c r="A616" s="13" t="s">
        <v>1616</v>
      </c>
      <c r="B616" s="13" t="s">
        <v>10</v>
      </c>
      <c r="C616" s="5" t="s">
        <v>5864</v>
      </c>
      <c r="D616" s="12" t="s">
        <v>1600</v>
      </c>
      <c r="E616" s="12" t="s">
        <v>256</v>
      </c>
      <c r="F616" s="12" t="s">
        <v>257</v>
      </c>
      <c r="G616" s="12" t="s">
        <v>1600</v>
      </c>
      <c r="H616" s="12" t="s">
        <v>1610</v>
      </c>
      <c r="I616" s="12" t="s">
        <v>1601</v>
      </c>
      <c r="J616" s="135" t="s">
        <v>1602</v>
      </c>
      <c r="K616" s="13" t="s">
        <v>10</v>
      </c>
      <c r="L616" s="13" t="s">
        <v>45</v>
      </c>
      <c r="M616" s="13" t="s">
        <v>10</v>
      </c>
      <c r="N616" s="13" t="s">
        <v>10</v>
      </c>
      <c r="O616" s="94" t="s">
        <v>46</v>
      </c>
      <c r="P616" s="104">
        <v>46153</v>
      </c>
      <c r="Q616" s="100">
        <f t="shared" si="67"/>
        <v>46518</v>
      </c>
      <c r="R616" s="13" t="s">
        <v>2239</v>
      </c>
      <c r="S616" s="13" t="s">
        <v>5374</v>
      </c>
      <c r="T616" s="7">
        <v>7.4</v>
      </c>
      <c r="U616" s="7" t="s">
        <v>10</v>
      </c>
      <c r="V616" s="7">
        <f t="shared" si="68"/>
        <v>7.4</v>
      </c>
      <c r="W616" s="5">
        <v>10</v>
      </c>
      <c r="X616" s="5" t="s">
        <v>1603</v>
      </c>
      <c r="Y616" s="48" t="str">
        <f t="shared" si="69"/>
        <v>APROVADO</v>
      </c>
      <c r="Z616" s="7" t="s">
        <v>46</v>
      </c>
      <c r="AA616" s="5">
        <v>11604104</v>
      </c>
      <c r="AB616" s="5" t="s">
        <v>2892</v>
      </c>
      <c r="AC616" s="5" t="s">
        <v>48</v>
      </c>
      <c r="AD616" s="5" t="s">
        <v>5530</v>
      </c>
      <c r="AE616" s="5" t="str">
        <f t="shared" ca="1" si="66"/>
        <v>NO PRAZO</v>
      </c>
      <c r="AF616" s="49"/>
    </row>
    <row r="617" spans="1:32" ht="30" customHeight="1" x14ac:dyDescent="0.25">
      <c r="A617" s="13" t="s">
        <v>1617</v>
      </c>
      <c r="B617" s="13" t="s">
        <v>10</v>
      </c>
      <c r="C617" s="5" t="s">
        <v>5864</v>
      </c>
      <c r="D617" s="12" t="s">
        <v>1618</v>
      </c>
      <c r="E617" s="12" t="s">
        <v>256</v>
      </c>
      <c r="F617" s="12" t="s">
        <v>447</v>
      </c>
      <c r="G617" s="12" t="s">
        <v>1618</v>
      </c>
      <c r="H617" s="12" t="s">
        <v>1618</v>
      </c>
      <c r="I617" s="12" t="s">
        <v>1912</v>
      </c>
      <c r="J617" s="12" t="s">
        <v>1913</v>
      </c>
      <c r="K617" s="13" t="s">
        <v>10</v>
      </c>
      <c r="L617" s="13" t="s">
        <v>45</v>
      </c>
      <c r="M617" s="13" t="s">
        <v>10</v>
      </c>
      <c r="N617" s="13" t="s">
        <v>10</v>
      </c>
      <c r="O617" s="94" t="s">
        <v>46</v>
      </c>
      <c r="P617" s="104">
        <v>46052</v>
      </c>
      <c r="Q617" s="100">
        <f t="shared" si="67"/>
        <v>46417</v>
      </c>
      <c r="R617" s="5" t="s">
        <v>1895</v>
      </c>
      <c r="S617" s="13" t="s">
        <v>4665</v>
      </c>
      <c r="T617" s="7">
        <v>0.33</v>
      </c>
      <c r="U617" s="7" t="s">
        <v>10</v>
      </c>
      <c r="V617" s="7">
        <f t="shared" si="68"/>
        <v>0.33</v>
      </c>
      <c r="W617" s="5">
        <v>0.5</v>
      </c>
      <c r="X617" s="5" t="s">
        <v>55</v>
      </c>
      <c r="Y617" s="48" t="str">
        <f t="shared" si="69"/>
        <v>APROVADO</v>
      </c>
      <c r="Z617" s="7" t="s">
        <v>56</v>
      </c>
      <c r="AA617" s="5">
        <v>11606815</v>
      </c>
      <c r="AB617" s="5" t="s">
        <v>4181</v>
      </c>
      <c r="AC617" s="5" t="s">
        <v>48</v>
      </c>
      <c r="AD617" s="5" t="s">
        <v>5530</v>
      </c>
      <c r="AE617" s="5" t="str">
        <f t="shared" ca="1" si="66"/>
        <v>NO PRAZO</v>
      </c>
      <c r="AF617" s="51"/>
    </row>
    <row r="618" spans="1:32" ht="30" customHeight="1" x14ac:dyDescent="0.25">
      <c r="A618" s="13" t="s">
        <v>2077</v>
      </c>
      <c r="B618" s="13" t="s">
        <v>10</v>
      </c>
      <c r="C618" s="5" t="s">
        <v>5864</v>
      </c>
      <c r="D618" s="12" t="s">
        <v>1620</v>
      </c>
      <c r="E618" s="12" t="s">
        <v>256</v>
      </c>
      <c r="F618" s="12" t="s">
        <v>444</v>
      </c>
      <c r="G618" s="12" t="s">
        <v>1620</v>
      </c>
      <c r="H618" s="12" t="s">
        <v>1620</v>
      </c>
      <c r="I618" s="12" t="s">
        <v>2078</v>
      </c>
      <c r="J618" s="12" t="s">
        <v>5360</v>
      </c>
      <c r="K618" s="13" t="s">
        <v>10</v>
      </c>
      <c r="L618" s="13" t="s">
        <v>45</v>
      </c>
      <c r="M618" s="13" t="s">
        <v>10</v>
      </c>
      <c r="N618" s="13" t="s">
        <v>10</v>
      </c>
      <c r="O618" s="94" t="s">
        <v>46</v>
      </c>
      <c r="P618" s="104">
        <v>46140</v>
      </c>
      <c r="Q618" s="100">
        <f t="shared" si="67"/>
        <v>46505</v>
      </c>
      <c r="R618" s="13" t="s">
        <v>2079</v>
      </c>
      <c r="S618" s="13" t="s">
        <v>5342</v>
      </c>
      <c r="T618" s="7">
        <v>61</v>
      </c>
      <c r="U618" s="7" t="s">
        <v>10</v>
      </c>
      <c r="V618" s="7">
        <f t="shared" si="68"/>
        <v>61</v>
      </c>
      <c r="W618" s="5" t="s">
        <v>10</v>
      </c>
      <c r="X618" s="5" t="s">
        <v>55</v>
      </c>
      <c r="Y618" s="48" t="str">
        <f t="shared" si="69"/>
        <v>A DEFINIR</v>
      </c>
      <c r="Z618" s="7" t="s">
        <v>56</v>
      </c>
      <c r="AA618" s="5">
        <v>11606710</v>
      </c>
      <c r="AB618" s="5" t="s">
        <v>4180</v>
      </c>
      <c r="AC618" s="5" t="s">
        <v>48</v>
      </c>
      <c r="AD618" s="5" t="s">
        <v>5530</v>
      </c>
      <c r="AE618" s="5" t="str">
        <f t="shared" ca="1" si="66"/>
        <v>NO PRAZO</v>
      </c>
      <c r="AF618" s="51"/>
    </row>
    <row r="619" spans="1:32" ht="30" customHeight="1" x14ac:dyDescent="0.25">
      <c r="A619" s="13" t="s">
        <v>1619</v>
      </c>
      <c r="B619" s="13" t="s">
        <v>10</v>
      </c>
      <c r="C619" s="5" t="s">
        <v>5864</v>
      </c>
      <c r="D619" s="12" t="s">
        <v>1620</v>
      </c>
      <c r="E619" s="12" t="s">
        <v>256</v>
      </c>
      <c r="F619" s="12" t="s">
        <v>257</v>
      </c>
      <c r="G619" s="12" t="s">
        <v>1620</v>
      </c>
      <c r="H619" s="12" t="s">
        <v>1620</v>
      </c>
      <c r="I619" s="12" t="s">
        <v>1621</v>
      </c>
      <c r="J619" s="12" t="s">
        <v>6018</v>
      </c>
      <c r="K619" s="13" t="s">
        <v>10</v>
      </c>
      <c r="L619" s="13" t="s">
        <v>45</v>
      </c>
      <c r="M619" s="13" t="s">
        <v>10</v>
      </c>
      <c r="N619" s="13" t="s">
        <v>10</v>
      </c>
      <c r="O619" s="94" t="s">
        <v>46</v>
      </c>
      <c r="P619" s="104">
        <v>46226</v>
      </c>
      <c r="Q619" s="100">
        <f t="shared" si="67"/>
        <v>46591</v>
      </c>
      <c r="R619" s="13" t="s">
        <v>3076</v>
      </c>
      <c r="S619" s="13" t="s">
        <v>5925</v>
      </c>
      <c r="T619" s="7">
        <v>168</v>
      </c>
      <c r="U619" s="5">
        <v>15860</v>
      </c>
      <c r="V619" s="7">
        <f t="shared" si="68"/>
        <v>1.0592686002522067</v>
      </c>
      <c r="W619" s="5" t="s">
        <v>10</v>
      </c>
      <c r="X619" s="5" t="s">
        <v>1622</v>
      </c>
      <c r="Y619" s="48" t="str">
        <f t="shared" si="69"/>
        <v>A DEFINIR</v>
      </c>
      <c r="Z619" s="7" t="s">
        <v>56</v>
      </c>
      <c r="AA619" s="5">
        <v>11599742</v>
      </c>
      <c r="AB619" s="5" t="s">
        <v>3014</v>
      </c>
      <c r="AC619" s="5" t="s">
        <v>48</v>
      </c>
      <c r="AD619" s="5" t="s">
        <v>5632</v>
      </c>
      <c r="AE619" s="5" t="str">
        <f t="shared" ca="1" si="66"/>
        <v>NO PRAZO</v>
      </c>
      <c r="AF619" s="49"/>
    </row>
    <row r="620" spans="1:32" ht="30" customHeight="1" x14ac:dyDescent="0.25">
      <c r="A620" s="12" t="s">
        <v>1623</v>
      </c>
      <c r="B620" s="13" t="s">
        <v>10</v>
      </c>
      <c r="C620" s="5" t="s">
        <v>5863</v>
      </c>
      <c r="D620" s="12" t="s">
        <v>1624</v>
      </c>
      <c r="E620" s="12" t="s">
        <v>40</v>
      </c>
      <c r="F620" s="12" t="s">
        <v>644</v>
      </c>
      <c r="G620" s="12" t="s">
        <v>1625</v>
      </c>
      <c r="H620" s="12" t="s">
        <v>1626</v>
      </c>
      <c r="I620" s="12" t="s">
        <v>1627</v>
      </c>
      <c r="J620" s="12" t="s">
        <v>1628</v>
      </c>
      <c r="K620" s="12" t="s">
        <v>10</v>
      </c>
      <c r="L620" s="12" t="s">
        <v>45</v>
      </c>
      <c r="M620" s="12" t="s">
        <v>10</v>
      </c>
      <c r="N620" s="12" t="s">
        <v>10</v>
      </c>
      <c r="O620" s="94" t="s">
        <v>46</v>
      </c>
      <c r="P620" s="106">
        <v>45991</v>
      </c>
      <c r="Q620" s="100">
        <f t="shared" si="67"/>
        <v>46356</v>
      </c>
      <c r="R620" s="5" t="s">
        <v>2373</v>
      </c>
      <c r="S620" s="13" t="s">
        <v>4297</v>
      </c>
      <c r="T620" s="7">
        <v>4.22</v>
      </c>
      <c r="U620" s="7" t="s">
        <v>10</v>
      </c>
      <c r="V620" s="7">
        <f t="shared" si="68"/>
        <v>4.22</v>
      </c>
      <c r="W620" s="7">
        <v>12.5</v>
      </c>
      <c r="X620" s="7" t="s">
        <v>674</v>
      </c>
      <c r="Y620" s="48" t="str">
        <f t="shared" si="69"/>
        <v>APROVADO</v>
      </c>
      <c r="Z620" s="7" t="s">
        <v>46</v>
      </c>
      <c r="AA620" s="5">
        <v>11599934</v>
      </c>
      <c r="AB620" s="5" t="s">
        <v>2945</v>
      </c>
      <c r="AC620" s="7" t="s">
        <v>48</v>
      </c>
      <c r="AD620" s="5" t="s">
        <v>5530</v>
      </c>
      <c r="AE620" s="5" t="str">
        <f t="shared" ca="1" si="66"/>
        <v>NO PRAZO</v>
      </c>
      <c r="AF620" s="51"/>
    </row>
    <row r="621" spans="1:32" ht="30" customHeight="1" x14ac:dyDescent="0.25">
      <c r="A621" s="12" t="s">
        <v>1629</v>
      </c>
      <c r="B621" s="13" t="s">
        <v>10</v>
      </c>
      <c r="C621" s="5" t="s">
        <v>5863</v>
      </c>
      <c r="D621" s="12" t="s">
        <v>1624</v>
      </c>
      <c r="E621" s="12" t="s">
        <v>40</v>
      </c>
      <c r="F621" s="12" t="s">
        <v>644</v>
      </c>
      <c r="G621" s="12" t="s">
        <v>1630</v>
      </c>
      <c r="H621" s="12" t="s">
        <v>1626</v>
      </c>
      <c r="I621" s="12" t="s">
        <v>1627</v>
      </c>
      <c r="J621" s="12" t="s">
        <v>1628</v>
      </c>
      <c r="K621" s="12" t="s">
        <v>10</v>
      </c>
      <c r="L621" s="12" t="s">
        <v>45</v>
      </c>
      <c r="M621" s="12" t="s">
        <v>10</v>
      </c>
      <c r="N621" s="12" t="s">
        <v>10</v>
      </c>
      <c r="O621" s="94" t="s">
        <v>46</v>
      </c>
      <c r="P621" s="106">
        <v>45991</v>
      </c>
      <c r="Q621" s="100">
        <f t="shared" si="67"/>
        <v>46356</v>
      </c>
      <c r="R621" s="5" t="s">
        <v>2374</v>
      </c>
      <c r="S621" s="13" t="s">
        <v>4298</v>
      </c>
      <c r="T621" s="7">
        <v>6.41</v>
      </c>
      <c r="U621" s="7" t="s">
        <v>10</v>
      </c>
      <c r="V621" s="7">
        <f t="shared" si="68"/>
        <v>6.41</v>
      </c>
      <c r="W621" s="7">
        <v>12.5</v>
      </c>
      <c r="X621" s="7" t="s">
        <v>674</v>
      </c>
      <c r="Y621" s="48" t="str">
        <f t="shared" si="69"/>
        <v>APROVADO</v>
      </c>
      <c r="Z621" s="7" t="s">
        <v>46</v>
      </c>
      <c r="AA621" s="5">
        <v>11599935</v>
      </c>
      <c r="AB621" s="5" t="s">
        <v>2946</v>
      </c>
      <c r="AC621" s="7" t="s">
        <v>48</v>
      </c>
      <c r="AD621" s="5" t="s">
        <v>5530</v>
      </c>
      <c r="AE621" s="5" t="str">
        <f t="shared" ca="1" si="66"/>
        <v>NO PRAZO</v>
      </c>
      <c r="AF621" s="51"/>
    </row>
    <row r="622" spans="1:32" ht="30" customHeight="1" x14ac:dyDescent="0.25">
      <c r="A622" s="12" t="s">
        <v>1631</v>
      </c>
      <c r="B622" s="13" t="s">
        <v>10</v>
      </c>
      <c r="C622" s="5" t="s">
        <v>5863</v>
      </c>
      <c r="D622" s="12" t="s">
        <v>1624</v>
      </c>
      <c r="E622" s="12" t="s">
        <v>40</v>
      </c>
      <c r="F622" s="12" t="s">
        <v>644</v>
      </c>
      <c r="G622" s="12" t="s">
        <v>1632</v>
      </c>
      <c r="H622" s="12" t="s">
        <v>1626</v>
      </c>
      <c r="I622" s="12" t="s">
        <v>1627</v>
      </c>
      <c r="J622" s="12" t="s">
        <v>1628</v>
      </c>
      <c r="K622" s="12" t="s">
        <v>10</v>
      </c>
      <c r="L622" s="12" t="s">
        <v>45</v>
      </c>
      <c r="M622" s="12" t="s">
        <v>10</v>
      </c>
      <c r="N622" s="12" t="s">
        <v>10</v>
      </c>
      <c r="O622" s="94" t="s">
        <v>46</v>
      </c>
      <c r="P622" s="106">
        <v>45991</v>
      </c>
      <c r="Q622" s="100">
        <f t="shared" si="67"/>
        <v>46356</v>
      </c>
      <c r="R622" s="5" t="s">
        <v>2375</v>
      </c>
      <c r="S622" s="13" t="s">
        <v>4299</v>
      </c>
      <c r="T622" s="7">
        <v>3.69</v>
      </c>
      <c r="U622" s="7" t="s">
        <v>10</v>
      </c>
      <c r="V622" s="7">
        <f t="shared" si="68"/>
        <v>3.69</v>
      </c>
      <c r="W622" s="7">
        <v>12.5</v>
      </c>
      <c r="X622" s="7" t="s">
        <v>674</v>
      </c>
      <c r="Y622" s="48" t="str">
        <f t="shared" si="69"/>
        <v>APROVADO</v>
      </c>
      <c r="Z622" s="7" t="s">
        <v>46</v>
      </c>
      <c r="AA622" s="5">
        <v>11540951</v>
      </c>
      <c r="AB622" s="5" t="s">
        <v>2943</v>
      </c>
      <c r="AC622" s="7" t="s">
        <v>48</v>
      </c>
      <c r="AD622" s="5" t="s">
        <v>5530</v>
      </c>
      <c r="AE622" s="5" t="str">
        <f t="shared" ca="1" si="66"/>
        <v>NO PRAZO</v>
      </c>
      <c r="AF622" s="51"/>
    </row>
    <row r="623" spans="1:32" ht="30" customHeight="1" x14ac:dyDescent="0.25">
      <c r="A623" s="12" t="s">
        <v>1633</v>
      </c>
      <c r="B623" s="13" t="s">
        <v>10</v>
      </c>
      <c r="C623" s="5" t="s">
        <v>5863</v>
      </c>
      <c r="D623" s="12" t="s">
        <v>1624</v>
      </c>
      <c r="E623" s="12" t="s">
        <v>40</v>
      </c>
      <c r="F623" s="12" t="s">
        <v>644</v>
      </c>
      <c r="G623" s="12" t="s">
        <v>1634</v>
      </c>
      <c r="H623" s="12" t="s">
        <v>646</v>
      </c>
      <c r="I623" s="12" t="s">
        <v>1627</v>
      </c>
      <c r="J623" s="12" t="s">
        <v>1628</v>
      </c>
      <c r="K623" s="12" t="s">
        <v>10</v>
      </c>
      <c r="L623" s="12" t="s">
        <v>45</v>
      </c>
      <c r="M623" s="12" t="s">
        <v>10</v>
      </c>
      <c r="N623" s="12" t="s">
        <v>10</v>
      </c>
      <c r="O623" s="94" t="s">
        <v>46</v>
      </c>
      <c r="P623" s="106">
        <v>46005</v>
      </c>
      <c r="Q623" s="100">
        <f t="shared" si="67"/>
        <v>46370</v>
      </c>
      <c r="R623" s="5" t="s">
        <v>2376</v>
      </c>
      <c r="S623" s="13" t="s">
        <v>4360</v>
      </c>
      <c r="T623" s="7">
        <v>5.25</v>
      </c>
      <c r="U623" s="7" t="s">
        <v>10</v>
      </c>
      <c r="V623" s="7">
        <f t="shared" si="68"/>
        <v>5.25</v>
      </c>
      <c r="W623" s="7">
        <v>12.5</v>
      </c>
      <c r="X623" s="7" t="s">
        <v>674</v>
      </c>
      <c r="Y623" s="48" t="str">
        <f t="shared" si="69"/>
        <v>APROVADO</v>
      </c>
      <c r="Z623" s="7" t="s">
        <v>46</v>
      </c>
      <c r="AA623" s="5">
        <v>11540949</v>
      </c>
      <c r="AB623" s="5" t="s">
        <v>2947</v>
      </c>
      <c r="AC623" s="7" t="s">
        <v>48</v>
      </c>
      <c r="AD623" s="5" t="s">
        <v>5530</v>
      </c>
      <c r="AE623" s="5" t="str">
        <f t="shared" ca="1" si="66"/>
        <v>NO PRAZO</v>
      </c>
      <c r="AF623" s="53"/>
    </row>
    <row r="624" spans="1:32" ht="30" customHeight="1" x14ac:dyDescent="0.25">
      <c r="A624" s="12" t="s">
        <v>1635</v>
      </c>
      <c r="B624" s="13" t="s">
        <v>10</v>
      </c>
      <c r="C624" s="5" t="s">
        <v>5863</v>
      </c>
      <c r="D624" s="12" t="s">
        <v>1624</v>
      </c>
      <c r="E624" s="12" t="s">
        <v>40</v>
      </c>
      <c r="F624" s="12" t="s">
        <v>644</v>
      </c>
      <c r="G624" s="12" t="s">
        <v>1504</v>
      </c>
      <c r="H624" s="12" t="s">
        <v>1626</v>
      </c>
      <c r="I624" s="12" t="s">
        <v>1627</v>
      </c>
      <c r="J624" s="12" t="s">
        <v>5324</v>
      </c>
      <c r="K624" s="12" t="s">
        <v>10</v>
      </c>
      <c r="L624" s="12" t="s">
        <v>45</v>
      </c>
      <c r="M624" s="12" t="s">
        <v>10</v>
      </c>
      <c r="N624" s="12" t="s">
        <v>10</v>
      </c>
      <c r="O624" s="94" t="s">
        <v>46</v>
      </c>
      <c r="P624" s="106">
        <v>46186</v>
      </c>
      <c r="Q624" s="100">
        <f t="shared" si="67"/>
        <v>46551</v>
      </c>
      <c r="R624" s="13" t="s">
        <v>2377</v>
      </c>
      <c r="S624" s="13" t="s">
        <v>5646</v>
      </c>
      <c r="T624" s="7">
        <v>4.67</v>
      </c>
      <c r="U624" s="7" t="s">
        <v>10</v>
      </c>
      <c r="V624" s="7">
        <f t="shared" si="68"/>
        <v>4.67</v>
      </c>
      <c r="W624" s="7">
        <v>12.5</v>
      </c>
      <c r="X624" s="7" t="s">
        <v>674</v>
      </c>
      <c r="Y624" s="48" t="str">
        <f t="shared" si="69"/>
        <v>APROVADO</v>
      </c>
      <c r="Z624" s="7" t="s">
        <v>46</v>
      </c>
      <c r="AA624" s="5">
        <v>11542304</v>
      </c>
      <c r="AB624" s="5" t="s">
        <v>2944</v>
      </c>
      <c r="AC624" s="7" t="s">
        <v>48</v>
      </c>
      <c r="AD624" s="5" t="s">
        <v>5632</v>
      </c>
      <c r="AE624" s="5" t="str">
        <f t="shared" ca="1" si="66"/>
        <v>NO PRAZO</v>
      </c>
      <c r="AF624" s="51"/>
    </row>
    <row r="625" spans="1:32" ht="30" customHeight="1" x14ac:dyDescent="0.25">
      <c r="A625" s="12" t="s">
        <v>1636</v>
      </c>
      <c r="B625" s="13" t="s">
        <v>10</v>
      </c>
      <c r="C625" s="5" t="s">
        <v>5863</v>
      </c>
      <c r="D625" s="12" t="s">
        <v>1624</v>
      </c>
      <c r="E625" s="12" t="s">
        <v>40</v>
      </c>
      <c r="F625" s="12" t="s">
        <v>644</v>
      </c>
      <c r="G625" s="12" t="s">
        <v>1637</v>
      </c>
      <c r="H625" s="12" t="s">
        <v>1626</v>
      </c>
      <c r="I625" s="12" t="s">
        <v>1627</v>
      </c>
      <c r="J625" s="12" t="s">
        <v>1628</v>
      </c>
      <c r="K625" s="12" t="s">
        <v>10</v>
      </c>
      <c r="L625" s="12" t="s">
        <v>45</v>
      </c>
      <c r="M625" s="12" t="s">
        <v>10</v>
      </c>
      <c r="N625" s="12" t="s">
        <v>10</v>
      </c>
      <c r="O625" s="94" t="s">
        <v>46</v>
      </c>
      <c r="P625" s="106">
        <v>46005</v>
      </c>
      <c r="Q625" s="100">
        <f t="shared" si="67"/>
        <v>46370</v>
      </c>
      <c r="R625" s="5" t="s">
        <v>2379</v>
      </c>
      <c r="S625" s="13" t="s">
        <v>4361</v>
      </c>
      <c r="T625" s="7">
        <v>8.5</v>
      </c>
      <c r="U625" s="7"/>
      <c r="V625" s="7">
        <f t="shared" si="68"/>
        <v>8.5</v>
      </c>
      <c r="W625" s="7">
        <v>12.5</v>
      </c>
      <c r="X625" s="7" t="s">
        <v>674</v>
      </c>
      <c r="Y625" s="48" t="str">
        <f t="shared" si="69"/>
        <v>APROVADO</v>
      </c>
      <c r="Z625" s="7" t="s">
        <v>46</v>
      </c>
      <c r="AA625" s="5">
        <v>11540952</v>
      </c>
      <c r="AB625" s="5" t="s">
        <v>2948</v>
      </c>
      <c r="AC625" s="7" t="s">
        <v>48</v>
      </c>
      <c r="AD625" s="5" t="s">
        <v>5530</v>
      </c>
      <c r="AE625" s="5" t="str">
        <f t="shared" ca="1" si="66"/>
        <v>NO PRAZO</v>
      </c>
      <c r="AF625" s="53"/>
    </row>
    <row r="626" spans="1:32" ht="30" customHeight="1" x14ac:dyDescent="0.25">
      <c r="A626" s="12" t="s">
        <v>1638</v>
      </c>
      <c r="B626" s="13" t="s">
        <v>10</v>
      </c>
      <c r="C626" s="5" t="s">
        <v>5863</v>
      </c>
      <c r="D626" s="12" t="s">
        <v>1624</v>
      </c>
      <c r="E626" s="12" t="s">
        <v>40</v>
      </c>
      <c r="F626" s="12" t="s">
        <v>644</v>
      </c>
      <c r="G626" s="12" t="s">
        <v>1511</v>
      </c>
      <c r="H626" s="12" t="s">
        <v>1626</v>
      </c>
      <c r="I626" s="12" t="s">
        <v>1627</v>
      </c>
      <c r="J626" s="12" t="s">
        <v>1628</v>
      </c>
      <c r="K626" s="12" t="s">
        <v>10</v>
      </c>
      <c r="L626" s="12" t="s">
        <v>45</v>
      </c>
      <c r="M626" s="12" t="s">
        <v>10</v>
      </c>
      <c r="N626" s="12" t="s">
        <v>10</v>
      </c>
      <c r="O626" s="94" t="s">
        <v>46</v>
      </c>
      <c r="P626" s="106">
        <v>45991</v>
      </c>
      <c r="Q626" s="100">
        <f t="shared" si="67"/>
        <v>46356</v>
      </c>
      <c r="R626" s="5" t="s">
        <v>2380</v>
      </c>
      <c r="S626" s="13" t="s">
        <v>4300</v>
      </c>
      <c r="T626" s="7">
        <v>4.1100000000000003</v>
      </c>
      <c r="U626" s="7" t="s">
        <v>10</v>
      </c>
      <c r="V626" s="7">
        <f t="shared" si="68"/>
        <v>4.1100000000000003</v>
      </c>
      <c r="W626" s="7">
        <v>12.5</v>
      </c>
      <c r="X626" s="7" t="s">
        <v>674</v>
      </c>
      <c r="Y626" s="48" t="str">
        <f t="shared" si="69"/>
        <v>APROVADO</v>
      </c>
      <c r="Z626" s="7" t="s">
        <v>46</v>
      </c>
      <c r="AA626" s="5">
        <v>11599940</v>
      </c>
      <c r="AB626" s="5" t="s">
        <v>2949</v>
      </c>
      <c r="AC626" s="7" t="s">
        <v>48</v>
      </c>
      <c r="AD626" s="5" t="s">
        <v>5530</v>
      </c>
      <c r="AE626" s="5" t="str">
        <f t="shared" ca="1" si="66"/>
        <v>NO PRAZO</v>
      </c>
      <c r="AF626" s="51"/>
    </row>
    <row r="627" spans="1:32" ht="30" customHeight="1" x14ac:dyDescent="0.25">
      <c r="A627" s="12" t="s">
        <v>1639</v>
      </c>
      <c r="B627" s="13" t="s">
        <v>10</v>
      </c>
      <c r="C627" s="5" t="s">
        <v>5863</v>
      </c>
      <c r="D627" s="12" t="s">
        <v>1640</v>
      </c>
      <c r="E627" s="12" t="s">
        <v>40</v>
      </c>
      <c r="F627" s="12" t="s">
        <v>90</v>
      </c>
      <c r="G627" s="12" t="s">
        <v>1641</v>
      </c>
      <c r="H627" s="12" t="s">
        <v>1626</v>
      </c>
      <c r="I627" s="12" t="s">
        <v>1627</v>
      </c>
      <c r="J627" s="12" t="s">
        <v>5324</v>
      </c>
      <c r="K627" s="12" t="s">
        <v>10</v>
      </c>
      <c r="L627" s="12" t="s">
        <v>45</v>
      </c>
      <c r="M627" s="12" t="s">
        <v>10</v>
      </c>
      <c r="N627" s="12" t="s">
        <v>10</v>
      </c>
      <c r="O627" s="94" t="s">
        <v>46</v>
      </c>
      <c r="P627" s="106">
        <v>46222</v>
      </c>
      <c r="Q627" s="100">
        <f t="shared" si="67"/>
        <v>46587</v>
      </c>
      <c r="R627" s="13" t="s">
        <v>3046</v>
      </c>
      <c r="S627" s="13" t="s">
        <v>5871</v>
      </c>
      <c r="T627" s="7">
        <v>1.83</v>
      </c>
      <c r="U627" s="7" t="s">
        <v>10</v>
      </c>
      <c r="V627" s="7">
        <f t="shared" si="68"/>
        <v>1.83</v>
      </c>
      <c r="W627" s="7">
        <v>12.5</v>
      </c>
      <c r="X627" s="7" t="s">
        <v>674</v>
      </c>
      <c r="Y627" s="48" t="str">
        <f t="shared" si="69"/>
        <v>APROVADO</v>
      </c>
      <c r="Z627" s="7" t="s">
        <v>56</v>
      </c>
      <c r="AA627" s="5">
        <v>11542237</v>
      </c>
      <c r="AB627" s="5" t="s">
        <v>2960</v>
      </c>
      <c r="AC627" s="7" t="s">
        <v>48</v>
      </c>
      <c r="AD627" s="5" t="s">
        <v>5632</v>
      </c>
      <c r="AE627" s="5" t="str">
        <f t="shared" ca="1" si="66"/>
        <v>NO PRAZO</v>
      </c>
      <c r="AF627" s="51"/>
    </row>
    <row r="628" spans="1:32" ht="30" customHeight="1" x14ac:dyDescent="0.25">
      <c r="A628" s="12" t="s">
        <v>1642</v>
      </c>
      <c r="B628" s="13" t="s">
        <v>10</v>
      </c>
      <c r="C628" s="5" t="s">
        <v>5863</v>
      </c>
      <c r="D628" s="12" t="s">
        <v>1640</v>
      </c>
      <c r="E628" s="12" t="s">
        <v>40</v>
      </c>
      <c r="F628" s="12" t="s">
        <v>90</v>
      </c>
      <c r="G628" s="12" t="s">
        <v>1643</v>
      </c>
      <c r="H628" s="12" t="s">
        <v>1626</v>
      </c>
      <c r="I628" s="12" t="s">
        <v>1627</v>
      </c>
      <c r="J628" s="12" t="s">
        <v>1628</v>
      </c>
      <c r="K628" s="12" t="s">
        <v>10</v>
      </c>
      <c r="L628" s="12" t="s">
        <v>45</v>
      </c>
      <c r="M628" s="12" t="s">
        <v>10</v>
      </c>
      <c r="N628" s="12" t="s">
        <v>10</v>
      </c>
      <c r="O628" s="94" t="s">
        <v>46</v>
      </c>
      <c r="P628" s="106">
        <v>46021</v>
      </c>
      <c r="Q628" s="100">
        <f t="shared" si="67"/>
        <v>46386</v>
      </c>
      <c r="R628" s="5" t="s">
        <v>2108</v>
      </c>
      <c r="S628" s="142" t="s">
        <v>4480</v>
      </c>
      <c r="T628" s="7">
        <v>3.32</v>
      </c>
      <c r="U628" s="7" t="s">
        <v>10</v>
      </c>
      <c r="V628" s="7">
        <f t="shared" si="68"/>
        <v>3.32</v>
      </c>
      <c r="W628" s="7">
        <v>12.5</v>
      </c>
      <c r="X628" s="7" t="s">
        <v>674</v>
      </c>
      <c r="Y628" s="48" t="str">
        <f t="shared" si="69"/>
        <v>APROVADO</v>
      </c>
      <c r="Z628" s="7" t="s">
        <v>56</v>
      </c>
      <c r="AA628" s="5">
        <v>11542239</v>
      </c>
      <c r="AB628" s="5" t="s">
        <v>2818</v>
      </c>
      <c r="AC628" s="7" t="s">
        <v>48</v>
      </c>
      <c r="AD628" s="5" t="s">
        <v>5530</v>
      </c>
      <c r="AE628" s="5" t="str">
        <f t="shared" ca="1" si="66"/>
        <v>NO PRAZO</v>
      </c>
      <c r="AF628" s="51"/>
    </row>
    <row r="629" spans="1:32" ht="30" customHeight="1" x14ac:dyDescent="0.25">
      <c r="A629" s="12" t="s">
        <v>1644</v>
      </c>
      <c r="B629" s="13" t="s">
        <v>10</v>
      </c>
      <c r="C629" s="5" t="s">
        <v>5863</v>
      </c>
      <c r="D629" s="12" t="s">
        <v>1640</v>
      </c>
      <c r="E629" s="12" t="s">
        <v>40</v>
      </c>
      <c r="F629" s="12" t="s">
        <v>90</v>
      </c>
      <c r="G629" s="12" t="s">
        <v>1645</v>
      </c>
      <c r="H629" s="12" t="s">
        <v>1626</v>
      </c>
      <c r="I629" s="12" t="s">
        <v>1627</v>
      </c>
      <c r="J629" s="12" t="s">
        <v>1628</v>
      </c>
      <c r="K629" s="12" t="s">
        <v>10</v>
      </c>
      <c r="L629" s="12" t="s">
        <v>45</v>
      </c>
      <c r="M629" s="12" t="s">
        <v>10</v>
      </c>
      <c r="N629" s="12" t="s">
        <v>10</v>
      </c>
      <c r="O629" s="94" t="s">
        <v>46</v>
      </c>
      <c r="P629" s="106">
        <v>46031</v>
      </c>
      <c r="Q629" s="100">
        <f t="shared" si="67"/>
        <v>46396</v>
      </c>
      <c r="R629" s="5" t="s">
        <v>2109</v>
      </c>
      <c r="S629" s="5" t="s">
        <v>4481</v>
      </c>
      <c r="T629" s="7">
        <v>8.1999999999999993</v>
      </c>
      <c r="U629" s="7" t="s">
        <v>10</v>
      </c>
      <c r="V629" s="7">
        <f t="shared" si="68"/>
        <v>8.1999999999999993</v>
      </c>
      <c r="W629" s="7">
        <v>12.5</v>
      </c>
      <c r="X629" s="7" t="s">
        <v>674</v>
      </c>
      <c r="Y629" s="48" t="str">
        <f t="shared" si="69"/>
        <v>APROVADO</v>
      </c>
      <c r="Z629" s="7" t="s">
        <v>56</v>
      </c>
      <c r="AA629" s="5">
        <v>11542243</v>
      </c>
      <c r="AB629" s="5" t="s">
        <v>2802</v>
      </c>
      <c r="AC629" s="7" t="s">
        <v>48</v>
      </c>
      <c r="AD629" s="5" t="s">
        <v>5530</v>
      </c>
      <c r="AE629" s="5" t="str">
        <f t="shared" ca="1" si="66"/>
        <v>NO PRAZO</v>
      </c>
      <c r="AF629" s="49"/>
    </row>
    <row r="630" spans="1:32" ht="30" customHeight="1" x14ac:dyDescent="0.25">
      <c r="A630" s="7" t="s">
        <v>1646</v>
      </c>
      <c r="B630" s="5" t="s">
        <v>10</v>
      </c>
      <c r="C630" s="5" t="s">
        <v>5863</v>
      </c>
      <c r="D630" s="7" t="s">
        <v>1640</v>
      </c>
      <c r="E630" s="7" t="s">
        <v>40</v>
      </c>
      <c r="F630" s="7" t="s">
        <v>90</v>
      </c>
      <c r="G630" s="7" t="s">
        <v>1647</v>
      </c>
      <c r="H630" s="7" t="s">
        <v>1626</v>
      </c>
      <c r="I630" s="7" t="s">
        <v>1627</v>
      </c>
      <c r="J630" s="7" t="s">
        <v>1628</v>
      </c>
      <c r="K630" s="7" t="s">
        <v>10</v>
      </c>
      <c r="L630" s="7" t="s">
        <v>45</v>
      </c>
      <c r="M630" s="7" t="s">
        <v>10</v>
      </c>
      <c r="N630" s="7" t="s">
        <v>10</v>
      </c>
      <c r="O630" s="46" t="s">
        <v>46</v>
      </c>
      <c r="P630" s="100">
        <v>46031</v>
      </c>
      <c r="Q630" s="100">
        <f t="shared" si="67"/>
        <v>46396</v>
      </c>
      <c r="R630" s="7" t="s">
        <v>2190</v>
      </c>
      <c r="S630" s="7" t="s">
        <v>4482</v>
      </c>
      <c r="T630" s="7">
        <v>4.08</v>
      </c>
      <c r="U630" s="7" t="s">
        <v>10</v>
      </c>
      <c r="V630" s="7">
        <f t="shared" si="68"/>
        <v>4.08</v>
      </c>
      <c r="W630" s="7">
        <v>12.5</v>
      </c>
      <c r="X630" s="7" t="s">
        <v>674</v>
      </c>
      <c r="Y630" s="48" t="str">
        <f t="shared" si="69"/>
        <v>APROVADO</v>
      </c>
      <c r="Z630" s="7" t="s">
        <v>56</v>
      </c>
      <c r="AA630" s="5">
        <v>11542245</v>
      </c>
      <c r="AB630" s="5" t="s">
        <v>2803</v>
      </c>
      <c r="AC630" s="7" t="s">
        <v>48</v>
      </c>
      <c r="AD630" s="5" t="s">
        <v>5530</v>
      </c>
      <c r="AE630" s="5" t="str">
        <f t="shared" ca="1" si="66"/>
        <v>NO PRAZO</v>
      </c>
      <c r="AF630" s="49"/>
    </row>
    <row r="631" spans="1:32" ht="30" customHeight="1" x14ac:dyDescent="0.25">
      <c r="A631" s="7" t="s">
        <v>1648</v>
      </c>
      <c r="B631" s="5" t="s">
        <v>10</v>
      </c>
      <c r="C631" s="5" t="s">
        <v>5863</v>
      </c>
      <c r="D631" s="7" t="s">
        <v>1640</v>
      </c>
      <c r="E631" s="7" t="s">
        <v>40</v>
      </c>
      <c r="F631" s="7" t="s">
        <v>90</v>
      </c>
      <c r="G631" s="7" t="s">
        <v>1649</v>
      </c>
      <c r="H631" s="7" t="s">
        <v>1626</v>
      </c>
      <c r="I631" s="7" t="s">
        <v>1627</v>
      </c>
      <c r="J631" s="7" t="s">
        <v>1628</v>
      </c>
      <c r="K631" s="7" t="s">
        <v>10</v>
      </c>
      <c r="L631" s="7" t="s">
        <v>45</v>
      </c>
      <c r="M631" s="7" t="s">
        <v>10</v>
      </c>
      <c r="N631" s="7" t="s">
        <v>10</v>
      </c>
      <c r="O631" s="46" t="s">
        <v>46</v>
      </c>
      <c r="P631" s="100">
        <v>46030</v>
      </c>
      <c r="Q631" s="100">
        <f t="shared" si="67"/>
        <v>46395</v>
      </c>
      <c r="R631" s="7" t="s">
        <v>2152</v>
      </c>
      <c r="S631" s="7" t="s">
        <v>4483</v>
      </c>
      <c r="T631" s="7">
        <v>4.47</v>
      </c>
      <c r="U631" s="7" t="s">
        <v>10</v>
      </c>
      <c r="V631" s="7">
        <f t="shared" si="68"/>
        <v>4.47</v>
      </c>
      <c r="W631" s="7">
        <v>12.5</v>
      </c>
      <c r="X631" s="7" t="s">
        <v>674</v>
      </c>
      <c r="Y631" s="48" t="str">
        <f t="shared" si="69"/>
        <v>APROVADO</v>
      </c>
      <c r="Z631" s="7" t="s">
        <v>56</v>
      </c>
      <c r="AA631" s="5">
        <v>11556374</v>
      </c>
      <c r="AB631" s="5" t="s">
        <v>2819</v>
      </c>
      <c r="AC631" s="7" t="s">
        <v>48</v>
      </c>
      <c r="AD631" s="5" t="s">
        <v>5530</v>
      </c>
      <c r="AE631" s="5" t="str">
        <f t="shared" ca="1" si="66"/>
        <v>NO PRAZO</v>
      </c>
      <c r="AF631" s="49"/>
    </row>
    <row r="632" spans="1:32" ht="30" customHeight="1" x14ac:dyDescent="0.25">
      <c r="A632" s="7" t="s">
        <v>4486</v>
      </c>
      <c r="B632" s="5" t="s">
        <v>5897</v>
      </c>
      <c r="C632" s="5" t="s">
        <v>5863</v>
      </c>
      <c r="D632" s="7" t="s">
        <v>1640</v>
      </c>
      <c r="E632" s="7" t="s">
        <v>40</v>
      </c>
      <c r="F632" s="7" t="s">
        <v>90</v>
      </c>
      <c r="G632" s="7" t="s">
        <v>4487</v>
      </c>
      <c r="H632" s="7" t="s">
        <v>1626</v>
      </c>
      <c r="I632" s="7" t="s">
        <v>1652</v>
      </c>
      <c r="J632" s="7" t="s">
        <v>1653</v>
      </c>
      <c r="K632" s="7" t="s">
        <v>10</v>
      </c>
      <c r="L632" s="7" t="s">
        <v>45</v>
      </c>
      <c r="M632" s="7" t="s">
        <v>10</v>
      </c>
      <c r="N632" s="7" t="s">
        <v>10</v>
      </c>
      <c r="O632" s="46" t="s">
        <v>46</v>
      </c>
      <c r="P632" s="100">
        <v>46030</v>
      </c>
      <c r="Q632" s="100">
        <f t="shared" si="67"/>
        <v>46395</v>
      </c>
      <c r="R632" s="5" t="s">
        <v>273</v>
      </c>
      <c r="S632" s="5" t="s">
        <v>5188</v>
      </c>
      <c r="T632" s="7">
        <v>5.18</v>
      </c>
      <c r="U632" s="7" t="s">
        <v>10</v>
      </c>
      <c r="V632" s="7">
        <f t="shared" si="68"/>
        <v>5.18</v>
      </c>
      <c r="W632" s="7">
        <v>12.5</v>
      </c>
      <c r="X632" s="7" t="s">
        <v>674</v>
      </c>
      <c r="Y632" s="48" t="str">
        <f t="shared" si="69"/>
        <v>APROVADO</v>
      </c>
      <c r="Z632" s="7" t="s">
        <v>56</v>
      </c>
      <c r="AA632" s="5">
        <v>11607341</v>
      </c>
      <c r="AB632" s="5" t="s">
        <v>4551</v>
      </c>
      <c r="AC632" s="7" t="s">
        <v>48</v>
      </c>
      <c r="AD632" s="5" t="s">
        <v>5530</v>
      </c>
      <c r="AE632" s="5" t="str">
        <f t="shared" ca="1" si="66"/>
        <v>NO PRAZO</v>
      </c>
      <c r="AF632" s="49"/>
    </row>
    <row r="633" spans="1:32" ht="30" customHeight="1" x14ac:dyDescent="0.25">
      <c r="A633" s="7" t="s">
        <v>1650</v>
      </c>
      <c r="B633" s="5" t="s">
        <v>10</v>
      </c>
      <c r="C633" s="5" t="s">
        <v>5863</v>
      </c>
      <c r="D633" s="7" t="s">
        <v>1640</v>
      </c>
      <c r="E633" s="7" t="s">
        <v>40</v>
      </c>
      <c r="F633" s="7" t="s">
        <v>90</v>
      </c>
      <c r="G633" s="7" t="s">
        <v>1651</v>
      </c>
      <c r="H633" s="7" t="s">
        <v>1626</v>
      </c>
      <c r="I633" s="7" t="s">
        <v>1652</v>
      </c>
      <c r="J633" s="7" t="s">
        <v>1653</v>
      </c>
      <c r="K633" s="7" t="s">
        <v>10</v>
      </c>
      <c r="L633" s="7" t="s">
        <v>45</v>
      </c>
      <c r="M633" s="7" t="s">
        <v>10</v>
      </c>
      <c r="N633" s="7" t="s">
        <v>10</v>
      </c>
      <c r="O633" s="46" t="s">
        <v>46</v>
      </c>
      <c r="P633" s="100">
        <v>46022</v>
      </c>
      <c r="Q633" s="100">
        <f t="shared" si="67"/>
        <v>46387</v>
      </c>
      <c r="R633" s="5" t="s">
        <v>3069</v>
      </c>
      <c r="S633" s="5" t="s">
        <v>4484</v>
      </c>
      <c r="T633" s="7">
        <v>2.52</v>
      </c>
      <c r="U633" s="7" t="s">
        <v>10</v>
      </c>
      <c r="V633" s="7">
        <f t="shared" si="68"/>
        <v>2.52</v>
      </c>
      <c r="W633" s="7">
        <v>12.5</v>
      </c>
      <c r="X633" s="7" t="s">
        <v>674</v>
      </c>
      <c r="Y633" s="48" t="str">
        <f t="shared" si="69"/>
        <v>APROVADO</v>
      </c>
      <c r="Z633" s="7" t="s">
        <v>56</v>
      </c>
      <c r="AA633" s="5">
        <v>11542248</v>
      </c>
      <c r="AB633" s="5" t="s">
        <v>3015</v>
      </c>
      <c r="AC633" s="7" t="s">
        <v>48</v>
      </c>
      <c r="AD633" s="5" t="s">
        <v>5530</v>
      </c>
      <c r="AE633" s="5" t="str">
        <f t="shared" ca="1" si="66"/>
        <v>NO PRAZO</v>
      </c>
      <c r="AF633" s="49"/>
    </row>
    <row r="634" spans="1:32" ht="30" customHeight="1" x14ac:dyDescent="0.25">
      <c r="A634" s="7" t="s">
        <v>1654</v>
      </c>
      <c r="B634" s="5" t="s">
        <v>10</v>
      </c>
      <c r="C634" s="5" t="s">
        <v>5863</v>
      </c>
      <c r="D634" s="7" t="s">
        <v>1640</v>
      </c>
      <c r="E634" s="7" t="s">
        <v>40</v>
      </c>
      <c r="F634" s="7" t="s">
        <v>90</v>
      </c>
      <c r="G634" s="7" t="s">
        <v>1655</v>
      </c>
      <c r="H634" s="7" t="s">
        <v>1626</v>
      </c>
      <c r="I634" s="7" t="s">
        <v>1627</v>
      </c>
      <c r="J634" s="7" t="s">
        <v>5324</v>
      </c>
      <c r="K634" s="7" t="s">
        <v>10</v>
      </c>
      <c r="L634" s="7" t="s">
        <v>45</v>
      </c>
      <c r="M634" s="7" t="s">
        <v>10</v>
      </c>
      <c r="N634" s="7" t="s">
        <v>10</v>
      </c>
      <c r="O634" s="46" t="s">
        <v>46</v>
      </c>
      <c r="P634" s="100">
        <v>46117</v>
      </c>
      <c r="Q634" s="100">
        <f t="shared" si="67"/>
        <v>46482</v>
      </c>
      <c r="R634" s="5" t="s">
        <v>2110</v>
      </c>
      <c r="S634" s="5" t="s">
        <v>5217</v>
      </c>
      <c r="T634" s="7">
        <v>9.18</v>
      </c>
      <c r="U634" s="7" t="s">
        <v>10</v>
      </c>
      <c r="V634" s="7">
        <f t="shared" si="68"/>
        <v>9.18</v>
      </c>
      <c r="W634" s="7">
        <v>12.5</v>
      </c>
      <c r="X634" s="7" t="s">
        <v>674</v>
      </c>
      <c r="Y634" s="48" t="str">
        <f t="shared" si="69"/>
        <v>APROVADO</v>
      </c>
      <c r="Z634" s="7" t="s">
        <v>46</v>
      </c>
      <c r="AA634" s="5">
        <v>11542250</v>
      </c>
      <c r="AB634" s="5" t="s">
        <v>2820</v>
      </c>
      <c r="AC634" s="7" t="s">
        <v>48</v>
      </c>
      <c r="AD634" s="5" t="s">
        <v>5530</v>
      </c>
      <c r="AE634" s="5" t="str">
        <f t="shared" ca="1" si="66"/>
        <v>NO PRAZO</v>
      </c>
      <c r="AF634" s="51"/>
    </row>
    <row r="635" spans="1:32" ht="30" customHeight="1" x14ac:dyDescent="0.25">
      <c r="A635" s="7" t="s">
        <v>1656</v>
      </c>
      <c r="B635" s="5" t="s">
        <v>10</v>
      </c>
      <c r="C635" s="5" t="s">
        <v>5863</v>
      </c>
      <c r="D635" s="7" t="s">
        <v>1640</v>
      </c>
      <c r="E635" s="7" t="s">
        <v>40</v>
      </c>
      <c r="F635" s="7" t="s">
        <v>90</v>
      </c>
      <c r="G635" s="7" t="s">
        <v>1657</v>
      </c>
      <c r="H635" s="7" t="s">
        <v>1626</v>
      </c>
      <c r="I635" s="7" t="s">
        <v>1627</v>
      </c>
      <c r="J635" s="7" t="s">
        <v>5324</v>
      </c>
      <c r="K635" s="7" t="s">
        <v>10</v>
      </c>
      <c r="L635" s="7" t="s">
        <v>45</v>
      </c>
      <c r="M635" s="7" t="s">
        <v>10</v>
      </c>
      <c r="N635" s="7" t="s">
        <v>10</v>
      </c>
      <c r="O635" s="46" t="s">
        <v>46</v>
      </c>
      <c r="P635" s="103">
        <v>46222</v>
      </c>
      <c r="Q635" s="100">
        <f t="shared" si="67"/>
        <v>46587</v>
      </c>
      <c r="R635" s="93" t="s">
        <v>3049</v>
      </c>
      <c r="S635" s="93" t="s">
        <v>5872</v>
      </c>
      <c r="T635" s="93">
        <v>6.5</v>
      </c>
      <c r="U635" s="7" t="s">
        <v>10</v>
      </c>
      <c r="V635" s="7">
        <f t="shared" si="68"/>
        <v>6.5</v>
      </c>
      <c r="W635" s="7">
        <v>12.5</v>
      </c>
      <c r="X635" s="7" t="s">
        <v>674</v>
      </c>
      <c r="Y635" s="48" t="str">
        <f t="shared" si="69"/>
        <v>APROVADO</v>
      </c>
      <c r="Z635" s="7" t="s">
        <v>56</v>
      </c>
      <c r="AA635" s="5">
        <v>11542253</v>
      </c>
      <c r="AB635" s="5" t="s">
        <v>2950</v>
      </c>
      <c r="AC635" s="7" t="s">
        <v>48</v>
      </c>
      <c r="AD635" s="5" t="s">
        <v>5632</v>
      </c>
      <c r="AE635" s="5" t="str">
        <f t="shared" ca="1" si="66"/>
        <v>NO PRAZO</v>
      </c>
      <c r="AF635" s="51"/>
    </row>
    <row r="636" spans="1:32" ht="30" customHeight="1" x14ac:dyDescent="0.25">
      <c r="A636" s="7" t="s">
        <v>1658</v>
      </c>
      <c r="B636" s="5" t="s">
        <v>10</v>
      </c>
      <c r="C636" s="5" t="s">
        <v>5863</v>
      </c>
      <c r="D636" s="7" t="s">
        <v>1640</v>
      </c>
      <c r="E636" s="7" t="s">
        <v>40</v>
      </c>
      <c r="F636" s="7" t="s">
        <v>90</v>
      </c>
      <c r="G636" s="7" t="s">
        <v>1659</v>
      </c>
      <c r="H636" s="7" t="s">
        <v>1626</v>
      </c>
      <c r="I636" s="7" t="s">
        <v>1627</v>
      </c>
      <c r="J636" s="7" t="s">
        <v>1628</v>
      </c>
      <c r="K636" s="7" t="s">
        <v>10</v>
      </c>
      <c r="L636" s="7" t="s">
        <v>45</v>
      </c>
      <c r="M636" s="7" t="s">
        <v>10</v>
      </c>
      <c r="N636" s="7" t="s">
        <v>10</v>
      </c>
      <c r="O636" s="46" t="s">
        <v>46</v>
      </c>
      <c r="P636" s="100">
        <v>46030</v>
      </c>
      <c r="Q636" s="100">
        <f t="shared" si="67"/>
        <v>46395</v>
      </c>
      <c r="R636" s="7" t="s">
        <v>2406</v>
      </c>
      <c r="S636" s="7" t="s">
        <v>4485</v>
      </c>
      <c r="T636" s="7">
        <v>7.11</v>
      </c>
      <c r="U636" s="7" t="s">
        <v>10</v>
      </c>
      <c r="V636" s="7">
        <f t="shared" si="68"/>
        <v>7.11</v>
      </c>
      <c r="W636" s="7">
        <v>12.5</v>
      </c>
      <c r="X636" s="7" t="s">
        <v>674</v>
      </c>
      <c r="Y636" s="48" t="str">
        <f t="shared" si="69"/>
        <v>APROVADO</v>
      </c>
      <c r="Z636" s="7" t="s">
        <v>56</v>
      </c>
      <c r="AA636" s="5">
        <v>11542255</v>
      </c>
      <c r="AB636" s="5" t="s">
        <v>2937</v>
      </c>
      <c r="AC636" s="7" t="s">
        <v>48</v>
      </c>
      <c r="AD636" s="5" t="s">
        <v>5530</v>
      </c>
      <c r="AE636" s="5" t="str">
        <f t="shared" ca="1" si="66"/>
        <v>NO PRAZO</v>
      </c>
      <c r="AF636" s="49"/>
    </row>
    <row r="637" spans="1:32" ht="30" customHeight="1" x14ac:dyDescent="0.25">
      <c r="A637" s="7" t="s">
        <v>1660</v>
      </c>
      <c r="B637" s="5" t="s">
        <v>10</v>
      </c>
      <c r="C637" s="5" t="s">
        <v>5863</v>
      </c>
      <c r="D637" s="7" t="s">
        <v>1640</v>
      </c>
      <c r="E637" s="7" t="s">
        <v>40</v>
      </c>
      <c r="F637" s="7" t="s">
        <v>90</v>
      </c>
      <c r="G637" s="7" t="s">
        <v>1661</v>
      </c>
      <c r="H637" s="7" t="s">
        <v>1626</v>
      </c>
      <c r="I637" s="7" t="s">
        <v>1627</v>
      </c>
      <c r="J637" s="7" t="s">
        <v>5324</v>
      </c>
      <c r="K637" s="7" t="s">
        <v>10</v>
      </c>
      <c r="L637" s="7" t="s">
        <v>45</v>
      </c>
      <c r="M637" s="7" t="s">
        <v>10</v>
      </c>
      <c r="N637" s="7" t="s">
        <v>10</v>
      </c>
      <c r="O637" s="46" t="s">
        <v>46</v>
      </c>
      <c r="P637" s="100">
        <v>46222</v>
      </c>
      <c r="Q637" s="100">
        <f t="shared" si="67"/>
        <v>46587</v>
      </c>
      <c r="R637" s="7" t="s">
        <v>3022</v>
      </c>
      <c r="S637" s="7" t="s">
        <v>5874</v>
      </c>
      <c r="T637" s="7">
        <v>6.31</v>
      </c>
      <c r="U637" s="7" t="s">
        <v>10</v>
      </c>
      <c r="V637" s="7">
        <f t="shared" si="68"/>
        <v>6.31</v>
      </c>
      <c r="W637" s="7">
        <v>12.5</v>
      </c>
      <c r="X637" s="7" t="s">
        <v>674</v>
      </c>
      <c r="Y637" s="48" t="str">
        <f t="shared" si="69"/>
        <v>APROVADO</v>
      </c>
      <c r="Z637" s="7" t="s">
        <v>56</v>
      </c>
      <c r="AA637" s="5">
        <v>11542259</v>
      </c>
      <c r="AB637" s="5" t="s">
        <v>2581</v>
      </c>
      <c r="AC637" s="7" t="s">
        <v>48</v>
      </c>
      <c r="AD637" s="5" t="s">
        <v>5632</v>
      </c>
      <c r="AE637" s="5" t="str">
        <f t="shared" ca="1" si="66"/>
        <v>NO PRAZO</v>
      </c>
      <c r="AF637" s="51"/>
    </row>
    <row r="638" spans="1:32" ht="30" customHeight="1" x14ac:dyDescent="0.25">
      <c r="A638" s="7" t="s">
        <v>1662</v>
      </c>
      <c r="B638" s="5" t="s">
        <v>10</v>
      </c>
      <c r="C638" s="5" t="s">
        <v>5863</v>
      </c>
      <c r="D638" s="7" t="s">
        <v>1640</v>
      </c>
      <c r="E638" s="7" t="s">
        <v>40</v>
      </c>
      <c r="F638" s="7" t="s">
        <v>90</v>
      </c>
      <c r="G638" s="7" t="s">
        <v>1663</v>
      </c>
      <c r="H638" s="7" t="s">
        <v>1626</v>
      </c>
      <c r="I638" s="7" t="s">
        <v>1627</v>
      </c>
      <c r="J638" s="7" t="s">
        <v>5324</v>
      </c>
      <c r="K638" s="7" t="s">
        <v>10</v>
      </c>
      <c r="L638" s="7" t="s">
        <v>45</v>
      </c>
      <c r="M638" s="7" t="s">
        <v>10</v>
      </c>
      <c r="N638" s="7" t="s">
        <v>10</v>
      </c>
      <c r="O638" s="46" t="s">
        <v>46</v>
      </c>
      <c r="P638" s="100">
        <v>46222</v>
      </c>
      <c r="Q638" s="100">
        <f t="shared" si="67"/>
        <v>46587</v>
      </c>
      <c r="R638" s="7" t="s">
        <v>3023</v>
      </c>
      <c r="S638" s="7" t="s">
        <v>5875</v>
      </c>
      <c r="T638" s="7">
        <v>5.0599999999999996</v>
      </c>
      <c r="U638" s="7" t="s">
        <v>10</v>
      </c>
      <c r="V638" s="7">
        <f t="shared" si="68"/>
        <v>5.0599999999999996</v>
      </c>
      <c r="W638" s="7">
        <v>12.5</v>
      </c>
      <c r="X638" s="7" t="s">
        <v>674</v>
      </c>
      <c r="Y638" s="48" t="str">
        <f t="shared" si="69"/>
        <v>APROVADO</v>
      </c>
      <c r="Z638" s="7" t="s">
        <v>56</v>
      </c>
      <c r="AA638" s="5">
        <v>11542261</v>
      </c>
      <c r="AB638" s="5" t="s">
        <v>2893</v>
      </c>
      <c r="AC638" s="7" t="s">
        <v>48</v>
      </c>
      <c r="AD638" s="5" t="s">
        <v>5632</v>
      </c>
      <c r="AE638" s="5" t="str">
        <f t="shared" ca="1" si="66"/>
        <v>NO PRAZO</v>
      </c>
      <c r="AF638" s="51"/>
    </row>
    <row r="639" spans="1:32" ht="30" customHeight="1" x14ac:dyDescent="0.25">
      <c r="A639" s="7" t="s">
        <v>1664</v>
      </c>
      <c r="B639" s="5" t="s">
        <v>10</v>
      </c>
      <c r="C639" s="5" t="s">
        <v>5863</v>
      </c>
      <c r="D639" s="7" t="s">
        <v>1640</v>
      </c>
      <c r="E639" s="7" t="s">
        <v>40</v>
      </c>
      <c r="F639" s="7" t="s">
        <v>90</v>
      </c>
      <c r="G639" s="7" t="s">
        <v>1665</v>
      </c>
      <c r="H639" s="7" t="s">
        <v>1626</v>
      </c>
      <c r="I639" s="7" t="s">
        <v>1627</v>
      </c>
      <c r="J639" s="7" t="s">
        <v>5324</v>
      </c>
      <c r="K639" s="7" t="s">
        <v>10</v>
      </c>
      <c r="L639" s="7" t="s">
        <v>45</v>
      </c>
      <c r="M639" s="7" t="s">
        <v>10</v>
      </c>
      <c r="N639" s="7" t="s">
        <v>10</v>
      </c>
      <c r="O639" s="46" t="s">
        <v>46</v>
      </c>
      <c r="P639" s="100">
        <v>46222</v>
      </c>
      <c r="Q639" s="100">
        <f t="shared" si="67"/>
        <v>46587</v>
      </c>
      <c r="R639" s="7" t="s">
        <v>3024</v>
      </c>
      <c r="S639" s="7" t="s">
        <v>5873</v>
      </c>
      <c r="T639" s="7">
        <v>6.57</v>
      </c>
      <c r="U639" s="7" t="s">
        <v>10</v>
      </c>
      <c r="V639" s="7">
        <f t="shared" si="68"/>
        <v>6.57</v>
      </c>
      <c r="W639" s="7">
        <v>12.5</v>
      </c>
      <c r="X639" s="7" t="s">
        <v>674</v>
      </c>
      <c r="Y639" s="48" t="str">
        <f t="shared" si="69"/>
        <v>APROVADO</v>
      </c>
      <c r="Z639" s="7" t="s">
        <v>46</v>
      </c>
      <c r="AA639" s="5">
        <v>11540948</v>
      </c>
      <c r="AB639" s="5" t="s">
        <v>2804</v>
      </c>
      <c r="AC639" s="7" t="s">
        <v>48</v>
      </c>
      <c r="AD639" s="5" t="s">
        <v>5632</v>
      </c>
      <c r="AE639" s="5" t="str">
        <f t="shared" ca="1" si="66"/>
        <v>NO PRAZO</v>
      </c>
      <c r="AF639" s="51"/>
    </row>
    <row r="640" spans="1:32" ht="30" customHeight="1" x14ac:dyDescent="0.25">
      <c r="A640" s="7" t="s">
        <v>1666</v>
      </c>
      <c r="B640" s="5" t="s">
        <v>10</v>
      </c>
      <c r="C640" s="5" t="s">
        <v>5863</v>
      </c>
      <c r="D640" s="7" t="s">
        <v>1640</v>
      </c>
      <c r="E640" s="7" t="s">
        <v>40</v>
      </c>
      <c r="F640" s="7" t="s">
        <v>90</v>
      </c>
      <c r="G640" s="7" t="s">
        <v>1667</v>
      </c>
      <c r="H640" s="7" t="s">
        <v>1626</v>
      </c>
      <c r="I640" s="7" t="s">
        <v>1652</v>
      </c>
      <c r="J640" s="7" t="s">
        <v>1653</v>
      </c>
      <c r="K640" s="7" t="s">
        <v>10</v>
      </c>
      <c r="L640" s="7" t="s">
        <v>45</v>
      </c>
      <c r="M640" s="7" t="s">
        <v>10</v>
      </c>
      <c r="N640" s="7" t="s">
        <v>10</v>
      </c>
      <c r="O640" s="46" t="s">
        <v>46</v>
      </c>
      <c r="P640" s="100">
        <v>46020</v>
      </c>
      <c r="Q640" s="100">
        <f t="shared" si="67"/>
        <v>46385</v>
      </c>
      <c r="R640" s="7" t="s">
        <v>3068</v>
      </c>
      <c r="S640" s="7" t="s">
        <v>4595</v>
      </c>
      <c r="T640" s="7">
        <v>2.81</v>
      </c>
      <c r="U640" s="7" t="s">
        <v>10</v>
      </c>
      <c r="V640" s="7">
        <f t="shared" si="68"/>
        <v>2.81</v>
      </c>
      <c r="W640" s="7">
        <v>12.5</v>
      </c>
      <c r="X640" s="7" t="s">
        <v>674</v>
      </c>
      <c r="Y640" s="48" t="str">
        <f t="shared" si="69"/>
        <v>APROVADO</v>
      </c>
      <c r="Z640" s="7" t="s">
        <v>56</v>
      </c>
      <c r="AA640" s="5">
        <v>11542241</v>
      </c>
      <c r="AB640" s="5" t="s">
        <v>3016</v>
      </c>
      <c r="AC640" s="7" t="s">
        <v>48</v>
      </c>
      <c r="AD640" s="5" t="s">
        <v>5530</v>
      </c>
      <c r="AE640" s="5" t="str">
        <f t="shared" ca="1" si="66"/>
        <v>NO PRAZO</v>
      </c>
      <c r="AF640" s="49"/>
    </row>
    <row r="641" spans="1:32" ht="30" customHeight="1" x14ac:dyDescent="0.25">
      <c r="A641" s="7" t="s">
        <v>1743</v>
      </c>
      <c r="B641" s="5" t="s">
        <v>10</v>
      </c>
      <c r="C641" s="5" t="s">
        <v>5863</v>
      </c>
      <c r="D641" s="7" t="s">
        <v>1640</v>
      </c>
      <c r="E641" s="7" t="s">
        <v>40</v>
      </c>
      <c r="F641" s="7" t="s">
        <v>90</v>
      </c>
      <c r="G641" s="7" t="s">
        <v>1744</v>
      </c>
      <c r="H641" s="7" t="s">
        <v>1626</v>
      </c>
      <c r="I641" s="7" t="s">
        <v>1627</v>
      </c>
      <c r="J641" s="7" t="s">
        <v>5324</v>
      </c>
      <c r="K641" s="7" t="s">
        <v>10</v>
      </c>
      <c r="L641" s="7" t="s">
        <v>45</v>
      </c>
      <c r="M641" s="7" t="s">
        <v>10</v>
      </c>
      <c r="N641" s="7" t="s">
        <v>10</v>
      </c>
      <c r="O641" s="46" t="s">
        <v>46</v>
      </c>
      <c r="P641" s="100">
        <v>46117</v>
      </c>
      <c r="Q641" s="100">
        <f t="shared" si="67"/>
        <v>46482</v>
      </c>
      <c r="R641" s="7" t="s">
        <v>2111</v>
      </c>
      <c r="S641" s="7" t="s">
        <v>5218</v>
      </c>
      <c r="T641" s="7">
        <v>4.17</v>
      </c>
      <c r="U641" s="7"/>
      <c r="V641" s="7">
        <f t="shared" si="68"/>
        <v>4.17</v>
      </c>
      <c r="W641" s="7">
        <v>12.5</v>
      </c>
      <c r="X641" s="7" t="s">
        <v>674</v>
      </c>
      <c r="Y641" s="48" t="str">
        <f t="shared" si="69"/>
        <v>APROVADO</v>
      </c>
      <c r="Z641" s="7" t="s">
        <v>46</v>
      </c>
      <c r="AA641" s="5">
        <v>11557027</v>
      </c>
      <c r="AB641" s="5" t="s">
        <v>3961</v>
      </c>
      <c r="AC641" s="7" t="s">
        <v>48</v>
      </c>
      <c r="AD641" s="5" t="s">
        <v>5530</v>
      </c>
      <c r="AE641" s="5" t="str">
        <f t="shared" ca="1" si="66"/>
        <v>NO PRAZO</v>
      </c>
      <c r="AF641" s="51"/>
    </row>
    <row r="642" spans="1:32" ht="30" customHeight="1" x14ac:dyDescent="0.25">
      <c r="A642" s="7" t="s">
        <v>1668</v>
      </c>
      <c r="B642" s="5" t="s">
        <v>10</v>
      </c>
      <c r="C642" s="5" t="s">
        <v>5863</v>
      </c>
      <c r="D642" s="7" t="s">
        <v>1640</v>
      </c>
      <c r="E642" s="7" t="s">
        <v>40</v>
      </c>
      <c r="F642" s="7" t="s">
        <v>90</v>
      </c>
      <c r="G642" s="7" t="s">
        <v>1669</v>
      </c>
      <c r="H642" s="7" t="s">
        <v>1626</v>
      </c>
      <c r="I642" s="7" t="s">
        <v>1627</v>
      </c>
      <c r="J642" s="7" t="s">
        <v>5324</v>
      </c>
      <c r="K642" s="7" t="s">
        <v>10</v>
      </c>
      <c r="L642" s="7" t="s">
        <v>45</v>
      </c>
      <c r="M642" s="7" t="s">
        <v>10</v>
      </c>
      <c r="N642" s="7" t="s">
        <v>10</v>
      </c>
      <c r="O642" s="46" t="s">
        <v>46</v>
      </c>
      <c r="P642" s="100">
        <v>46117</v>
      </c>
      <c r="Q642" s="100">
        <f t="shared" si="67"/>
        <v>46482</v>
      </c>
      <c r="R642" s="7" t="s">
        <v>2112</v>
      </c>
      <c r="S642" s="7" t="s">
        <v>5219</v>
      </c>
      <c r="T642" s="7">
        <v>4.17</v>
      </c>
      <c r="U642" s="7" t="s">
        <v>10</v>
      </c>
      <c r="V642" s="7">
        <f t="shared" si="68"/>
        <v>4.17</v>
      </c>
      <c r="W642" s="7">
        <v>12.5</v>
      </c>
      <c r="X642" s="7" t="s">
        <v>674</v>
      </c>
      <c r="Y642" s="48" t="str">
        <f t="shared" si="69"/>
        <v>APROVADO</v>
      </c>
      <c r="Z642" s="7" t="s">
        <v>46</v>
      </c>
      <c r="AA642" s="5">
        <v>11557028</v>
      </c>
      <c r="AB642" s="5" t="s">
        <v>2799</v>
      </c>
      <c r="AC642" s="7" t="s">
        <v>48</v>
      </c>
      <c r="AD642" s="5" t="s">
        <v>5530</v>
      </c>
      <c r="AE642" s="5" t="str">
        <f t="shared" ca="1" si="66"/>
        <v>NO PRAZO</v>
      </c>
      <c r="AF642" s="51"/>
    </row>
    <row r="643" spans="1:32" ht="30" customHeight="1" x14ac:dyDescent="0.25">
      <c r="A643" s="7" t="s">
        <v>1670</v>
      </c>
      <c r="B643" s="5" t="s">
        <v>10</v>
      </c>
      <c r="C643" s="5" t="s">
        <v>5863</v>
      </c>
      <c r="D643" s="7" t="s">
        <v>1640</v>
      </c>
      <c r="E643" s="7" t="s">
        <v>40</v>
      </c>
      <c r="F643" s="7" t="s">
        <v>90</v>
      </c>
      <c r="G643" s="7" t="s">
        <v>1671</v>
      </c>
      <c r="H643" s="7" t="s">
        <v>1626</v>
      </c>
      <c r="I643" s="7" t="s">
        <v>1627</v>
      </c>
      <c r="J643" s="7" t="s">
        <v>5324</v>
      </c>
      <c r="K643" s="7" t="s">
        <v>10</v>
      </c>
      <c r="L643" s="7" t="s">
        <v>45</v>
      </c>
      <c r="M643" s="7" t="s">
        <v>10</v>
      </c>
      <c r="N643" s="7" t="s">
        <v>10</v>
      </c>
      <c r="O643" s="46" t="s">
        <v>46</v>
      </c>
      <c r="P643" s="100">
        <v>46117</v>
      </c>
      <c r="Q643" s="100">
        <f t="shared" si="67"/>
        <v>46482</v>
      </c>
      <c r="R643" s="5" t="s">
        <v>2113</v>
      </c>
      <c r="S643" s="5" t="s">
        <v>5220</v>
      </c>
      <c r="T643" s="7">
        <v>7.76</v>
      </c>
      <c r="U643" s="7" t="s">
        <v>10</v>
      </c>
      <c r="V643" s="7">
        <f t="shared" si="68"/>
        <v>7.76</v>
      </c>
      <c r="W643" s="7">
        <v>12.5</v>
      </c>
      <c r="X643" s="7" t="s">
        <v>674</v>
      </c>
      <c r="Y643" s="48" t="str">
        <f t="shared" si="69"/>
        <v>APROVADO</v>
      </c>
      <c r="Z643" s="7" t="s">
        <v>46</v>
      </c>
      <c r="AA643" s="5">
        <v>11557032</v>
      </c>
      <c r="AB643" s="5" t="s">
        <v>2800</v>
      </c>
      <c r="AC643" s="7" t="s">
        <v>48</v>
      </c>
      <c r="AD643" s="5" t="s">
        <v>5530</v>
      </c>
      <c r="AE643" s="5" t="str">
        <f t="shared" ca="1" si="66"/>
        <v>NO PRAZO</v>
      </c>
      <c r="AF643" s="51"/>
    </row>
    <row r="644" spans="1:32" ht="30" customHeight="1" x14ac:dyDescent="0.25">
      <c r="A644" s="7" t="s">
        <v>1672</v>
      </c>
      <c r="B644" s="5" t="s">
        <v>10</v>
      </c>
      <c r="C644" s="5" t="s">
        <v>5863</v>
      </c>
      <c r="D644" s="7" t="s">
        <v>1640</v>
      </c>
      <c r="E644" s="7" t="s">
        <v>40</v>
      </c>
      <c r="F644" s="7" t="s">
        <v>90</v>
      </c>
      <c r="G644" s="7" t="s">
        <v>1673</v>
      </c>
      <c r="H644" s="7" t="s">
        <v>1626</v>
      </c>
      <c r="I644" s="7" t="s">
        <v>1627</v>
      </c>
      <c r="J644" s="7" t="s">
        <v>5324</v>
      </c>
      <c r="K644" s="7" t="s">
        <v>10</v>
      </c>
      <c r="L644" s="7" t="s">
        <v>45</v>
      </c>
      <c r="M644" s="7" t="s">
        <v>10</v>
      </c>
      <c r="N644" s="7" t="s">
        <v>10</v>
      </c>
      <c r="O644" s="46" t="s">
        <v>46</v>
      </c>
      <c r="P644" s="100">
        <v>46117</v>
      </c>
      <c r="Q644" s="100">
        <f t="shared" si="67"/>
        <v>46482</v>
      </c>
      <c r="R644" s="7" t="s">
        <v>2114</v>
      </c>
      <c r="S644" s="7" t="s">
        <v>5348</v>
      </c>
      <c r="T644" s="7">
        <v>9.18</v>
      </c>
      <c r="U644" s="7" t="s">
        <v>10</v>
      </c>
      <c r="V644" s="7">
        <f t="shared" si="68"/>
        <v>9.18</v>
      </c>
      <c r="W644" s="7">
        <v>12.5</v>
      </c>
      <c r="X644" s="7" t="s">
        <v>674</v>
      </c>
      <c r="Y644" s="48" t="str">
        <f t="shared" si="69"/>
        <v>APROVADO</v>
      </c>
      <c r="Z644" s="7" t="s">
        <v>46</v>
      </c>
      <c r="AA644" s="5">
        <v>11557033</v>
      </c>
      <c r="AB644" s="5" t="s">
        <v>2801</v>
      </c>
      <c r="AC644" s="7" t="s">
        <v>48</v>
      </c>
      <c r="AD644" s="5" t="s">
        <v>5530</v>
      </c>
      <c r="AE644" s="5" t="str">
        <f t="shared" ca="1" si="66"/>
        <v>NO PRAZO</v>
      </c>
      <c r="AF644" s="51"/>
    </row>
    <row r="645" spans="1:32" ht="30" customHeight="1" x14ac:dyDescent="0.25">
      <c r="A645" s="7" t="s">
        <v>1674</v>
      </c>
      <c r="B645" s="5" t="s">
        <v>10</v>
      </c>
      <c r="C645" s="5" t="s">
        <v>5863</v>
      </c>
      <c r="D645" s="7" t="s">
        <v>1640</v>
      </c>
      <c r="E645" s="7" t="s">
        <v>40</v>
      </c>
      <c r="F645" s="7" t="s">
        <v>644</v>
      </c>
      <c r="G645" s="7" t="s">
        <v>1513</v>
      </c>
      <c r="H645" s="7" t="s">
        <v>1626</v>
      </c>
      <c r="I645" s="7" t="s">
        <v>1627</v>
      </c>
      <c r="J645" s="7" t="s">
        <v>1628</v>
      </c>
      <c r="K645" s="7" t="s">
        <v>10</v>
      </c>
      <c r="L645" s="7" t="s">
        <v>45</v>
      </c>
      <c r="M645" s="7" t="s">
        <v>10</v>
      </c>
      <c r="N645" s="7" t="s">
        <v>10</v>
      </c>
      <c r="O645" s="46" t="s">
        <v>46</v>
      </c>
      <c r="P645" s="100">
        <v>46005</v>
      </c>
      <c r="Q645" s="100">
        <f t="shared" si="67"/>
        <v>46370</v>
      </c>
      <c r="R645" s="5" t="s">
        <v>2381</v>
      </c>
      <c r="S645" s="5" t="s">
        <v>4362</v>
      </c>
      <c r="T645" s="7">
        <v>7.16</v>
      </c>
      <c r="U645" s="7" t="s">
        <v>10</v>
      </c>
      <c r="V645" s="7">
        <f t="shared" si="68"/>
        <v>7.16</v>
      </c>
      <c r="W645" s="7">
        <v>12.5</v>
      </c>
      <c r="X645" s="7" t="s">
        <v>674</v>
      </c>
      <c r="Y645" s="48" t="str">
        <f t="shared" si="69"/>
        <v>APROVADO</v>
      </c>
      <c r="Z645" s="7" t="s">
        <v>46</v>
      </c>
      <c r="AA645" s="5">
        <v>11542268</v>
      </c>
      <c r="AB645" s="5" t="s">
        <v>2938</v>
      </c>
      <c r="AC645" s="7" t="s">
        <v>48</v>
      </c>
      <c r="AD645" s="5" t="s">
        <v>5530</v>
      </c>
      <c r="AE645" s="5" t="str">
        <f t="shared" ca="1" si="66"/>
        <v>NO PRAZO</v>
      </c>
      <c r="AF645" s="53"/>
    </row>
    <row r="646" spans="1:32" ht="30" customHeight="1" x14ac:dyDescent="0.25">
      <c r="A646" s="7" t="s">
        <v>1675</v>
      </c>
      <c r="B646" s="5" t="s">
        <v>10</v>
      </c>
      <c r="C646" s="5" t="s">
        <v>5863</v>
      </c>
      <c r="D646" s="7" t="s">
        <v>1640</v>
      </c>
      <c r="E646" s="7" t="s">
        <v>40</v>
      </c>
      <c r="F646" s="7" t="s">
        <v>644</v>
      </c>
      <c r="G646" s="7" t="s">
        <v>1516</v>
      </c>
      <c r="H646" s="7" t="s">
        <v>1626</v>
      </c>
      <c r="I646" s="7" t="s">
        <v>1627</v>
      </c>
      <c r="J646" s="7" t="s">
        <v>1628</v>
      </c>
      <c r="K646" s="7" t="s">
        <v>10</v>
      </c>
      <c r="L646" s="7" t="s">
        <v>45</v>
      </c>
      <c r="M646" s="7" t="s">
        <v>10</v>
      </c>
      <c r="N646" s="7" t="s">
        <v>10</v>
      </c>
      <c r="O646" s="46" t="s">
        <v>46</v>
      </c>
      <c r="P646" s="100">
        <v>45991</v>
      </c>
      <c r="Q646" s="100">
        <f t="shared" si="67"/>
        <v>46356</v>
      </c>
      <c r="R646" s="5" t="s">
        <v>2382</v>
      </c>
      <c r="S646" s="5" t="s">
        <v>4301</v>
      </c>
      <c r="T646" s="7">
        <v>10.87</v>
      </c>
      <c r="U646" s="7" t="s">
        <v>10</v>
      </c>
      <c r="V646" s="7">
        <f t="shared" si="68"/>
        <v>10.87</v>
      </c>
      <c r="W646" s="7">
        <v>12.5</v>
      </c>
      <c r="X646" s="7" t="s">
        <v>674</v>
      </c>
      <c r="Y646" s="48" t="str">
        <f t="shared" si="69"/>
        <v>APROVADO</v>
      </c>
      <c r="Z646" s="7" t="s">
        <v>56</v>
      </c>
      <c r="AA646" s="5">
        <v>11542270</v>
      </c>
      <c r="AB646" s="5" t="s">
        <v>2951</v>
      </c>
      <c r="AC646" s="7" t="s">
        <v>48</v>
      </c>
      <c r="AD646" s="5" t="s">
        <v>5530</v>
      </c>
      <c r="AE646" s="5" t="str">
        <f t="shared" ca="1" si="66"/>
        <v>NO PRAZO</v>
      </c>
      <c r="AF646" s="51"/>
    </row>
    <row r="647" spans="1:32" ht="30" customHeight="1" x14ac:dyDescent="0.25">
      <c r="A647" s="7" t="s">
        <v>1676</v>
      </c>
      <c r="B647" s="5" t="s">
        <v>10</v>
      </c>
      <c r="C647" s="5" t="s">
        <v>5863</v>
      </c>
      <c r="D647" s="7" t="s">
        <v>1640</v>
      </c>
      <c r="E647" s="7" t="s">
        <v>40</v>
      </c>
      <c r="F647" s="7" t="s">
        <v>644</v>
      </c>
      <c r="G647" s="7" t="s">
        <v>1519</v>
      </c>
      <c r="H647" s="7" t="s">
        <v>1626</v>
      </c>
      <c r="I647" s="7" t="s">
        <v>1627</v>
      </c>
      <c r="J647" s="7" t="s">
        <v>1628</v>
      </c>
      <c r="K647" s="7" t="s">
        <v>10</v>
      </c>
      <c r="L647" s="7" t="s">
        <v>45</v>
      </c>
      <c r="M647" s="7" t="s">
        <v>10</v>
      </c>
      <c r="N647" s="7" t="s">
        <v>10</v>
      </c>
      <c r="O647" s="46" t="s">
        <v>46</v>
      </c>
      <c r="P647" s="100">
        <v>46005</v>
      </c>
      <c r="Q647" s="100">
        <f t="shared" si="67"/>
        <v>46370</v>
      </c>
      <c r="R647" s="5" t="s">
        <v>2383</v>
      </c>
      <c r="S647" s="5" t="s">
        <v>4363</v>
      </c>
      <c r="T647" s="7">
        <v>6.1</v>
      </c>
      <c r="U647" s="7" t="s">
        <v>10</v>
      </c>
      <c r="V647" s="7">
        <f t="shared" si="68"/>
        <v>6.1</v>
      </c>
      <c r="W647" s="7">
        <v>12.5</v>
      </c>
      <c r="X647" s="7" t="s">
        <v>674</v>
      </c>
      <c r="Y647" s="48" t="str">
        <f t="shared" si="69"/>
        <v>APROVADO</v>
      </c>
      <c r="Z647" s="7" t="s">
        <v>46</v>
      </c>
      <c r="AA647" s="5">
        <v>11542272</v>
      </c>
      <c r="AB647" s="5" t="s">
        <v>2952</v>
      </c>
      <c r="AC647" s="7" t="s">
        <v>48</v>
      </c>
      <c r="AD647" s="5" t="s">
        <v>5530</v>
      </c>
      <c r="AE647" s="5" t="str">
        <f t="shared" ca="1" si="66"/>
        <v>NO PRAZO</v>
      </c>
      <c r="AF647" s="53"/>
    </row>
    <row r="648" spans="1:32" ht="30" customHeight="1" x14ac:dyDescent="0.25">
      <c r="A648" s="7" t="s">
        <v>4262</v>
      </c>
      <c r="B648" s="5" t="s">
        <v>10</v>
      </c>
      <c r="C648" s="5" t="s">
        <v>5863</v>
      </c>
      <c r="D648" s="7" t="s">
        <v>1640</v>
      </c>
      <c r="E648" s="7" t="s">
        <v>40</v>
      </c>
      <c r="F648" s="7" t="s">
        <v>644</v>
      </c>
      <c r="G648" s="7" t="s">
        <v>4263</v>
      </c>
      <c r="H648" s="7" t="s">
        <v>1626</v>
      </c>
      <c r="I648" s="7" t="s">
        <v>1627</v>
      </c>
      <c r="J648" s="7" t="s">
        <v>1628</v>
      </c>
      <c r="K648" s="7" t="s">
        <v>10</v>
      </c>
      <c r="L648" s="7" t="s">
        <v>45</v>
      </c>
      <c r="M648" s="7" t="s">
        <v>10</v>
      </c>
      <c r="N648" s="7" t="s">
        <v>10</v>
      </c>
      <c r="O648" s="46" t="s">
        <v>46</v>
      </c>
      <c r="P648" s="100">
        <v>45988</v>
      </c>
      <c r="Q648" s="100">
        <f t="shared" si="67"/>
        <v>46353</v>
      </c>
      <c r="R648" s="5" t="s">
        <v>4296</v>
      </c>
      <c r="S648" s="5" t="s">
        <v>4296</v>
      </c>
      <c r="T648" s="7">
        <v>5.09</v>
      </c>
      <c r="U648" s="7" t="s">
        <v>10</v>
      </c>
      <c r="V648" s="7">
        <f t="shared" si="68"/>
        <v>5.09</v>
      </c>
      <c r="W648" s="7">
        <v>12.5</v>
      </c>
      <c r="X648" s="7" t="s">
        <v>674</v>
      </c>
      <c r="Y648" s="48" t="str">
        <f t="shared" si="69"/>
        <v>APROVADO</v>
      </c>
      <c r="Z648" s="7" t="s">
        <v>46</v>
      </c>
      <c r="AA648" s="5">
        <v>11542274</v>
      </c>
      <c r="AB648" s="5" t="s">
        <v>4385</v>
      </c>
      <c r="AC648" s="7" t="s">
        <v>48</v>
      </c>
      <c r="AD648" s="5" t="s">
        <v>5530</v>
      </c>
      <c r="AE648" s="5" t="str">
        <f t="shared" ca="1" si="66"/>
        <v>NO PRAZO</v>
      </c>
      <c r="AF648" s="51"/>
    </row>
    <row r="649" spans="1:32" ht="30" customHeight="1" x14ac:dyDescent="0.25">
      <c r="A649" s="7" t="s">
        <v>4264</v>
      </c>
      <c r="B649" s="5" t="s">
        <v>10</v>
      </c>
      <c r="C649" s="5" t="s">
        <v>5863</v>
      </c>
      <c r="D649" s="7" t="s">
        <v>1640</v>
      </c>
      <c r="E649" s="7" t="s">
        <v>40</v>
      </c>
      <c r="F649" s="7" t="s">
        <v>644</v>
      </c>
      <c r="G649" s="7" t="s">
        <v>4265</v>
      </c>
      <c r="H649" s="7" t="s">
        <v>1626</v>
      </c>
      <c r="I649" s="7" t="s">
        <v>1627</v>
      </c>
      <c r="J649" s="7" t="s">
        <v>1628</v>
      </c>
      <c r="K649" s="7" t="s">
        <v>10</v>
      </c>
      <c r="L649" s="7" t="s">
        <v>45</v>
      </c>
      <c r="M649" s="7" t="s">
        <v>10</v>
      </c>
      <c r="N649" s="7" t="s">
        <v>10</v>
      </c>
      <c r="O649" s="46" t="s">
        <v>46</v>
      </c>
      <c r="P649" s="100">
        <v>45988</v>
      </c>
      <c r="Q649" s="100">
        <f t="shared" si="67"/>
        <v>46353</v>
      </c>
      <c r="R649" s="5" t="s">
        <v>4268</v>
      </c>
      <c r="S649" s="5" t="s">
        <v>4268</v>
      </c>
      <c r="T649" s="7">
        <v>8.82</v>
      </c>
      <c r="U649" s="7" t="s">
        <v>10</v>
      </c>
      <c r="V649" s="7">
        <f t="shared" si="68"/>
        <v>8.82</v>
      </c>
      <c r="W649" s="7">
        <v>12.5</v>
      </c>
      <c r="X649" s="7" t="s">
        <v>674</v>
      </c>
      <c r="Y649" s="48" t="str">
        <f t="shared" si="69"/>
        <v>APROVADO</v>
      </c>
      <c r="Z649" s="7" t="s">
        <v>56</v>
      </c>
      <c r="AA649" s="5">
        <v>11542276</v>
      </c>
      <c r="AB649" s="5" t="s">
        <v>4386</v>
      </c>
      <c r="AC649" s="7" t="s">
        <v>48</v>
      </c>
      <c r="AD649" s="5" t="s">
        <v>5530</v>
      </c>
      <c r="AE649" s="5" t="str">
        <f t="shared" ca="1" si="66"/>
        <v>NO PRAZO</v>
      </c>
      <c r="AF649" s="51"/>
    </row>
    <row r="650" spans="1:32" ht="30" customHeight="1" x14ac:dyDescent="0.25">
      <c r="A650" s="7" t="s">
        <v>4266</v>
      </c>
      <c r="B650" s="5" t="s">
        <v>10</v>
      </c>
      <c r="C650" s="5" t="s">
        <v>5863</v>
      </c>
      <c r="D650" s="7" t="s">
        <v>1640</v>
      </c>
      <c r="E650" s="7" t="s">
        <v>40</v>
      </c>
      <c r="F650" s="7" t="s">
        <v>644</v>
      </c>
      <c r="G650" s="7" t="s">
        <v>4267</v>
      </c>
      <c r="H650" s="7" t="s">
        <v>1626</v>
      </c>
      <c r="I650" s="7" t="s">
        <v>1627</v>
      </c>
      <c r="J650" s="7" t="s">
        <v>1628</v>
      </c>
      <c r="K650" s="7" t="s">
        <v>10</v>
      </c>
      <c r="L650" s="7" t="s">
        <v>45</v>
      </c>
      <c r="M650" s="7" t="s">
        <v>10</v>
      </c>
      <c r="N650" s="7" t="s">
        <v>10</v>
      </c>
      <c r="O650" s="46" t="s">
        <v>46</v>
      </c>
      <c r="P650" s="100">
        <v>45988</v>
      </c>
      <c r="Q650" s="100">
        <f t="shared" si="67"/>
        <v>46353</v>
      </c>
      <c r="R650" s="5" t="s">
        <v>4269</v>
      </c>
      <c r="S650" s="5" t="s">
        <v>4269</v>
      </c>
      <c r="T650" s="7">
        <v>11.8</v>
      </c>
      <c r="U650" s="7" t="s">
        <v>10</v>
      </c>
      <c r="V650" s="7">
        <f t="shared" si="68"/>
        <v>11.8</v>
      </c>
      <c r="W650" s="7">
        <v>12.5</v>
      </c>
      <c r="X650" s="7" t="s">
        <v>674</v>
      </c>
      <c r="Y650" s="48" t="str">
        <f t="shared" si="69"/>
        <v>APROVADO</v>
      </c>
      <c r="Z650" s="7" t="s">
        <v>56</v>
      </c>
      <c r="AA650" s="5">
        <v>11538078</v>
      </c>
      <c r="AB650" s="5" t="s">
        <v>4387</v>
      </c>
      <c r="AC650" s="7" t="s">
        <v>48</v>
      </c>
      <c r="AD650" s="5" t="s">
        <v>5530</v>
      </c>
      <c r="AE650" s="5" t="str">
        <f t="shared" ref="AE650:AE669" ca="1" si="70">IFERROR(IF(OR(AND(YEAR(Q650)=YEAR(TODAY()),MONTH(Q650)&gt;MONTH(TODAY())),(YEAR(Q650)&gt;YEAR(TODAY()))),$AK$4,IF(AND(YEAR(Q650)=YEAR(TODAY()),MONTH(Q650)=MONTH(TODAY())),$AK$5,IF(Q650="",$AK$6,$AK$7))),"-")</f>
        <v>NO PRAZO</v>
      </c>
      <c r="AF650" s="51"/>
    </row>
    <row r="651" spans="1:32" ht="30" customHeight="1" x14ac:dyDescent="0.25">
      <c r="A651" s="7" t="s">
        <v>1677</v>
      </c>
      <c r="B651" s="5" t="s">
        <v>10</v>
      </c>
      <c r="C651" s="5" t="s">
        <v>5863</v>
      </c>
      <c r="D651" s="7" t="s">
        <v>1640</v>
      </c>
      <c r="E651" s="7" t="s">
        <v>40</v>
      </c>
      <c r="F651" s="7" t="s">
        <v>644</v>
      </c>
      <c r="G651" s="7" t="s">
        <v>1522</v>
      </c>
      <c r="H651" s="7" t="s">
        <v>1626</v>
      </c>
      <c r="I651" s="7" t="s">
        <v>1627</v>
      </c>
      <c r="J651" s="7" t="s">
        <v>1628</v>
      </c>
      <c r="K651" s="7" t="s">
        <v>10</v>
      </c>
      <c r="L651" s="7" t="s">
        <v>45</v>
      </c>
      <c r="M651" s="7" t="s">
        <v>10</v>
      </c>
      <c r="N651" s="7" t="s">
        <v>10</v>
      </c>
      <c r="O651" s="46" t="s">
        <v>46</v>
      </c>
      <c r="P651" s="100">
        <v>45991</v>
      </c>
      <c r="Q651" s="100">
        <f t="shared" si="67"/>
        <v>46356</v>
      </c>
      <c r="R651" s="5" t="s">
        <v>2407</v>
      </c>
      <c r="S651" s="5" t="s">
        <v>4302</v>
      </c>
      <c r="T651" s="7">
        <v>4.4800000000000004</v>
      </c>
      <c r="U651" s="7" t="s">
        <v>10</v>
      </c>
      <c r="V651" s="7">
        <f t="shared" si="68"/>
        <v>4.4800000000000004</v>
      </c>
      <c r="W651" s="7">
        <v>12.5</v>
      </c>
      <c r="X651" s="7" t="s">
        <v>674</v>
      </c>
      <c r="Y651" s="48" t="str">
        <f t="shared" si="69"/>
        <v>APROVADO</v>
      </c>
      <c r="Z651" s="7" t="s">
        <v>46</v>
      </c>
      <c r="AA651" s="5">
        <v>11542280</v>
      </c>
      <c r="AB651" s="5" t="s">
        <v>2939</v>
      </c>
      <c r="AC651" s="7" t="s">
        <v>48</v>
      </c>
      <c r="AD651" s="5" t="s">
        <v>5530</v>
      </c>
      <c r="AE651" s="5" t="str">
        <f t="shared" ca="1" si="70"/>
        <v>NO PRAZO</v>
      </c>
      <c r="AF651" s="51"/>
    </row>
    <row r="652" spans="1:32" ht="30" customHeight="1" x14ac:dyDescent="0.25">
      <c r="A652" s="7" t="s">
        <v>1678</v>
      </c>
      <c r="B652" s="5" t="s">
        <v>10</v>
      </c>
      <c r="C652" s="5" t="s">
        <v>5863</v>
      </c>
      <c r="D652" s="7" t="s">
        <v>1640</v>
      </c>
      <c r="E652" s="7" t="s">
        <v>40</v>
      </c>
      <c r="F652" s="7" t="s">
        <v>644</v>
      </c>
      <c r="G652" s="7" t="s">
        <v>1525</v>
      </c>
      <c r="H652" s="7" t="s">
        <v>1626</v>
      </c>
      <c r="I652" s="7" t="s">
        <v>1627</v>
      </c>
      <c r="J652" s="7" t="s">
        <v>1628</v>
      </c>
      <c r="K652" s="7" t="s">
        <v>10</v>
      </c>
      <c r="L652" s="7" t="s">
        <v>45</v>
      </c>
      <c r="M652" s="7" t="s">
        <v>10</v>
      </c>
      <c r="N652" s="7" t="s">
        <v>10</v>
      </c>
      <c r="O652" s="46" t="s">
        <v>46</v>
      </c>
      <c r="P652" s="100">
        <v>45991</v>
      </c>
      <c r="Q652" s="100">
        <f t="shared" si="67"/>
        <v>46356</v>
      </c>
      <c r="R652" s="7" t="s">
        <v>2384</v>
      </c>
      <c r="S652" s="7" t="s">
        <v>4303</v>
      </c>
      <c r="T652" s="7">
        <v>8.68</v>
      </c>
      <c r="U652" s="7" t="s">
        <v>10</v>
      </c>
      <c r="V652" s="7">
        <f t="shared" si="68"/>
        <v>8.68</v>
      </c>
      <c r="W652" s="7">
        <v>12.5</v>
      </c>
      <c r="X652" s="7" t="s">
        <v>674</v>
      </c>
      <c r="Y652" s="48" t="str">
        <f t="shared" si="69"/>
        <v>APROVADO</v>
      </c>
      <c r="Z652" s="7" t="s">
        <v>46</v>
      </c>
      <c r="AA652" s="5">
        <v>11542282</v>
      </c>
      <c r="AB652" s="5" t="s">
        <v>2940</v>
      </c>
      <c r="AC652" s="7" t="s">
        <v>48</v>
      </c>
      <c r="AD652" s="5" t="s">
        <v>5530</v>
      </c>
      <c r="AE652" s="5" t="str">
        <f t="shared" ca="1" si="70"/>
        <v>NO PRAZO</v>
      </c>
      <c r="AF652" s="51"/>
    </row>
    <row r="653" spans="1:32" ht="30" customHeight="1" x14ac:dyDescent="0.25">
      <c r="A653" s="7" t="s">
        <v>1679</v>
      </c>
      <c r="B653" s="5" t="s">
        <v>10</v>
      </c>
      <c r="C653" s="5" t="s">
        <v>5863</v>
      </c>
      <c r="D653" s="7" t="s">
        <v>1640</v>
      </c>
      <c r="E653" s="7" t="s">
        <v>40</v>
      </c>
      <c r="F653" s="7" t="s">
        <v>644</v>
      </c>
      <c r="G653" s="7" t="s">
        <v>1528</v>
      </c>
      <c r="H653" s="7" t="s">
        <v>1626</v>
      </c>
      <c r="I653" s="7" t="s">
        <v>1627</v>
      </c>
      <c r="J653" s="7" t="s">
        <v>1628</v>
      </c>
      <c r="K653" s="7" t="s">
        <v>10</v>
      </c>
      <c r="L653" s="7" t="s">
        <v>45</v>
      </c>
      <c r="M653" s="7" t="s">
        <v>10</v>
      </c>
      <c r="N653" s="7" t="s">
        <v>10</v>
      </c>
      <c r="O653" s="46" t="s">
        <v>46</v>
      </c>
      <c r="P653" s="100">
        <v>45991</v>
      </c>
      <c r="Q653" s="100">
        <f t="shared" si="67"/>
        <v>46356</v>
      </c>
      <c r="R653" s="5" t="s">
        <v>2385</v>
      </c>
      <c r="S653" s="5" t="s">
        <v>4304</v>
      </c>
      <c r="T653" s="7">
        <v>10.99</v>
      </c>
      <c r="U653" s="7" t="s">
        <v>10</v>
      </c>
      <c r="V653" s="7">
        <f t="shared" si="68"/>
        <v>10.99</v>
      </c>
      <c r="W653" s="7">
        <v>12.5</v>
      </c>
      <c r="X653" s="7" t="s">
        <v>674</v>
      </c>
      <c r="Y653" s="48" t="str">
        <f t="shared" si="69"/>
        <v>APROVADO</v>
      </c>
      <c r="Z653" s="7" t="s">
        <v>46</v>
      </c>
      <c r="AA653" s="5">
        <v>11542288</v>
      </c>
      <c r="AB653" s="5" t="s">
        <v>2953</v>
      </c>
      <c r="AC653" s="7" t="s">
        <v>48</v>
      </c>
      <c r="AD653" s="5" t="s">
        <v>5530</v>
      </c>
      <c r="AE653" s="5" t="str">
        <f t="shared" ca="1" si="70"/>
        <v>NO PRAZO</v>
      </c>
      <c r="AF653" s="51"/>
    </row>
    <row r="654" spans="1:32" ht="30" customHeight="1" x14ac:dyDescent="0.25">
      <c r="A654" s="7" t="s">
        <v>1680</v>
      </c>
      <c r="B654" s="5" t="s">
        <v>10</v>
      </c>
      <c r="C654" s="5" t="s">
        <v>5863</v>
      </c>
      <c r="D654" s="7" t="s">
        <v>1640</v>
      </c>
      <c r="E654" s="7" t="s">
        <v>40</v>
      </c>
      <c r="F654" s="7" t="s">
        <v>644</v>
      </c>
      <c r="G654" s="7" t="s">
        <v>1531</v>
      </c>
      <c r="H654" s="7" t="s">
        <v>1626</v>
      </c>
      <c r="I654" s="7" t="s">
        <v>1627</v>
      </c>
      <c r="J654" s="7" t="s">
        <v>1628</v>
      </c>
      <c r="K654" s="7" t="s">
        <v>10</v>
      </c>
      <c r="L654" s="7" t="s">
        <v>45</v>
      </c>
      <c r="M654" s="7" t="s">
        <v>10</v>
      </c>
      <c r="N654" s="7" t="s">
        <v>10</v>
      </c>
      <c r="O654" s="46" t="s">
        <v>46</v>
      </c>
      <c r="P654" s="100">
        <v>45991</v>
      </c>
      <c r="Q654" s="100">
        <f t="shared" si="67"/>
        <v>46356</v>
      </c>
      <c r="R654" s="5" t="s">
        <v>2386</v>
      </c>
      <c r="S654" s="5" t="s">
        <v>4305</v>
      </c>
      <c r="T654" s="7">
        <v>6.95</v>
      </c>
      <c r="U654" s="7" t="s">
        <v>10</v>
      </c>
      <c r="V654" s="7">
        <f t="shared" si="68"/>
        <v>6.95</v>
      </c>
      <c r="W654" s="7">
        <v>12.5</v>
      </c>
      <c r="X654" s="7" t="s">
        <v>674</v>
      </c>
      <c r="Y654" s="48" t="str">
        <f t="shared" si="69"/>
        <v>APROVADO</v>
      </c>
      <c r="Z654" s="7" t="s">
        <v>46</v>
      </c>
      <c r="AA654" s="5">
        <v>11542290</v>
      </c>
      <c r="AB654" s="5" t="s">
        <v>2954</v>
      </c>
      <c r="AC654" s="7" t="s">
        <v>48</v>
      </c>
      <c r="AD654" s="5" t="s">
        <v>5530</v>
      </c>
      <c r="AE654" s="5" t="str">
        <f t="shared" ca="1" si="70"/>
        <v>NO PRAZO</v>
      </c>
      <c r="AF654" s="51"/>
    </row>
    <row r="655" spans="1:32" ht="30" customHeight="1" x14ac:dyDescent="0.25">
      <c r="A655" s="14" t="s">
        <v>2360</v>
      </c>
      <c r="B655" s="82" t="s">
        <v>10</v>
      </c>
      <c r="C655" s="5" t="s">
        <v>5863</v>
      </c>
      <c r="D655" s="7" t="s">
        <v>1640</v>
      </c>
      <c r="E655" s="82" t="s">
        <v>68</v>
      </c>
      <c r="F655" s="82" t="s">
        <v>69</v>
      </c>
      <c r="G655" s="82" t="s">
        <v>3033</v>
      </c>
      <c r="H655" s="82" t="s">
        <v>1681</v>
      </c>
      <c r="I655" s="82" t="s">
        <v>5687</v>
      </c>
      <c r="J655" s="82" t="s">
        <v>5688</v>
      </c>
      <c r="K655" s="82" t="s">
        <v>10</v>
      </c>
      <c r="L655" s="83" t="s">
        <v>45</v>
      </c>
      <c r="M655" s="82" t="s">
        <v>10</v>
      </c>
      <c r="N655" s="82" t="s">
        <v>10</v>
      </c>
      <c r="O655" s="84" t="s">
        <v>46</v>
      </c>
      <c r="P655" s="101">
        <v>46169</v>
      </c>
      <c r="Q655" s="100">
        <f t="shared" si="67"/>
        <v>46534</v>
      </c>
      <c r="R655" s="63" t="s">
        <v>2387</v>
      </c>
      <c r="S655" s="63" t="s">
        <v>5592</v>
      </c>
      <c r="T655" s="7">
        <v>1.4</v>
      </c>
      <c r="U655" s="7" t="s">
        <v>10</v>
      </c>
      <c r="V655" s="7">
        <f t="shared" si="68"/>
        <v>1.4</v>
      </c>
      <c r="W655" s="5">
        <v>12.5</v>
      </c>
      <c r="X655" s="5" t="s">
        <v>674</v>
      </c>
      <c r="Y655" s="48" t="str">
        <f t="shared" si="69"/>
        <v>APROVADO</v>
      </c>
      <c r="Z655" s="7" t="s">
        <v>56</v>
      </c>
      <c r="AA655" s="5">
        <v>11606641</v>
      </c>
      <c r="AB655" s="5" t="s">
        <v>4091</v>
      </c>
      <c r="AC655" s="5" t="s">
        <v>48</v>
      </c>
      <c r="AD655" s="5" t="s">
        <v>5530</v>
      </c>
      <c r="AE655" s="5" t="str">
        <f t="shared" ca="1" si="70"/>
        <v>NO PRAZO</v>
      </c>
      <c r="AF655" s="51"/>
    </row>
    <row r="656" spans="1:32" ht="30" customHeight="1" x14ac:dyDescent="0.25">
      <c r="A656" s="14" t="s">
        <v>2361</v>
      </c>
      <c r="B656" s="82" t="s">
        <v>10</v>
      </c>
      <c r="C656" s="5" t="s">
        <v>5863</v>
      </c>
      <c r="D656" s="7" t="s">
        <v>1640</v>
      </c>
      <c r="E656" s="82" t="s">
        <v>68</v>
      </c>
      <c r="F656" s="82" t="s">
        <v>69</v>
      </c>
      <c r="G656" s="82" t="s">
        <v>3033</v>
      </c>
      <c r="H656" s="82" t="s">
        <v>1682</v>
      </c>
      <c r="I656" s="82" t="s">
        <v>5687</v>
      </c>
      <c r="J656" s="82" t="s">
        <v>5688</v>
      </c>
      <c r="K656" s="82" t="s">
        <v>10</v>
      </c>
      <c r="L656" s="83" t="s">
        <v>45</v>
      </c>
      <c r="M656" s="82" t="s">
        <v>10</v>
      </c>
      <c r="N656" s="82" t="s">
        <v>10</v>
      </c>
      <c r="O656" s="84" t="s">
        <v>46</v>
      </c>
      <c r="P656" s="101">
        <v>46169</v>
      </c>
      <c r="Q656" s="100">
        <f t="shared" ref="Q656:Q669" si="71">IF(P656="","",P656+365)</f>
        <v>46534</v>
      </c>
      <c r="R656" s="63" t="s">
        <v>2388</v>
      </c>
      <c r="S656" s="63" t="s">
        <v>5593</v>
      </c>
      <c r="T656" s="7">
        <v>1.4</v>
      </c>
      <c r="U656" s="7" t="s">
        <v>10</v>
      </c>
      <c r="V656" s="7">
        <f t="shared" ref="V656:V672" si="72">IFERROR(IF(U656&gt;0,T656*100/U656,T656),T656)</f>
        <v>1.4</v>
      </c>
      <c r="W656" s="5">
        <v>12.5</v>
      </c>
      <c r="X656" s="5" t="s">
        <v>674</v>
      </c>
      <c r="Y656" s="48" t="str">
        <f t="shared" ref="Y656:Y672" si="73">IFERROR(IF(W656="-",$AL$6,CHOOSE(IF(T656="",1,2),$AL$7,IF(V656&gt;W656,$AL$5,$AL$4))),"-")</f>
        <v>APROVADO</v>
      </c>
      <c r="Z656" s="7" t="s">
        <v>56</v>
      </c>
      <c r="AA656" s="5">
        <v>11606642</v>
      </c>
      <c r="AB656" s="5" t="s">
        <v>4092</v>
      </c>
      <c r="AC656" s="5" t="s">
        <v>48</v>
      </c>
      <c r="AD656" s="5" t="s">
        <v>5530</v>
      </c>
      <c r="AE656" s="5" t="str">
        <f t="shared" ca="1" si="70"/>
        <v>NO PRAZO</v>
      </c>
      <c r="AF656" s="51"/>
    </row>
    <row r="657" spans="1:33" ht="30" customHeight="1" x14ac:dyDescent="0.25">
      <c r="A657" s="5" t="s">
        <v>2336</v>
      </c>
      <c r="B657" s="5" t="s">
        <v>10</v>
      </c>
      <c r="C657" s="5" t="s">
        <v>5863</v>
      </c>
      <c r="D657" s="7" t="s">
        <v>2337</v>
      </c>
      <c r="E657" s="7" t="s">
        <v>68</v>
      </c>
      <c r="F657" s="7" t="s">
        <v>86</v>
      </c>
      <c r="G657" s="7" t="s">
        <v>342</v>
      </c>
      <c r="H657" s="7" t="s">
        <v>1422</v>
      </c>
      <c r="I657" s="7" t="s">
        <v>5679</v>
      </c>
      <c r="J657" s="7" t="s">
        <v>2338</v>
      </c>
      <c r="K657" s="5" t="s">
        <v>10</v>
      </c>
      <c r="L657" s="5" t="s">
        <v>45</v>
      </c>
      <c r="M657" s="5" t="s">
        <v>10</v>
      </c>
      <c r="N657" s="5" t="s">
        <v>10</v>
      </c>
      <c r="O657" s="46" t="s">
        <v>46</v>
      </c>
      <c r="P657" s="101">
        <v>46156</v>
      </c>
      <c r="Q657" s="100">
        <f t="shared" si="71"/>
        <v>46521</v>
      </c>
      <c r="R657" s="7" t="s">
        <v>2417</v>
      </c>
      <c r="S657" s="7" t="s">
        <v>5468</v>
      </c>
      <c r="T657" s="7">
        <v>0.1</v>
      </c>
      <c r="U657" s="7" t="s">
        <v>10</v>
      </c>
      <c r="V657" s="7">
        <f t="shared" si="72"/>
        <v>0.1</v>
      </c>
      <c r="W657" s="7">
        <v>12.5</v>
      </c>
      <c r="X657" s="7" t="s">
        <v>674</v>
      </c>
      <c r="Y657" s="48" t="str">
        <f t="shared" si="73"/>
        <v>APROVADO</v>
      </c>
      <c r="Z657" s="7" t="s">
        <v>46</v>
      </c>
      <c r="AA657" s="5">
        <v>11606711</v>
      </c>
      <c r="AB657" s="5" t="s">
        <v>4183</v>
      </c>
      <c r="AC657" s="5" t="s">
        <v>48</v>
      </c>
      <c r="AD657" s="5" t="s">
        <v>5530</v>
      </c>
      <c r="AE657" s="5" t="str">
        <f t="shared" ca="1" si="70"/>
        <v>NO PRAZO</v>
      </c>
      <c r="AF657" s="49"/>
    </row>
    <row r="658" spans="1:33" ht="30" customHeight="1" x14ac:dyDescent="0.25">
      <c r="A658" s="5" t="s">
        <v>2339</v>
      </c>
      <c r="B658" s="5" t="s">
        <v>10</v>
      </c>
      <c r="C658" s="5" t="s">
        <v>5863</v>
      </c>
      <c r="D658" s="7" t="s">
        <v>2337</v>
      </c>
      <c r="E658" s="7" t="s">
        <v>68</v>
      </c>
      <c r="F658" s="7" t="s">
        <v>86</v>
      </c>
      <c r="G658" s="7" t="s">
        <v>342</v>
      </c>
      <c r="H658" s="7" t="s">
        <v>1423</v>
      </c>
      <c r="I658" s="7" t="s">
        <v>5679</v>
      </c>
      <c r="J658" s="7" t="s">
        <v>2338</v>
      </c>
      <c r="K658" s="5" t="s">
        <v>10</v>
      </c>
      <c r="L658" s="5" t="s">
        <v>45</v>
      </c>
      <c r="M658" s="5" t="s">
        <v>10</v>
      </c>
      <c r="N658" s="5" t="s">
        <v>10</v>
      </c>
      <c r="O658" s="46" t="s">
        <v>46</v>
      </c>
      <c r="P658" s="101">
        <v>46156</v>
      </c>
      <c r="Q658" s="100">
        <f t="shared" si="71"/>
        <v>46521</v>
      </c>
      <c r="R658" s="7" t="s">
        <v>2340</v>
      </c>
      <c r="S658" s="7" t="s">
        <v>5469</v>
      </c>
      <c r="T658" s="7">
        <v>1.1000000000000001</v>
      </c>
      <c r="U658" s="7" t="s">
        <v>10</v>
      </c>
      <c r="V658" s="7">
        <f t="shared" si="72"/>
        <v>1.1000000000000001</v>
      </c>
      <c r="W658" s="7">
        <v>12.5</v>
      </c>
      <c r="X658" s="7" t="s">
        <v>674</v>
      </c>
      <c r="Y658" s="48" t="str">
        <f t="shared" si="73"/>
        <v>APROVADO</v>
      </c>
      <c r="Z658" s="7" t="s">
        <v>46</v>
      </c>
      <c r="AA658" s="5">
        <v>11606712</v>
      </c>
      <c r="AB658" s="5" t="s">
        <v>4184</v>
      </c>
      <c r="AC658" s="5" t="s">
        <v>48</v>
      </c>
      <c r="AD658" s="5" t="s">
        <v>5530</v>
      </c>
      <c r="AE658" s="5" t="str">
        <f t="shared" ca="1" si="70"/>
        <v>NO PRAZO</v>
      </c>
      <c r="AF658" s="49"/>
    </row>
    <row r="659" spans="1:33" ht="30" customHeight="1" x14ac:dyDescent="0.25">
      <c r="A659" s="13" t="s">
        <v>4782</v>
      </c>
      <c r="B659" s="13" t="s">
        <v>10</v>
      </c>
      <c r="C659" s="5" t="s">
        <v>5863</v>
      </c>
      <c r="D659" s="12" t="s">
        <v>4783</v>
      </c>
      <c r="E659" s="12" t="s">
        <v>640</v>
      </c>
      <c r="F659" s="7" t="s">
        <v>86</v>
      </c>
      <c r="G659" s="12" t="s">
        <v>10</v>
      </c>
      <c r="H659" s="12" t="s">
        <v>10</v>
      </c>
      <c r="I659" s="12" t="s">
        <v>4784</v>
      </c>
      <c r="J659" s="12" t="s">
        <v>10</v>
      </c>
      <c r="K659" s="13" t="s">
        <v>10</v>
      </c>
      <c r="L659" s="13" t="s">
        <v>10</v>
      </c>
      <c r="M659" s="13" t="s">
        <v>10</v>
      </c>
      <c r="N659" s="5" t="s">
        <v>45</v>
      </c>
      <c r="O659" s="13" t="s">
        <v>56</v>
      </c>
      <c r="P659" s="101">
        <v>46189</v>
      </c>
      <c r="Q659" s="100">
        <f t="shared" si="71"/>
        <v>46554</v>
      </c>
      <c r="R659" s="7" t="s">
        <v>273</v>
      </c>
      <c r="S659" s="7" t="s">
        <v>4785</v>
      </c>
      <c r="T659" s="7">
        <v>0.54700000000000004</v>
      </c>
      <c r="U659" s="7" t="s">
        <v>10</v>
      </c>
      <c r="V659" s="7">
        <f t="shared" si="72"/>
        <v>0.54700000000000004</v>
      </c>
      <c r="W659" s="7">
        <v>13</v>
      </c>
      <c r="X659" s="7" t="s">
        <v>55</v>
      </c>
      <c r="Y659" s="48" t="str">
        <f t="shared" si="73"/>
        <v>APROVADO</v>
      </c>
      <c r="Z659" s="7" t="s">
        <v>46</v>
      </c>
      <c r="AA659" s="5" t="s">
        <v>4675</v>
      </c>
      <c r="AB659" s="5" t="s">
        <v>4675</v>
      </c>
      <c r="AC659" s="5" t="s">
        <v>48</v>
      </c>
      <c r="AD659" s="5" t="s">
        <v>5530</v>
      </c>
      <c r="AE659" s="5" t="str">
        <f t="shared" ca="1" si="70"/>
        <v>NO PRAZO</v>
      </c>
      <c r="AF659" s="51"/>
    </row>
    <row r="660" spans="1:33" ht="30" customHeight="1" x14ac:dyDescent="0.25">
      <c r="A660" s="13" t="s">
        <v>5649</v>
      </c>
      <c r="B660" s="13" t="s">
        <v>10</v>
      </c>
      <c r="C660" s="5" t="s">
        <v>5864</v>
      </c>
      <c r="D660" s="12" t="s">
        <v>5650</v>
      </c>
      <c r="E660" s="12" t="s">
        <v>256</v>
      </c>
      <c r="F660" s="7" t="s">
        <v>317</v>
      </c>
      <c r="G660" s="12" t="s">
        <v>10</v>
      </c>
      <c r="H660" s="12" t="s">
        <v>10</v>
      </c>
      <c r="I660" s="12" t="s">
        <v>5651</v>
      </c>
      <c r="J660" s="12" t="s">
        <v>5671</v>
      </c>
      <c r="K660" s="13" t="s">
        <v>10</v>
      </c>
      <c r="L660" s="13" t="s">
        <v>10</v>
      </c>
      <c r="M660" s="13" t="s">
        <v>10</v>
      </c>
      <c r="N660" s="5" t="s">
        <v>45</v>
      </c>
      <c r="O660" s="13" t="s">
        <v>56</v>
      </c>
      <c r="P660" s="101">
        <v>46189</v>
      </c>
      <c r="Q660" s="100">
        <f t="shared" si="71"/>
        <v>46554</v>
      </c>
      <c r="R660" s="7" t="s">
        <v>273</v>
      </c>
      <c r="S660" s="7" t="s">
        <v>5661</v>
      </c>
      <c r="T660" s="7">
        <v>0.4</v>
      </c>
      <c r="U660" s="7" t="s">
        <v>10</v>
      </c>
      <c r="V660" s="7">
        <f t="shared" si="72"/>
        <v>0.4</v>
      </c>
      <c r="W660" s="7">
        <v>0.5</v>
      </c>
      <c r="X660" s="7" t="s">
        <v>55</v>
      </c>
      <c r="Y660" s="48" t="str">
        <f t="shared" si="73"/>
        <v>APROVADO</v>
      </c>
      <c r="Z660" s="7" t="s">
        <v>46</v>
      </c>
      <c r="AA660" s="5" t="s">
        <v>4675</v>
      </c>
      <c r="AB660" s="5" t="s">
        <v>4675</v>
      </c>
      <c r="AC660" s="5" t="s">
        <v>48</v>
      </c>
      <c r="AD660" s="5" t="s">
        <v>5632</v>
      </c>
      <c r="AE660" s="5" t="str">
        <f t="shared" ca="1" si="70"/>
        <v>NO PRAZO</v>
      </c>
      <c r="AF660" s="51"/>
    </row>
    <row r="661" spans="1:33" ht="30" customHeight="1" x14ac:dyDescent="0.25">
      <c r="A661" s="13" t="s">
        <v>5652</v>
      </c>
      <c r="B661" s="13" t="s">
        <v>10</v>
      </c>
      <c r="C661" s="5" t="s">
        <v>5864</v>
      </c>
      <c r="D661" s="12" t="s">
        <v>5650</v>
      </c>
      <c r="E661" s="12" t="s">
        <v>256</v>
      </c>
      <c r="F661" s="7" t="s">
        <v>257</v>
      </c>
      <c r="G661" s="12" t="s">
        <v>10</v>
      </c>
      <c r="H661" s="12" t="s">
        <v>10</v>
      </c>
      <c r="I661" s="12" t="s">
        <v>5651</v>
      </c>
      <c r="J661" s="12" t="s">
        <v>5671</v>
      </c>
      <c r="K661" s="13" t="s">
        <v>10</v>
      </c>
      <c r="L661" s="13" t="s">
        <v>10</v>
      </c>
      <c r="M661" s="13" t="s">
        <v>10</v>
      </c>
      <c r="N661" s="5" t="s">
        <v>45</v>
      </c>
      <c r="O661" s="13" t="s">
        <v>56</v>
      </c>
      <c r="P661" s="101">
        <v>46189</v>
      </c>
      <c r="Q661" s="100">
        <f t="shared" si="71"/>
        <v>46554</v>
      </c>
      <c r="R661" s="7" t="s">
        <v>273</v>
      </c>
      <c r="S661" s="7" t="s">
        <v>5662</v>
      </c>
      <c r="T661" s="7">
        <v>0.22</v>
      </c>
      <c r="U661" s="7" t="s">
        <v>10</v>
      </c>
      <c r="V661" s="7">
        <f t="shared" si="72"/>
        <v>0.22</v>
      </c>
      <c r="W661" s="7">
        <v>0.5</v>
      </c>
      <c r="X661" s="7" t="s">
        <v>55</v>
      </c>
      <c r="Y661" s="48" t="str">
        <f t="shared" si="73"/>
        <v>APROVADO</v>
      </c>
      <c r="Z661" s="7" t="s">
        <v>46</v>
      </c>
      <c r="AA661" s="5" t="s">
        <v>4675</v>
      </c>
      <c r="AB661" s="5" t="s">
        <v>4675</v>
      </c>
      <c r="AC661" s="5" t="s">
        <v>48</v>
      </c>
      <c r="AD661" s="5" t="s">
        <v>5632</v>
      </c>
      <c r="AE661" s="5" t="str">
        <f t="shared" ca="1" si="70"/>
        <v>NO PRAZO</v>
      </c>
      <c r="AF661" s="51"/>
    </row>
    <row r="662" spans="1:33" ht="30" customHeight="1" x14ac:dyDescent="0.25">
      <c r="A662" s="13" t="s">
        <v>5653</v>
      </c>
      <c r="B662" s="13" t="s">
        <v>10</v>
      </c>
      <c r="C662" s="5" t="s">
        <v>5864</v>
      </c>
      <c r="D662" s="12" t="s">
        <v>5650</v>
      </c>
      <c r="E662" s="12" t="s">
        <v>256</v>
      </c>
      <c r="F662" s="7" t="s">
        <v>312</v>
      </c>
      <c r="G662" s="12" t="s">
        <v>10</v>
      </c>
      <c r="H662" s="12" t="s">
        <v>10</v>
      </c>
      <c r="I662" s="12" t="s">
        <v>5651</v>
      </c>
      <c r="J662" s="12" t="s">
        <v>5671</v>
      </c>
      <c r="K662" s="13" t="s">
        <v>10</v>
      </c>
      <c r="L662" s="13" t="s">
        <v>10</v>
      </c>
      <c r="M662" s="13" t="s">
        <v>10</v>
      </c>
      <c r="N662" s="5" t="s">
        <v>45</v>
      </c>
      <c r="O662" s="13" t="s">
        <v>56</v>
      </c>
      <c r="P662" s="101">
        <v>46189</v>
      </c>
      <c r="Q662" s="100">
        <f t="shared" si="71"/>
        <v>46554</v>
      </c>
      <c r="R662" s="7" t="s">
        <v>273</v>
      </c>
      <c r="S662" s="7" t="s">
        <v>5663</v>
      </c>
      <c r="T662" s="7">
        <v>0.33</v>
      </c>
      <c r="U662" s="7" t="s">
        <v>10</v>
      </c>
      <c r="V662" s="7">
        <f t="shared" si="72"/>
        <v>0.33</v>
      </c>
      <c r="W662" s="7">
        <v>0.5</v>
      </c>
      <c r="X662" s="7" t="s">
        <v>55</v>
      </c>
      <c r="Y662" s="48" t="str">
        <f t="shared" si="73"/>
        <v>APROVADO</v>
      </c>
      <c r="Z662" s="7" t="s">
        <v>46</v>
      </c>
      <c r="AA662" s="5" t="s">
        <v>4675</v>
      </c>
      <c r="AB662" s="5" t="s">
        <v>4675</v>
      </c>
      <c r="AC662" s="5" t="s">
        <v>48</v>
      </c>
      <c r="AD662" s="5" t="s">
        <v>5632</v>
      </c>
      <c r="AE662" s="5" t="str">
        <f t="shared" ca="1" si="70"/>
        <v>NO PRAZO</v>
      </c>
      <c r="AF662" s="51"/>
    </row>
    <row r="663" spans="1:33" ht="30" customHeight="1" x14ac:dyDescent="0.25">
      <c r="A663" s="13" t="s">
        <v>5654</v>
      </c>
      <c r="B663" s="13" t="s">
        <v>10</v>
      </c>
      <c r="C663" s="5" t="s">
        <v>5864</v>
      </c>
      <c r="D663" s="12" t="s">
        <v>5650</v>
      </c>
      <c r="E663" s="12" t="s">
        <v>256</v>
      </c>
      <c r="F663" s="7" t="s">
        <v>447</v>
      </c>
      <c r="G663" s="12" t="s">
        <v>10</v>
      </c>
      <c r="H663" s="12" t="s">
        <v>10</v>
      </c>
      <c r="I663" s="12" t="s">
        <v>5651</v>
      </c>
      <c r="J663" s="12" t="s">
        <v>5671</v>
      </c>
      <c r="K663" s="13" t="s">
        <v>10</v>
      </c>
      <c r="L663" s="13" t="s">
        <v>10</v>
      </c>
      <c r="M663" s="13" t="s">
        <v>10</v>
      </c>
      <c r="N663" s="5" t="s">
        <v>45</v>
      </c>
      <c r="O663" s="13" t="s">
        <v>56</v>
      </c>
      <c r="P663" s="101">
        <v>46189</v>
      </c>
      <c r="Q663" s="100">
        <f t="shared" si="71"/>
        <v>46554</v>
      </c>
      <c r="R663" s="7" t="s">
        <v>273</v>
      </c>
      <c r="S663" s="7" t="s">
        <v>5664</v>
      </c>
      <c r="T663" s="7">
        <v>0.43</v>
      </c>
      <c r="U663" s="7" t="s">
        <v>10</v>
      </c>
      <c r="V663" s="7">
        <f t="shared" si="72"/>
        <v>0.43</v>
      </c>
      <c r="W663" s="7">
        <v>0.5</v>
      </c>
      <c r="X663" s="7" t="s">
        <v>55</v>
      </c>
      <c r="Y663" s="48" t="str">
        <f t="shared" si="73"/>
        <v>APROVADO</v>
      </c>
      <c r="Z663" s="7" t="s">
        <v>46</v>
      </c>
      <c r="AA663" s="5" t="s">
        <v>4675</v>
      </c>
      <c r="AB663" s="5" t="s">
        <v>4675</v>
      </c>
      <c r="AC663" s="5" t="s">
        <v>48</v>
      </c>
      <c r="AD663" s="5" t="s">
        <v>5632</v>
      </c>
      <c r="AE663" s="5" t="str">
        <f t="shared" ca="1" si="70"/>
        <v>NO PRAZO</v>
      </c>
      <c r="AF663" s="51"/>
    </row>
    <row r="664" spans="1:33" ht="30" customHeight="1" x14ac:dyDescent="0.25">
      <c r="A664" s="13" t="s">
        <v>5655</v>
      </c>
      <c r="B664" s="13" t="s">
        <v>10</v>
      </c>
      <c r="C664" s="5" t="s">
        <v>5864</v>
      </c>
      <c r="D664" s="12" t="s">
        <v>5650</v>
      </c>
      <c r="E664" s="12" t="s">
        <v>256</v>
      </c>
      <c r="F664" s="7" t="s">
        <v>444</v>
      </c>
      <c r="G664" s="12" t="s">
        <v>10</v>
      </c>
      <c r="H664" s="12" t="s">
        <v>10</v>
      </c>
      <c r="I664" s="12" t="s">
        <v>5651</v>
      </c>
      <c r="J664" s="12" t="s">
        <v>5671</v>
      </c>
      <c r="K664" s="13" t="s">
        <v>10</v>
      </c>
      <c r="L664" s="13" t="s">
        <v>10</v>
      </c>
      <c r="M664" s="13" t="s">
        <v>10</v>
      </c>
      <c r="N664" s="5" t="s">
        <v>45</v>
      </c>
      <c r="O664" s="13" t="s">
        <v>56</v>
      </c>
      <c r="P664" s="101">
        <v>46189</v>
      </c>
      <c r="Q664" s="100">
        <f t="shared" si="71"/>
        <v>46554</v>
      </c>
      <c r="R664" s="7" t="s">
        <v>273</v>
      </c>
      <c r="S664" s="7" t="s">
        <v>5665</v>
      </c>
      <c r="T664" s="7">
        <v>0.32</v>
      </c>
      <c r="U664" s="7" t="s">
        <v>10</v>
      </c>
      <c r="V664" s="7">
        <f t="shared" si="72"/>
        <v>0.32</v>
      </c>
      <c r="W664" s="7">
        <v>0.5</v>
      </c>
      <c r="X664" s="7" t="s">
        <v>55</v>
      </c>
      <c r="Y664" s="48" t="str">
        <f t="shared" si="73"/>
        <v>APROVADO</v>
      </c>
      <c r="Z664" s="7" t="s">
        <v>46</v>
      </c>
      <c r="AA664" s="5" t="s">
        <v>4675</v>
      </c>
      <c r="AB664" s="5" t="s">
        <v>4675</v>
      </c>
      <c r="AC664" s="5" t="s">
        <v>48</v>
      </c>
      <c r="AD664" s="5" t="s">
        <v>5632</v>
      </c>
      <c r="AE664" s="5" t="str">
        <f t="shared" ca="1" si="70"/>
        <v>NO PRAZO</v>
      </c>
      <c r="AF664" s="51"/>
    </row>
    <row r="665" spans="1:33" ht="30" customHeight="1" x14ac:dyDescent="0.25">
      <c r="A665" s="13" t="s">
        <v>5656</v>
      </c>
      <c r="B665" s="13" t="s">
        <v>10</v>
      </c>
      <c r="C665" s="5" t="s">
        <v>5864</v>
      </c>
      <c r="D665" s="12" t="s">
        <v>5650</v>
      </c>
      <c r="E665" s="12" t="s">
        <v>256</v>
      </c>
      <c r="F665" s="7" t="s">
        <v>649</v>
      </c>
      <c r="G665" s="12" t="s">
        <v>10</v>
      </c>
      <c r="H665" s="12" t="s">
        <v>10</v>
      </c>
      <c r="I665" s="12" t="s">
        <v>5651</v>
      </c>
      <c r="J665" s="12" t="s">
        <v>5671</v>
      </c>
      <c r="K665" s="13" t="s">
        <v>10</v>
      </c>
      <c r="L665" s="13" t="s">
        <v>10</v>
      </c>
      <c r="M665" s="13" t="s">
        <v>10</v>
      </c>
      <c r="N665" s="5" t="s">
        <v>45</v>
      </c>
      <c r="O665" s="13" t="s">
        <v>56</v>
      </c>
      <c r="P665" s="101">
        <v>46189</v>
      </c>
      <c r="Q665" s="100">
        <f t="shared" si="71"/>
        <v>46554</v>
      </c>
      <c r="R665" s="7" t="s">
        <v>273</v>
      </c>
      <c r="S665" s="7" t="s">
        <v>5666</v>
      </c>
      <c r="T665" s="7">
        <v>0.43</v>
      </c>
      <c r="U665" s="7" t="s">
        <v>10</v>
      </c>
      <c r="V665" s="7">
        <f t="shared" si="72"/>
        <v>0.43</v>
      </c>
      <c r="W665" s="7">
        <v>0.5</v>
      </c>
      <c r="X665" s="7" t="s">
        <v>55</v>
      </c>
      <c r="Y665" s="48" t="str">
        <f t="shared" si="73"/>
        <v>APROVADO</v>
      </c>
      <c r="Z665" s="7" t="s">
        <v>46</v>
      </c>
      <c r="AA665" s="5" t="s">
        <v>4675</v>
      </c>
      <c r="AB665" s="5" t="s">
        <v>4675</v>
      </c>
      <c r="AC665" s="5" t="s">
        <v>48</v>
      </c>
      <c r="AD665" s="5" t="s">
        <v>5632</v>
      </c>
      <c r="AE665" s="5" t="str">
        <f t="shared" ca="1" si="70"/>
        <v>NO PRAZO</v>
      </c>
      <c r="AF665" s="51"/>
    </row>
    <row r="666" spans="1:33" ht="30" customHeight="1" x14ac:dyDescent="0.25">
      <c r="A666" s="13" t="s">
        <v>5657</v>
      </c>
      <c r="B666" s="13" t="s">
        <v>10</v>
      </c>
      <c r="C666" s="5" t="s">
        <v>5864</v>
      </c>
      <c r="D666" s="12" t="s">
        <v>5650</v>
      </c>
      <c r="E666" s="12" t="s">
        <v>256</v>
      </c>
      <c r="F666" s="7" t="s">
        <v>652</v>
      </c>
      <c r="G666" s="12" t="s">
        <v>10</v>
      </c>
      <c r="H666" s="12" t="s">
        <v>10</v>
      </c>
      <c r="I666" s="12" t="s">
        <v>5651</v>
      </c>
      <c r="J666" s="12" t="s">
        <v>5671</v>
      </c>
      <c r="K666" s="13" t="s">
        <v>10</v>
      </c>
      <c r="L666" s="13" t="s">
        <v>10</v>
      </c>
      <c r="M666" s="13" t="s">
        <v>10</v>
      </c>
      <c r="N666" s="5" t="s">
        <v>45</v>
      </c>
      <c r="O666" s="13" t="s">
        <v>56</v>
      </c>
      <c r="P666" s="101">
        <v>46189</v>
      </c>
      <c r="Q666" s="100">
        <f t="shared" si="71"/>
        <v>46554</v>
      </c>
      <c r="R666" s="7" t="s">
        <v>273</v>
      </c>
      <c r="S666" s="7" t="s">
        <v>5667</v>
      </c>
      <c r="T666" s="7">
        <v>0.25</v>
      </c>
      <c r="U666" s="7" t="s">
        <v>10</v>
      </c>
      <c r="V666" s="7">
        <f t="shared" si="72"/>
        <v>0.25</v>
      </c>
      <c r="W666" s="7">
        <v>0.5</v>
      </c>
      <c r="X666" s="7" t="s">
        <v>55</v>
      </c>
      <c r="Y666" s="48" t="str">
        <f t="shared" si="73"/>
        <v>APROVADO</v>
      </c>
      <c r="Z666" s="7" t="s">
        <v>46</v>
      </c>
      <c r="AA666" s="5" t="s">
        <v>4675</v>
      </c>
      <c r="AB666" s="5" t="s">
        <v>4675</v>
      </c>
      <c r="AC666" s="5" t="s">
        <v>48</v>
      </c>
      <c r="AD666" s="5" t="s">
        <v>5632</v>
      </c>
      <c r="AE666" s="5" t="str">
        <f t="shared" ca="1" si="70"/>
        <v>NO PRAZO</v>
      </c>
      <c r="AF666" s="51"/>
    </row>
    <row r="667" spans="1:33" ht="30" customHeight="1" x14ac:dyDescent="0.25">
      <c r="A667" s="13" t="s">
        <v>5658</v>
      </c>
      <c r="B667" s="13" t="s">
        <v>10</v>
      </c>
      <c r="C667" s="5" t="s">
        <v>5864</v>
      </c>
      <c r="D667" s="12" t="s">
        <v>5650</v>
      </c>
      <c r="E667" s="12" t="s">
        <v>256</v>
      </c>
      <c r="F667" s="7" t="s">
        <v>263</v>
      </c>
      <c r="G667" s="12" t="s">
        <v>10</v>
      </c>
      <c r="H667" s="12" t="s">
        <v>10</v>
      </c>
      <c r="I667" s="12" t="s">
        <v>5651</v>
      </c>
      <c r="J667" s="12" t="s">
        <v>5671</v>
      </c>
      <c r="K667" s="13" t="s">
        <v>10</v>
      </c>
      <c r="L667" s="13" t="s">
        <v>10</v>
      </c>
      <c r="M667" s="13" t="s">
        <v>10</v>
      </c>
      <c r="N667" s="5" t="s">
        <v>45</v>
      </c>
      <c r="O667" s="13" t="s">
        <v>56</v>
      </c>
      <c r="P667" s="101">
        <v>46189</v>
      </c>
      <c r="Q667" s="100">
        <f t="shared" si="71"/>
        <v>46554</v>
      </c>
      <c r="R667" s="7" t="s">
        <v>273</v>
      </c>
      <c r="S667" s="7" t="s">
        <v>5668</v>
      </c>
      <c r="T667" s="7">
        <v>0.33</v>
      </c>
      <c r="U667" s="7" t="s">
        <v>10</v>
      </c>
      <c r="V667" s="7">
        <f t="shared" si="72"/>
        <v>0.33</v>
      </c>
      <c r="W667" s="7">
        <v>0.5</v>
      </c>
      <c r="X667" s="7" t="s">
        <v>55</v>
      </c>
      <c r="Y667" s="48" t="str">
        <f t="shared" si="73"/>
        <v>APROVADO</v>
      </c>
      <c r="Z667" s="7" t="s">
        <v>46</v>
      </c>
      <c r="AA667" s="5" t="s">
        <v>4675</v>
      </c>
      <c r="AB667" s="5" t="s">
        <v>4675</v>
      </c>
      <c r="AC667" s="5" t="s">
        <v>48</v>
      </c>
      <c r="AD667" s="5" t="s">
        <v>5632</v>
      </c>
      <c r="AE667" s="5" t="str">
        <f t="shared" ca="1" si="70"/>
        <v>NO PRAZO</v>
      </c>
      <c r="AF667" s="51"/>
    </row>
    <row r="668" spans="1:33" ht="30" customHeight="1" x14ac:dyDescent="0.25">
      <c r="A668" s="13" t="s">
        <v>5659</v>
      </c>
      <c r="B668" s="13" t="s">
        <v>10</v>
      </c>
      <c r="C668" s="5" t="s">
        <v>5864</v>
      </c>
      <c r="D668" s="12" t="s">
        <v>5650</v>
      </c>
      <c r="E668" s="12" t="s">
        <v>256</v>
      </c>
      <c r="F668" s="7" t="s">
        <v>646</v>
      </c>
      <c r="G668" s="12" t="s">
        <v>10</v>
      </c>
      <c r="H668" s="12" t="s">
        <v>10</v>
      </c>
      <c r="I668" s="12" t="s">
        <v>5651</v>
      </c>
      <c r="J668" s="12" t="s">
        <v>5671</v>
      </c>
      <c r="K668" s="13" t="s">
        <v>10</v>
      </c>
      <c r="L668" s="13" t="s">
        <v>10</v>
      </c>
      <c r="M668" s="13" t="s">
        <v>10</v>
      </c>
      <c r="N668" s="5" t="s">
        <v>45</v>
      </c>
      <c r="O668" s="13" t="s">
        <v>56</v>
      </c>
      <c r="P668" s="101">
        <v>46189</v>
      </c>
      <c r="Q668" s="100">
        <f t="shared" si="71"/>
        <v>46554</v>
      </c>
      <c r="R668" s="7" t="s">
        <v>273</v>
      </c>
      <c r="S668" s="7" t="s">
        <v>5669</v>
      </c>
      <c r="T668" s="7">
        <v>0.35</v>
      </c>
      <c r="U668" s="7" t="s">
        <v>10</v>
      </c>
      <c r="V668" s="7">
        <f t="shared" si="72"/>
        <v>0.35</v>
      </c>
      <c r="W668" s="7">
        <v>0.5</v>
      </c>
      <c r="X668" s="7" t="s">
        <v>55</v>
      </c>
      <c r="Y668" s="48" t="str">
        <f t="shared" si="73"/>
        <v>APROVADO</v>
      </c>
      <c r="Z668" s="7" t="s">
        <v>46</v>
      </c>
      <c r="AA668" s="5" t="s">
        <v>4675</v>
      </c>
      <c r="AB668" s="5" t="s">
        <v>4675</v>
      </c>
      <c r="AC668" s="5" t="s">
        <v>48</v>
      </c>
      <c r="AD668" s="5" t="s">
        <v>5632</v>
      </c>
      <c r="AE668" s="5" t="str">
        <f t="shared" ca="1" si="70"/>
        <v>NO PRAZO</v>
      </c>
      <c r="AF668" s="51"/>
    </row>
    <row r="669" spans="1:33" ht="30" customHeight="1" x14ac:dyDescent="0.25">
      <c r="A669" s="13" t="s">
        <v>5660</v>
      </c>
      <c r="B669" s="13" t="s">
        <v>10</v>
      </c>
      <c r="C669" s="5" t="s">
        <v>5864</v>
      </c>
      <c r="D669" s="12" t="s">
        <v>5650</v>
      </c>
      <c r="E669" s="12" t="s">
        <v>256</v>
      </c>
      <c r="F669" s="7" t="s">
        <v>257</v>
      </c>
      <c r="G669" s="12" t="s">
        <v>10</v>
      </c>
      <c r="H669" s="12" t="s">
        <v>10</v>
      </c>
      <c r="I669" s="12" t="s">
        <v>5651</v>
      </c>
      <c r="J669" s="12" t="s">
        <v>5671</v>
      </c>
      <c r="K669" s="13" t="s">
        <v>10</v>
      </c>
      <c r="L669" s="13" t="s">
        <v>10</v>
      </c>
      <c r="M669" s="13" t="s">
        <v>10</v>
      </c>
      <c r="N669" s="5" t="s">
        <v>45</v>
      </c>
      <c r="O669" s="13" t="s">
        <v>56</v>
      </c>
      <c r="P669" s="101">
        <v>46189</v>
      </c>
      <c r="Q669" s="100">
        <f t="shared" si="71"/>
        <v>46554</v>
      </c>
      <c r="R669" s="7" t="s">
        <v>273</v>
      </c>
      <c r="S669" s="7" t="s">
        <v>5670</v>
      </c>
      <c r="T669" s="7">
        <v>0.43</v>
      </c>
      <c r="U669" s="7" t="s">
        <v>10</v>
      </c>
      <c r="V669" s="7">
        <f t="shared" si="72"/>
        <v>0.43</v>
      </c>
      <c r="W669" s="7">
        <v>0.5</v>
      </c>
      <c r="X669" s="7" t="s">
        <v>55</v>
      </c>
      <c r="Y669" s="48" t="str">
        <f t="shared" si="73"/>
        <v>APROVADO</v>
      </c>
      <c r="Z669" s="7" t="s">
        <v>46</v>
      </c>
      <c r="AA669" s="5" t="s">
        <v>4675</v>
      </c>
      <c r="AB669" s="5" t="s">
        <v>4675</v>
      </c>
      <c r="AC669" s="5" t="s">
        <v>48</v>
      </c>
      <c r="AD669" s="5" t="s">
        <v>5632</v>
      </c>
      <c r="AE669" s="5" t="str">
        <f t="shared" ca="1" si="70"/>
        <v>NO PRAZO</v>
      </c>
      <c r="AF669" s="51"/>
    </row>
    <row r="670" spans="1:33" ht="30" customHeight="1" x14ac:dyDescent="0.25">
      <c r="A670" s="5" t="s">
        <v>1683</v>
      </c>
      <c r="B670" s="5" t="s">
        <v>10</v>
      </c>
      <c r="C670" s="5" t="s">
        <v>5863</v>
      </c>
      <c r="D670" s="7" t="s">
        <v>1640</v>
      </c>
      <c r="E670" s="7" t="s">
        <v>68</v>
      </c>
      <c r="F670" s="7" t="s">
        <v>69</v>
      </c>
      <c r="G670" s="7" t="s">
        <v>1460</v>
      </c>
      <c r="H670" s="7" t="s">
        <v>1681</v>
      </c>
      <c r="I670" s="7" t="s">
        <v>5679</v>
      </c>
      <c r="J670" s="7" t="s">
        <v>5729</v>
      </c>
      <c r="K670" s="13" t="s">
        <v>10</v>
      </c>
      <c r="L670" s="13" t="s">
        <v>45</v>
      </c>
      <c r="M670" s="13" t="s">
        <v>10</v>
      </c>
      <c r="N670" s="5" t="s">
        <v>10</v>
      </c>
      <c r="O670" s="46" t="s">
        <v>46</v>
      </c>
      <c r="P670" s="101">
        <v>46169</v>
      </c>
      <c r="Q670" s="100">
        <v>46353</v>
      </c>
      <c r="R670" s="7" t="s">
        <v>3434</v>
      </c>
      <c r="S670" s="7" t="s">
        <v>5596</v>
      </c>
      <c r="T670" s="7">
        <v>1.4</v>
      </c>
      <c r="U670" s="7" t="s">
        <v>10</v>
      </c>
      <c r="V670" s="7">
        <f t="shared" si="72"/>
        <v>1.4</v>
      </c>
      <c r="W670" s="7">
        <v>12.5</v>
      </c>
      <c r="X670" s="7" t="s">
        <v>674</v>
      </c>
      <c r="Y670" s="48" t="str">
        <f t="shared" si="73"/>
        <v>APROVADO</v>
      </c>
      <c r="Z670" s="7" t="s">
        <v>56</v>
      </c>
      <c r="AA670" s="5">
        <v>11540947</v>
      </c>
      <c r="AB670" s="5" t="s">
        <v>2919</v>
      </c>
      <c r="AC670" s="5" t="s">
        <v>48</v>
      </c>
      <c r="AD670" s="5" t="s">
        <v>5530</v>
      </c>
      <c r="AE670" s="5" t="s">
        <v>4</v>
      </c>
      <c r="AF670" s="51"/>
    </row>
    <row r="671" spans="1:33" ht="30" customHeight="1" x14ac:dyDescent="0.25">
      <c r="A671" s="5" t="s">
        <v>1684</v>
      </c>
      <c r="B671" s="5" t="s">
        <v>10</v>
      </c>
      <c r="C671" s="5" t="s">
        <v>5863</v>
      </c>
      <c r="D671" s="7" t="s">
        <v>1640</v>
      </c>
      <c r="E671" s="7" t="s">
        <v>68</v>
      </c>
      <c r="F671" s="7" t="s">
        <v>69</v>
      </c>
      <c r="G671" s="7" t="s">
        <v>1460</v>
      </c>
      <c r="H671" s="7" t="s">
        <v>1682</v>
      </c>
      <c r="I671" s="7" t="s">
        <v>5679</v>
      </c>
      <c r="J671" s="7" t="s">
        <v>5729</v>
      </c>
      <c r="K671" s="13" t="s">
        <v>10</v>
      </c>
      <c r="L671" s="13" t="s">
        <v>45</v>
      </c>
      <c r="M671" s="13" t="s">
        <v>10</v>
      </c>
      <c r="N671" s="5" t="s">
        <v>10</v>
      </c>
      <c r="O671" s="46" t="s">
        <v>46</v>
      </c>
      <c r="P671" s="101">
        <v>46169</v>
      </c>
      <c r="Q671" s="100">
        <v>46353</v>
      </c>
      <c r="R671" s="7" t="s">
        <v>3435</v>
      </c>
      <c r="S671" s="7" t="s">
        <v>5597</v>
      </c>
      <c r="T671" s="7">
        <v>1.4</v>
      </c>
      <c r="U671" s="7" t="s">
        <v>10</v>
      </c>
      <c r="V671" s="7">
        <f t="shared" si="72"/>
        <v>1.4</v>
      </c>
      <c r="W671" s="7">
        <v>12.5</v>
      </c>
      <c r="X671" s="7" t="s">
        <v>674</v>
      </c>
      <c r="Y671" s="48" t="str">
        <f t="shared" si="73"/>
        <v>APROVADO</v>
      </c>
      <c r="Z671" s="7" t="s">
        <v>56</v>
      </c>
      <c r="AA671" s="5">
        <v>11542219</v>
      </c>
      <c r="AB671" s="5" t="s">
        <v>2920</v>
      </c>
      <c r="AC671" s="5" t="s">
        <v>48</v>
      </c>
      <c r="AD671" s="5" t="s">
        <v>5530</v>
      </c>
      <c r="AE671" s="5" t="s">
        <v>4</v>
      </c>
      <c r="AF671" s="51"/>
    </row>
    <row r="672" spans="1:33" ht="30" customHeight="1" x14ac:dyDescent="0.25">
      <c r="A672" s="5" t="s">
        <v>5744</v>
      </c>
      <c r="B672" s="5" t="s">
        <v>10</v>
      </c>
      <c r="C672" s="5" t="s">
        <v>5864</v>
      </c>
      <c r="D672" s="7" t="s">
        <v>940</v>
      </c>
      <c r="E672" s="7" t="s">
        <v>256</v>
      </c>
      <c r="F672" s="7" t="s">
        <v>257</v>
      </c>
      <c r="G672" s="7" t="s">
        <v>940</v>
      </c>
      <c r="H672" s="7" t="s">
        <v>941</v>
      </c>
      <c r="I672" s="116" t="s">
        <v>5745</v>
      </c>
      <c r="J672" s="116" t="s">
        <v>5746</v>
      </c>
      <c r="K672" s="5" t="s">
        <v>10</v>
      </c>
      <c r="L672" s="5" t="s">
        <v>10</v>
      </c>
      <c r="M672" s="5" t="s">
        <v>10</v>
      </c>
      <c r="N672" s="5" t="s">
        <v>45</v>
      </c>
      <c r="O672" s="80" t="s">
        <v>56</v>
      </c>
      <c r="P672" s="101">
        <v>46205</v>
      </c>
      <c r="Q672" s="100">
        <f>IF(P672="","",P672+365)</f>
        <v>46570</v>
      </c>
      <c r="R672" s="7" t="s">
        <v>5747</v>
      </c>
      <c r="S672" s="7" t="s">
        <v>5635</v>
      </c>
      <c r="T672" s="7">
        <v>0.56999999999999995</v>
      </c>
      <c r="U672" s="7" t="s">
        <v>10</v>
      </c>
      <c r="V672" s="7">
        <f t="shared" si="72"/>
        <v>0.56999999999999995</v>
      </c>
      <c r="W672" s="59" t="s">
        <v>10</v>
      </c>
      <c r="X672" s="7" t="s">
        <v>330</v>
      </c>
      <c r="Y672" s="48" t="str">
        <f t="shared" si="73"/>
        <v>A DEFINIR</v>
      </c>
      <c r="Z672" s="7" t="s">
        <v>56</v>
      </c>
      <c r="AA672" s="5">
        <v>11606689</v>
      </c>
      <c r="AB672" s="5" t="s">
        <v>5748</v>
      </c>
      <c r="AC672" s="5" t="s">
        <v>48</v>
      </c>
      <c r="AD672" s="5" t="s">
        <v>5632</v>
      </c>
      <c r="AE672" s="5" t="s">
        <v>4</v>
      </c>
      <c r="AF672" s="51"/>
      <c r="AG672" s="155"/>
    </row>
  </sheetData>
  <autoFilter ref="A9:AF672" xr:uid="{00000000-0009-0000-0000-000005000000}"/>
  <mergeCells count="9">
    <mergeCell ref="A1:B3"/>
    <mergeCell ref="D7:AF7"/>
    <mergeCell ref="AF1:AF3"/>
    <mergeCell ref="AE1:AE3"/>
    <mergeCell ref="E1:AC3"/>
    <mergeCell ref="E4:AF4"/>
    <mergeCell ref="E6:AF6"/>
    <mergeCell ref="C4:D4"/>
    <mergeCell ref="C6:D6"/>
  </mergeCells>
  <phoneticPr fontId="12" type="noConversion"/>
  <conditionalFormatting sqref="A10:A34 A45:A570">
    <cfRule type="duplicateValues" dxfId="3027" priority="81804"/>
  </conditionalFormatting>
  <conditionalFormatting sqref="A10:A614">
    <cfRule type="duplicateValues" dxfId="3026" priority="81807"/>
  </conditionalFormatting>
  <conditionalFormatting sqref="A10:A658">
    <cfRule type="duplicateValues" dxfId="3025" priority="81809"/>
  </conditionalFormatting>
  <conditionalFormatting sqref="A10:A672">
    <cfRule type="duplicateValues" dxfId="3024" priority="81811"/>
  </conditionalFormatting>
  <conditionalFormatting sqref="A75">
    <cfRule type="duplicateValues" dxfId="3023" priority="6222"/>
    <cfRule type="duplicateValues" dxfId="3022" priority="6223"/>
    <cfRule type="duplicateValues" dxfId="3021" priority="6224"/>
    <cfRule type="duplicateValues" dxfId="3020" priority="6225"/>
  </conditionalFormatting>
  <conditionalFormatting sqref="A76:A658">
    <cfRule type="duplicateValues" dxfId="3019" priority="81813"/>
  </conditionalFormatting>
  <conditionalFormatting sqref="A237">
    <cfRule type="duplicateValues" dxfId="3018" priority="6215"/>
    <cfRule type="duplicateValues" dxfId="3017" priority="6216"/>
    <cfRule type="duplicateValues" dxfId="3016" priority="6217"/>
    <cfRule type="duplicateValues" dxfId="3015" priority="6218"/>
  </conditionalFormatting>
  <conditionalFormatting sqref="A238:A257 A45:A74 A10:A34 A76:A236 A259:A542">
    <cfRule type="duplicateValues" dxfId="3014" priority="80187"/>
  </conditionalFormatting>
  <conditionalFormatting sqref="A238:A542 A45:A74 A10:A34 A76:A236">
    <cfRule type="duplicateValues" dxfId="3013" priority="80177"/>
  </conditionalFormatting>
  <conditionalFormatting sqref="A258">
    <cfRule type="duplicateValues" dxfId="3012" priority="31985"/>
    <cfRule type="duplicateValues" dxfId="3011" priority="31986"/>
    <cfRule type="duplicateValues" dxfId="3010" priority="31987"/>
  </conditionalFormatting>
  <conditionalFormatting sqref="A489:A490 D489:D490 G489:I490 D512:D554 A543:A544">
    <cfRule type="expression" dxfId="3009" priority="4496">
      <formula>$H489="CALIBRAÇÃO VENCIDA"</formula>
    </cfRule>
    <cfRule type="expression" dxfId="3008" priority="4497">
      <formula>$H489="PROX. VENCIMENTO"</formula>
    </cfRule>
    <cfRule type="expression" dxfId="3007" priority="4498">
      <formula>$H489="CALIBRADO"</formula>
    </cfRule>
  </conditionalFormatting>
  <conditionalFormatting sqref="A489:A490 D489:D490 G489:I490 D512:D554 A550:A570 D569:D570 G569:I570 G657:H658">
    <cfRule type="expression" dxfId="3006" priority="4495">
      <formula>$H489="PROX. VENCIMENTO (2 MESES)"</formula>
    </cfRule>
  </conditionalFormatting>
  <conditionalFormatting sqref="A489:A490 D489:D490 G489:I490 D512:D554 A550:A570 D569:D570 G569:I570">
    <cfRule type="expression" dxfId="3005" priority="4499">
      <formula>$H489="DANIFICADO"</formula>
    </cfRule>
    <cfRule type="expression" dxfId="3004" priority="4500">
      <formula>$H489="VENCIDO"</formula>
    </cfRule>
    <cfRule type="expression" dxfId="3003" priority="4501">
      <formula>$H489="NO PRAZO"</formula>
    </cfRule>
    <cfRule type="expression" dxfId="3002" priority="4502">
      <formula>$H489="CALIBRAR"</formula>
    </cfRule>
    <cfRule type="expression" dxfId="3001" priority="4503">
      <formula>$H489="SEM CALIBRAÇÃO"</formula>
    </cfRule>
  </conditionalFormatting>
  <conditionalFormatting sqref="A496 D496 D499 G499:I499 D502 G502:I502 A512:A541 G516:I516 G517:H517 G533:H537 I542 D579 D594">
    <cfRule type="expression" dxfId="3000" priority="4827">
      <formula>$H496="PROX. VENCIMENTO (2 MESES)"</formula>
    </cfRule>
    <cfRule type="expression" dxfId="2999" priority="4828">
      <formula>$H496="CALIBRAÇÃO VENCIDA"</formula>
    </cfRule>
    <cfRule type="expression" dxfId="2998" priority="4829">
      <formula>$H496="PROX. VENCIMENTO"</formula>
    </cfRule>
    <cfRule type="expression" dxfId="2997" priority="4830">
      <formula>$H496="CALIBRADO"</formula>
    </cfRule>
    <cfRule type="expression" dxfId="2996" priority="4831">
      <formula>$H496="DANIFICADO"</formula>
    </cfRule>
    <cfRule type="expression" dxfId="2995" priority="4832">
      <formula>$H496="VENCIDO"</formula>
    </cfRule>
    <cfRule type="expression" dxfId="2994" priority="4833">
      <formula>$H496="NO PRAZO"</formula>
    </cfRule>
    <cfRule type="expression" dxfId="2993" priority="4834">
      <formula>$H496="CALIBRAR"</formula>
    </cfRule>
    <cfRule type="expression" dxfId="2992" priority="4835">
      <formula>$H496="SEM CALIBRAÇÃO"</formula>
    </cfRule>
  </conditionalFormatting>
  <conditionalFormatting sqref="A499">
    <cfRule type="expression" dxfId="2991" priority="4787">
      <formula>$H499="PROX. VENCIMENTO (2 MESES)"</formula>
    </cfRule>
    <cfRule type="expression" dxfId="2990" priority="4788">
      <formula>$H499="CALIBRAÇÃO VENCIDA"</formula>
    </cfRule>
    <cfRule type="expression" dxfId="2989" priority="4789">
      <formula>$H499="PROX. VENCIMENTO"</formula>
    </cfRule>
    <cfRule type="expression" dxfId="2988" priority="4790">
      <formula>$H499="CALIBRADO"</formula>
    </cfRule>
    <cfRule type="expression" dxfId="2987" priority="4791">
      <formula>$H499="DANIFICADO"</formula>
    </cfRule>
    <cfRule type="expression" dxfId="2986" priority="4792">
      <formula>$H499="VENCIDO"</formula>
    </cfRule>
    <cfRule type="expression" dxfId="2985" priority="4793">
      <formula>$H499="NO PRAZO"</formula>
    </cfRule>
    <cfRule type="expression" dxfId="2984" priority="4794">
      <formula>$H499="CALIBRAR"</formula>
    </cfRule>
    <cfRule type="expression" dxfId="2983" priority="4795">
      <formula>$H499="SEM CALIBRAÇÃO"</formula>
    </cfRule>
  </conditionalFormatting>
  <conditionalFormatting sqref="A502">
    <cfRule type="expression" dxfId="2982" priority="4637">
      <formula>$H502="PROX. VENCIMENTO (2 MESES)"</formula>
    </cfRule>
    <cfRule type="expression" dxfId="2981" priority="4638">
      <formula>$H502="CALIBRAÇÃO VENCIDA"</formula>
    </cfRule>
    <cfRule type="expression" dxfId="2980" priority="4639">
      <formula>$H502="PROX. VENCIMENTO"</formula>
    </cfRule>
    <cfRule type="expression" dxfId="2979" priority="4640">
      <formula>$H502="CALIBRADO"</formula>
    </cfRule>
    <cfRule type="expression" dxfId="2978" priority="4641">
      <formula>$H502="DANIFICADO"</formula>
    </cfRule>
    <cfRule type="expression" dxfId="2977" priority="4642">
      <formula>$H502="VENCIDO"</formula>
    </cfRule>
    <cfRule type="expression" dxfId="2976" priority="4643">
      <formula>$H502="NO PRAZO"</formula>
    </cfRule>
    <cfRule type="expression" dxfId="2975" priority="4644">
      <formula>$H502="CALIBRAR"</formula>
    </cfRule>
    <cfRule type="expression" dxfId="2974" priority="4645">
      <formula>$H502="SEM CALIBRAÇÃO"</formula>
    </cfRule>
  </conditionalFormatting>
  <conditionalFormatting sqref="A543:A544 A635 G635:H635 A657:A658 G657:H658">
    <cfRule type="expression" dxfId="2973" priority="6652">
      <formula>$H543="VENCIDO"</formula>
    </cfRule>
    <cfRule type="expression" dxfId="2972" priority="6653">
      <formula>$H543="NO PRAZO"</formula>
    </cfRule>
    <cfRule type="expression" dxfId="2971" priority="6654">
      <formula>$H543="CALIBRAR"</formula>
    </cfRule>
    <cfRule type="expression" dxfId="2970" priority="6655">
      <formula>$H543="SEM CALIBRAÇÃO"</formula>
    </cfRule>
  </conditionalFormatting>
  <conditionalFormatting sqref="A543:A544">
    <cfRule type="expression" dxfId="2969" priority="74452">
      <formula>$H543="PROX. VENCIMENTO (2 MESES)"</formula>
    </cfRule>
    <cfRule type="duplicateValues" dxfId="2968" priority="74453"/>
    <cfRule type="duplicateValues" dxfId="2967" priority="74454"/>
    <cfRule type="duplicateValues" dxfId="2966" priority="74455"/>
  </conditionalFormatting>
  <conditionalFormatting sqref="A545">
    <cfRule type="duplicateValues" dxfId="2965" priority="6581"/>
  </conditionalFormatting>
  <conditionalFormatting sqref="A546">
    <cfRule type="duplicateValues" dxfId="2964" priority="6580"/>
  </conditionalFormatting>
  <conditionalFormatting sqref="A548">
    <cfRule type="duplicateValues" dxfId="2963" priority="6578"/>
  </conditionalFormatting>
  <conditionalFormatting sqref="A550:A570 D569:D570 G569:I570 A635 G635:H635 A657:A658 G657:H658">
    <cfRule type="expression" dxfId="2962" priority="6649">
      <formula>$H550="PROX. VENCIMENTO"</formula>
    </cfRule>
    <cfRule type="expression" dxfId="2961" priority="6650">
      <formula>$H550="CALIBRADO"</formula>
    </cfRule>
  </conditionalFormatting>
  <conditionalFormatting sqref="A550:A570">
    <cfRule type="duplicateValues" dxfId="2960" priority="78253"/>
    <cfRule type="duplicateValues" dxfId="2959" priority="78254"/>
    <cfRule type="duplicateValues" dxfId="2958" priority="78255"/>
  </conditionalFormatting>
  <conditionalFormatting sqref="A571:A590">
    <cfRule type="duplicateValues" dxfId="2957" priority="74637"/>
    <cfRule type="duplicateValues" dxfId="2956" priority="74638"/>
    <cfRule type="duplicateValues" dxfId="2955" priority="74639"/>
    <cfRule type="duplicateValues" dxfId="2954" priority="74640"/>
    <cfRule type="duplicateValues" dxfId="2953" priority="74641"/>
  </conditionalFormatting>
  <conditionalFormatting sqref="A591:A604 D606:D614 H614">
    <cfRule type="expression" dxfId="2952" priority="4124">
      <formula>$H591="CALIBRAÇÃO VENCIDA"</formula>
    </cfRule>
    <cfRule type="expression" dxfId="2951" priority="4125">
      <formula>$H591="PROX. VENCIMENTO"</formula>
    </cfRule>
    <cfRule type="expression" dxfId="2950" priority="4126">
      <formula>$H591="CALIBRADO"</formula>
    </cfRule>
    <cfRule type="expression" dxfId="2949" priority="4127">
      <formula>$H591="DANIFICADO"</formula>
    </cfRule>
    <cfRule type="expression" dxfId="2948" priority="4128">
      <formula>$H591="VENCIDO"</formula>
    </cfRule>
    <cfRule type="expression" dxfId="2947" priority="4129">
      <formula>$H591="NO PRAZO"</formula>
    </cfRule>
    <cfRule type="expression" dxfId="2946" priority="4130">
      <formula>$H591="CALIBRAR"</formula>
    </cfRule>
    <cfRule type="expression" dxfId="2945" priority="4131">
      <formula>$H591="SEM CALIBRAÇÃO"</formula>
    </cfRule>
  </conditionalFormatting>
  <conditionalFormatting sqref="A599:A604">
    <cfRule type="expression" dxfId="2944" priority="4123">
      <formula>$H599="PROX. VENCIMENTO (2 MESES)"</formula>
    </cfRule>
  </conditionalFormatting>
  <conditionalFormatting sqref="A605 H605:I605 G615:I624">
    <cfRule type="expression" dxfId="2943" priority="4105">
      <formula>$G605="PROX. VENCIMENTO (2 MESES)"</formula>
    </cfRule>
    <cfRule type="expression" dxfId="2942" priority="4106">
      <formula>$G605="CALIBRAÇÃO VENCIDA"</formula>
    </cfRule>
    <cfRule type="expression" dxfId="2941" priority="4107">
      <formula>$G605="PROX. VENCIMENTO"</formula>
    </cfRule>
    <cfRule type="expression" dxfId="2940" priority="4108">
      <formula>$G605="CALIBRADO"</formula>
    </cfRule>
    <cfRule type="expression" dxfId="2939" priority="4109">
      <formula>$G605="DANIFICADO"</formula>
    </cfRule>
    <cfRule type="expression" dxfId="2938" priority="4110">
      <formula>$G605="VENCIDO"</formula>
    </cfRule>
    <cfRule type="expression" dxfId="2937" priority="4111">
      <formula>$G605="NO PRAZO"</formula>
    </cfRule>
    <cfRule type="expression" dxfId="2936" priority="4112">
      <formula>$G605="CALIBRAR"</formula>
    </cfRule>
    <cfRule type="expression" dxfId="2935" priority="4113">
      <formula>$G605="SEM CALIBRAÇÃO"</formula>
    </cfRule>
  </conditionalFormatting>
  <conditionalFormatting sqref="A607:A614">
    <cfRule type="expression" dxfId="2934" priority="3957">
      <formula>$H607="PROX. VENCIMENTO (2 MESES)"</formula>
    </cfRule>
  </conditionalFormatting>
  <conditionalFormatting sqref="A608:A614">
    <cfRule type="duplicateValues" dxfId="2933" priority="3990"/>
  </conditionalFormatting>
  <conditionalFormatting sqref="A608:A624">
    <cfRule type="expression" dxfId="2932" priority="3006">
      <formula>$H608="CALIBRAÇÃO VENCIDA"</formula>
    </cfRule>
    <cfRule type="expression" dxfId="2931" priority="3007">
      <formula>$H608="PROX. VENCIMENTO"</formula>
    </cfRule>
    <cfRule type="expression" dxfId="2930" priority="3008">
      <formula>$H608="CALIBRADO"</formula>
    </cfRule>
    <cfRule type="expression" dxfId="2929" priority="3009">
      <formula>$H608="DANIFICADO"</formula>
    </cfRule>
    <cfRule type="expression" dxfId="2928" priority="3010">
      <formula>$H608="VENCIDO"</formula>
    </cfRule>
    <cfRule type="expression" dxfId="2927" priority="3011">
      <formula>$H608="NO PRAZO"</formula>
    </cfRule>
    <cfRule type="expression" dxfId="2926" priority="3012">
      <formula>$H608="CALIBRAR"</formula>
    </cfRule>
    <cfRule type="expression" dxfId="2925" priority="3013">
      <formula>$H608="SEM CALIBRAÇÃO"</formula>
    </cfRule>
  </conditionalFormatting>
  <conditionalFormatting sqref="A615:A624">
    <cfRule type="expression" dxfId="2924" priority="2986">
      <formula>$G615="PROX. VENCIMENTO (2 MESES)"</formula>
    </cfRule>
    <cfRule type="expression" dxfId="2923" priority="2987">
      <formula>$G615="CALIBRAÇÃO VENCIDA"</formula>
    </cfRule>
    <cfRule type="expression" dxfId="2922" priority="2988">
      <formula>$G615="PROX. VENCIMENTO"</formula>
    </cfRule>
    <cfRule type="expression" dxfId="2921" priority="2989">
      <formula>$G615="CALIBRADO"</formula>
    </cfRule>
    <cfRule type="expression" dxfId="2920" priority="2990">
      <formula>$G615="DANIFICADO"</formula>
    </cfRule>
    <cfRule type="expression" dxfId="2919" priority="2991">
      <formula>$G615="VENCIDO"</formula>
    </cfRule>
    <cfRule type="expression" dxfId="2918" priority="2992">
      <formula>$G615="NO PRAZO"</formula>
    </cfRule>
    <cfRule type="expression" dxfId="2917" priority="2993">
      <formula>$G615="CALIBRAR"</formula>
    </cfRule>
    <cfRule type="expression" dxfId="2916" priority="2994">
      <formula>$G615="SEM CALIBRAÇÃO"</formula>
    </cfRule>
    <cfRule type="expression" dxfId="2915" priority="3005">
      <formula>$H615="PROX. VENCIMENTO (2 MESES)"</formula>
    </cfRule>
  </conditionalFormatting>
  <conditionalFormatting sqref="A630">
    <cfRule type="duplicateValues" dxfId="2914" priority="2154"/>
    <cfRule type="duplicateValues" dxfId="2913" priority="2155"/>
    <cfRule type="duplicateValues" dxfId="2912" priority="2156"/>
    <cfRule type="duplicateValues" dxfId="2911" priority="2157"/>
    <cfRule type="duplicateValues" dxfId="2910" priority="2158"/>
    <cfRule type="duplicateValues" dxfId="2909" priority="2159"/>
  </conditionalFormatting>
  <conditionalFormatting sqref="A635 A657:A658">
    <cfRule type="expression" dxfId="2908" priority="78640">
      <formula>$H635="PROX. VENCIMENTO (2 MESES)"</formula>
    </cfRule>
    <cfRule type="duplicateValues" dxfId="2907" priority="78641"/>
    <cfRule type="duplicateValues" dxfId="2906" priority="78642"/>
    <cfRule type="duplicateValues" dxfId="2905" priority="78643"/>
  </conditionalFormatting>
  <conditionalFormatting sqref="A635 G635:H635 A657:A658 G657:H658 A543:A544">
    <cfRule type="expression" dxfId="2904" priority="6651">
      <formula>$H543="DANIFICADO"</formula>
    </cfRule>
  </conditionalFormatting>
  <conditionalFormatting sqref="A636">
    <cfRule type="duplicateValues" dxfId="2903" priority="2053"/>
    <cfRule type="duplicateValues" dxfId="2902" priority="2054"/>
    <cfRule type="duplicateValues" dxfId="2901" priority="2055"/>
    <cfRule type="duplicateValues" dxfId="2900" priority="2056"/>
    <cfRule type="duplicateValues" dxfId="2899" priority="2057"/>
  </conditionalFormatting>
  <conditionalFormatting sqref="A637:A647 A631:B631">
    <cfRule type="duplicateValues" dxfId="2898" priority="68521"/>
    <cfRule type="duplicateValues" dxfId="2897" priority="68522"/>
    <cfRule type="duplicateValues" dxfId="2896" priority="68523"/>
    <cfRule type="duplicateValues" dxfId="2895" priority="68524"/>
    <cfRule type="duplicateValues" dxfId="2894" priority="68525"/>
    <cfRule type="duplicateValues" dxfId="2893" priority="68526"/>
  </conditionalFormatting>
  <conditionalFormatting sqref="A648:A656 A632:A634">
    <cfRule type="duplicateValues" dxfId="2892" priority="78408"/>
    <cfRule type="duplicateValues" dxfId="2891" priority="78409"/>
    <cfRule type="duplicateValues" dxfId="2890" priority="78410"/>
  </conditionalFormatting>
  <conditionalFormatting sqref="A648:A658 A632:A635">
    <cfRule type="duplicateValues" dxfId="2889" priority="78392"/>
    <cfRule type="duplicateValues" dxfId="2888" priority="78393"/>
  </conditionalFormatting>
  <conditionalFormatting sqref="A648:A658 A632:A636">
    <cfRule type="duplicateValues" dxfId="2887" priority="78417"/>
  </conditionalFormatting>
  <conditionalFormatting sqref="A659:A669">
    <cfRule type="expression" dxfId="2886" priority="1757">
      <formula>COUNTIF(A:A,A659) &gt; 1</formula>
    </cfRule>
  </conditionalFormatting>
  <conditionalFormatting sqref="A670:A671">
    <cfRule type="duplicateValues" dxfId="2885" priority="184"/>
    <cfRule type="duplicateValues" dxfId="2884" priority="185"/>
    <cfRule type="duplicateValues" dxfId="2883" priority="186"/>
    <cfRule type="duplicateValues" dxfId="2882" priority="187"/>
    <cfRule type="duplicateValues" dxfId="2881" priority="188"/>
    <cfRule type="duplicateValues" dxfId="2880" priority="189"/>
    <cfRule type="duplicateValues" dxfId="2879" priority="190"/>
    <cfRule type="duplicateValues" dxfId="2878" priority="191"/>
  </conditionalFormatting>
  <conditionalFormatting sqref="A672">
    <cfRule type="duplicateValues" dxfId="2877" priority="120"/>
    <cfRule type="duplicateValues" dxfId="2876" priority="121"/>
    <cfRule type="duplicateValues" dxfId="2875" priority="122"/>
    <cfRule type="duplicateValues" dxfId="2874" priority="123"/>
    <cfRule type="duplicateValues" dxfId="2873" priority="124"/>
    <cfRule type="duplicateValues" dxfId="2872" priority="125"/>
    <cfRule type="duplicateValues" dxfId="2871" priority="126"/>
    <cfRule type="duplicateValues" dxfId="2870" priority="127"/>
  </conditionalFormatting>
  <conditionalFormatting sqref="A547:B547">
    <cfRule type="duplicateValues" dxfId="2869" priority="6579"/>
  </conditionalFormatting>
  <conditionalFormatting sqref="A549:B549">
    <cfRule type="duplicateValues" dxfId="2868" priority="6577"/>
  </conditionalFormatting>
  <conditionalFormatting sqref="B18">
    <cfRule type="duplicateValues" dxfId="2867" priority="1269"/>
    <cfRule type="duplicateValues" dxfId="2866" priority="1270"/>
    <cfRule type="duplicateValues" dxfId="2865" priority="1271"/>
    <cfRule type="duplicateValues" dxfId="2864" priority="1272"/>
    <cfRule type="duplicateValues" dxfId="2863" priority="1273"/>
    <cfRule type="duplicateValues" dxfId="2862" priority="1274"/>
    <cfRule type="duplicateValues" dxfId="2861" priority="1275"/>
  </conditionalFormatting>
  <conditionalFormatting sqref="B19">
    <cfRule type="duplicateValues" dxfId="2860" priority="1364"/>
    <cfRule type="duplicateValues" dxfId="2859" priority="1365"/>
    <cfRule type="duplicateValues" dxfId="2858" priority="1366"/>
    <cfRule type="duplicateValues" dxfId="2857" priority="1367"/>
    <cfRule type="duplicateValues" dxfId="2856" priority="1368"/>
    <cfRule type="duplicateValues" dxfId="2855" priority="1369"/>
    <cfRule type="duplicateValues" dxfId="2854" priority="1370"/>
  </conditionalFormatting>
  <conditionalFormatting sqref="B25">
    <cfRule type="duplicateValues" dxfId="2853" priority="1495"/>
    <cfRule type="duplicateValues" dxfId="2852" priority="1496"/>
    <cfRule type="duplicateValues" dxfId="2851" priority="1497"/>
    <cfRule type="duplicateValues" dxfId="2850" priority="1498"/>
    <cfRule type="duplicateValues" dxfId="2849" priority="1499"/>
    <cfRule type="duplicateValues" dxfId="2848" priority="1500"/>
    <cfRule type="duplicateValues" dxfId="2847" priority="1501"/>
  </conditionalFormatting>
  <conditionalFormatting sqref="B27">
    <cfRule type="duplicateValues" dxfId="2846" priority="71308"/>
    <cfRule type="duplicateValues" dxfId="2845" priority="71309"/>
    <cfRule type="duplicateValues" dxfId="2844" priority="71310"/>
    <cfRule type="duplicateValues" dxfId="2843" priority="71311"/>
    <cfRule type="duplicateValues" dxfId="2842" priority="71312"/>
    <cfRule type="duplicateValues" dxfId="2841" priority="71313"/>
    <cfRule type="duplicateValues" dxfId="2840" priority="71314"/>
  </conditionalFormatting>
  <conditionalFormatting sqref="B28">
    <cfRule type="duplicateValues" dxfId="2839" priority="79899"/>
    <cfRule type="duplicateValues" dxfId="2838" priority="79900"/>
    <cfRule type="duplicateValues" dxfId="2837" priority="79901"/>
    <cfRule type="duplicateValues" dxfId="2836" priority="79902"/>
    <cfRule type="duplicateValues" dxfId="2835" priority="79903"/>
  </conditionalFormatting>
  <conditionalFormatting sqref="B29">
    <cfRule type="duplicateValues" dxfId="2834" priority="80107"/>
    <cfRule type="duplicateValues" dxfId="2833" priority="80108"/>
    <cfRule type="duplicateValues" dxfId="2832" priority="80109"/>
    <cfRule type="duplicateValues" dxfId="2831" priority="80110"/>
    <cfRule type="duplicateValues" dxfId="2830" priority="80111"/>
  </conditionalFormatting>
  <conditionalFormatting sqref="B30 B32">
    <cfRule type="duplicateValues" dxfId="2829" priority="1395"/>
    <cfRule type="duplicateValues" dxfId="2828" priority="1396"/>
    <cfRule type="duplicateValues" dxfId="2827" priority="1397"/>
    <cfRule type="duplicateValues" dxfId="2826" priority="1398"/>
    <cfRule type="duplicateValues" dxfId="2825" priority="1399"/>
    <cfRule type="duplicateValues" dxfId="2824" priority="1400"/>
    <cfRule type="duplicateValues" dxfId="2823" priority="1401"/>
  </conditionalFormatting>
  <conditionalFormatting sqref="B49">
    <cfRule type="duplicateValues" dxfId="2822" priority="1488"/>
    <cfRule type="duplicateValues" dxfId="2821" priority="1489"/>
    <cfRule type="duplicateValues" dxfId="2820" priority="1490"/>
    <cfRule type="duplicateValues" dxfId="2819" priority="1491"/>
    <cfRule type="duplicateValues" dxfId="2818" priority="1492"/>
    <cfRule type="duplicateValues" dxfId="2817" priority="1493"/>
    <cfRule type="duplicateValues" dxfId="2816" priority="1494"/>
  </conditionalFormatting>
  <conditionalFormatting sqref="B60">
    <cfRule type="duplicateValues" dxfId="2815" priority="2774"/>
    <cfRule type="duplicateValues" dxfId="2814" priority="2775"/>
    <cfRule type="duplicateValues" dxfId="2813" priority="2776"/>
    <cfRule type="duplicateValues" dxfId="2812" priority="2777"/>
    <cfRule type="duplicateValues" dxfId="2811" priority="2778"/>
    <cfRule type="duplicateValues" dxfId="2810" priority="2779"/>
  </conditionalFormatting>
  <conditionalFormatting sqref="B63">
    <cfRule type="duplicateValues" dxfId="2809" priority="2768"/>
    <cfRule type="duplicateValues" dxfId="2808" priority="2769"/>
    <cfRule type="duplicateValues" dxfId="2807" priority="2770"/>
    <cfRule type="duplicateValues" dxfId="2806" priority="2771"/>
    <cfRule type="duplicateValues" dxfId="2805" priority="2772"/>
    <cfRule type="duplicateValues" dxfId="2804" priority="2773"/>
  </conditionalFormatting>
  <conditionalFormatting sqref="B64">
    <cfRule type="duplicateValues" dxfId="2803" priority="2662"/>
    <cfRule type="duplicateValues" dxfId="2802" priority="2663"/>
    <cfRule type="duplicateValues" dxfId="2801" priority="2664"/>
    <cfRule type="duplicateValues" dxfId="2800" priority="2665"/>
    <cfRule type="duplicateValues" dxfId="2799" priority="2666"/>
    <cfRule type="duplicateValues" dxfId="2798" priority="2667"/>
  </conditionalFormatting>
  <conditionalFormatting sqref="B83">
    <cfRule type="duplicateValues" dxfId="2797" priority="2732"/>
    <cfRule type="duplicateValues" dxfId="2796" priority="2733"/>
    <cfRule type="duplicateValues" dxfId="2795" priority="2734"/>
    <cfRule type="duplicateValues" dxfId="2794" priority="2735"/>
    <cfRule type="duplicateValues" dxfId="2793" priority="2736"/>
    <cfRule type="duplicateValues" dxfId="2792" priority="2737"/>
  </conditionalFormatting>
  <conditionalFormatting sqref="B84">
    <cfRule type="duplicateValues" dxfId="2791" priority="2726"/>
    <cfRule type="duplicateValues" dxfId="2790" priority="2727"/>
    <cfRule type="duplicateValues" dxfId="2789" priority="2728"/>
    <cfRule type="duplicateValues" dxfId="2788" priority="2729"/>
    <cfRule type="duplicateValues" dxfId="2787" priority="2730"/>
    <cfRule type="duplicateValues" dxfId="2786" priority="2731"/>
  </conditionalFormatting>
  <conditionalFormatting sqref="B86">
    <cfRule type="duplicateValues" dxfId="2785" priority="2756"/>
    <cfRule type="duplicateValues" dxfId="2784" priority="2757"/>
    <cfRule type="duplicateValues" dxfId="2783" priority="2758"/>
    <cfRule type="duplicateValues" dxfId="2782" priority="2759"/>
    <cfRule type="duplicateValues" dxfId="2781" priority="2760"/>
    <cfRule type="duplicateValues" dxfId="2780" priority="2761"/>
  </conditionalFormatting>
  <conditionalFormatting sqref="B87">
    <cfRule type="duplicateValues" dxfId="2779" priority="2720"/>
    <cfRule type="duplicateValues" dxfId="2778" priority="2721"/>
    <cfRule type="duplicateValues" dxfId="2777" priority="2722"/>
    <cfRule type="duplicateValues" dxfId="2776" priority="2723"/>
    <cfRule type="duplicateValues" dxfId="2775" priority="2724"/>
    <cfRule type="duplicateValues" dxfId="2774" priority="2725"/>
  </conditionalFormatting>
  <conditionalFormatting sqref="B90">
    <cfRule type="duplicateValues" dxfId="2773" priority="2714"/>
    <cfRule type="duplicateValues" dxfId="2772" priority="2715"/>
    <cfRule type="duplicateValues" dxfId="2771" priority="2716"/>
    <cfRule type="duplicateValues" dxfId="2770" priority="2717"/>
    <cfRule type="duplicateValues" dxfId="2769" priority="2718"/>
    <cfRule type="duplicateValues" dxfId="2768" priority="2719"/>
  </conditionalFormatting>
  <conditionalFormatting sqref="B91">
    <cfRule type="duplicateValues" dxfId="2767" priority="2750"/>
    <cfRule type="duplicateValues" dxfId="2766" priority="2751"/>
    <cfRule type="duplicateValues" dxfId="2765" priority="2752"/>
    <cfRule type="duplicateValues" dxfId="2764" priority="2753"/>
    <cfRule type="duplicateValues" dxfId="2763" priority="2754"/>
    <cfRule type="duplicateValues" dxfId="2762" priority="2755"/>
  </conditionalFormatting>
  <conditionalFormatting sqref="B170">
    <cfRule type="duplicateValues" dxfId="2761" priority="6896"/>
    <cfRule type="duplicateValues" dxfId="2760" priority="6897"/>
    <cfRule type="duplicateValues" dxfId="2759" priority="6898"/>
    <cfRule type="duplicateValues" dxfId="2758" priority="6899"/>
  </conditionalFormatting>
  <conditionalFormatting sqref="B218">
    <cfRule type="duplicateValues" dxfId="2757" priority="298"/>
    <cfRule type="duplicateValues" dxfId="2756" priority="299"/>
    <cfRule type="duplicateValues" dxfId="2755" priority="300"/>
    <cfRule type="duplicateValues" dxfId="2754" priority="301"/>
    <cfRule type="duplicateValues" dxfId="2753" priority="302"/>
    <cfRule type="duplicateValues" dxfId="2752" priority="303"/>
  </conditionalFormatting>
  <conditionalFormatting sqref="B219">
    <cfRule type="duplicateValues" dxfId="2751" priority="625"/>
    <cfRule type="duplicateValues" dxfId="2750" priority="626"/>
    <cfRule type="duplicateValues" dxfId="2749" priority="627"/>
    <cfRule type="duplicateValues" dxfId="2748" priority="628"/>
    <cfRule type="duplicateValues" dxfId="2747" priority="629"/>
    <cfRule type="duplicateValues" dxfId="2746" priority="630"/>
    <cfRule type="duplicateValues" dxfId="2745" priority="631"/>
    <cfRule type="duplicateValues" dxfId="2744" priority="632"/>
  </conditionalFormatting>
  <conditionalFormatting sqref="B220">
    <cfRule type="duplicateValues" dxfId="2743" priority="617"/>
    <cfRule type="duplicateValues" dxfId="2742" priority="618"/>
    <cfRule type="duplicateValues" dxfId="2741" priority="619"/>
    <cfRule type="duplicateValues" dxfId="2740" priority="620"/>
    <cfRule type="duplicateValues" dxfId="2739" priority="621"/>
    <cfRule type="duplicateValues" dxfId="2738" priority="622"/>
    <cfRule type="duplicateValues" dxfId="2737" priority="623"/>
    <cfRule type="duplicateValues" dxfId="2736" priority="624"/>
  </conditionalFormatting>
  <conditionalFormatting sqref="B268">
    <cfRule type="duplicateValues" dxfId="2735" priority="1319"/>
    <cfRule type="duplicateValues" dxfId="2734" priority="1320"/>
    <cfRule type="duplicateValues" dxfId="2733" priority="1321"/>
    <cfRule type="duplicateValues" dxfId="2732" priority="1322"/>
    <cfRule type="duplicateValues" dxfId="2731" priority="1323"/>
    <cfRule type="duplicateValues" dxfId="2730" priority="1324"/>
    <cfRule type="duplicateValues" dxfId="2729" priority="1325"/>
    <cfRule type="duplicateValues" dxfId="2728" priority="1326"/>
  </conditionalFormatting>
  <conditionalFormatting sqref="B271">
    <cfRule type="duplicateValues" dxfId="2727" priority="486"/>
    <cfRule type="duplicateValues" dxfId="2726" priority="487"/>
    <cfRule type="duplicateValues" dxfId="2725" priority="488"/>
    <cfRule type="duplicateValues" dxfId="2724" priority="489"/>
    <cfRule type="duplicateValues" dxfId="2723" priority="490"/>
    <cfRule type="duplicateValues" dxfId="2722" priority="491"/>
  </conditionalFormatting>
  <conditionalFormatting sqref="B289">
    <cfRule type="duplicateValues" dxfId="2721" priority="480"/>
    <cfRule type="duplicateValues" dxfId="2720" priority="481"/>
    <cfRule type="duplicateValues" dxfId="2719" priority="482"/>
    <cfRule type="duplicateValues" dxfId="2718" priority="483"/>
    <cfRule type="duplicateValues" dxfId="2717" priority="484"/>
    <cfRule type="duplicateValues" dxfId="2716" priority="485"/>
  </conditionalFormatting>
  <conditionalFormatting sqref="B307">
    <cfRule type="duplicateValues" dxfId="2715" priority="80160"/>
    <cfRule type="duplicateValues" dxfId="2714" priority="80161"/>
    <cfRule type="duplicateValues" dxfId="2713" priority="80162"/>
    <cfRule type="duplicateValues" dxfId="2712" priority="80163"/>
  </conditionalFormatting>
  <conditionalFormatting sqref="B311">
    <cfRule type="duplicateValues" dxfId="2711" priority="5226"/>
    <cfRule type="duplicateValues" dxfId="2710" priority="5227"/>
    <cfRule type="duplicateValues" dxfId="2709" priority="5228"/>
    <cfRule type="duplicateValues" dxfId="2708" priority="5229"/>
    <cfRule type="duplicateValues" dxfId="2707" priority="5230"/>
    <cfRule type="duplicateValues" dxfId="2706" priority="5231"/>
  </conditionalFormatting>
  <conditionalFormatting sqref="B341">
    <cfRule type="duplicateValues" dxfId="2705" priority="474"/>
    <cfRule type="duplicateValues" dxfId="2704" priority="475"/>
    <cfRule type="duplicateValues" dxfId="2703" priority="476"/>
    <cfRule type="duplicateValues" dxfId="2702" priority="477"/>
    <cfRule type="duplicateValues" dxfId="2701" priority="478"/>
    <cfRule type="duplicateValues" dxfId="2700" priority="479"/>
  </conditionalFormatting>
  <conditionalFormatting sqref="B343">
    <cfRule type="duplicateValues" dxfId="2699" priority="468"/>
    <cfRule type="duplicateValues" dxfId="2698" priority="469"/>
    <cfRule type="duplicateValues" dxfId="2697" priority="470"/>
    <cfRule type="duplicateValues" dxfId="2696" priority="471"/>
    <cfRule type="duplicateValues" dxfId="2695" priority="472"/>
    <cfRule type="duplicateValues" dxfId="2694" priority="473"/>
  </conditionalFormatting>
  <conditionalFormatting sqref="B345">
    <cfRule type="duplicateValues" dxfId="2693" priority="1844"/>
    <cfRule type="duplicateValues" dxfId="2692" priority="1845"/>
    <cfRule type="duplicateValues" dxfId="2691" priority="1846"/>
    <cfRule type="duplicateValues" dxfId="2690" priority="1847"/>
    <cfRule type="duplicateValues" dxfId="2689" priority="1848"/>
    <cfRule type="duplicateValues" dxfId="2688" priority="1849"/>
    <cfRule type="duplicateValues" dxfId="2687" priority="1850"/>
    <cfRule type="duplicateValues" dxfId="2686" priority="1851"/>
  </conditionalFormatting>
  <conditionalFormatting sqref="B396">
    <cfRule type="duplicateValues" dxfId="2685" priority="1158"/>
    <cfRule type="duplicateValues" dxfId="2684" priority="1159"/>
    <cfRule type="duplicateValues" dxfId="2683" priority="1160"/>
    <cfRule type="duplicateValues" dxfId="2682" priority="1161"/>
    <cfRule type="duplicateValues" dxfId="2681" priority="1162"/>
    <cfRule type="duplicateValues" dxfId="2680" priority="1163"/>
    <cfRule type="duplicateValues" dxfId="2679" priority="1164"/>
    <cfRule type="duplicateValues" dxfId="2678" priority="1165"/>
  </conditionalFormatting>
  <conditionalFormatting sqref="B425">
    <cfRule type="duplicateValues" dxfId="2677" priority="609"/>
    <cfRule type="duplicateValues" dxfId="2676" priority="610"/>
    <cfRule type="duplicateValues" dxfId="2675" priority="611"/>
    <cfRule type="duplicateValues" dxfId="2674" priority="612"/>
    <cfRule type="duplicateValues" dxfId="2673" priority="613"/>
    <cfRule type="duplicateValues" dxfId="2672" priority="614"/>
    <cfRule type="duplicateValues" dxfId="2671" priority="615"/>
    <cfRule type="duplicateValues" dxfId="2670" priority="616"/>
  </conditionalFormatting>
  <conditionalFormatting sqref="B441">
    <cfRule type="duplicateValues" dxfId="2669" priority="1519"/>
    <cfRule type="duplicateValues" dxfId="2668" priority="1520"/>
    <cfRule type="duplicateValues" dxfId="2667" priority="1521"/>
    <cfRule type="duplicateValues" dxfId="2666" priority="1522"/>
    <cfRule type="duplicateValues" dxfId="2665" priority="1523"/>
    <cfRule type="duplicateValues" dxfId="2664" priority="1524"/>
    <cfRule type="duplicateValues" dxfId="2663" priority="1525"/>
    <cfRule type="duplicateValues" dxfId="2662" priority="1526"/>
  </conditionalFormatting>
  <conditionalFormatting sqref="B443">
    <cfRule type="duplicateValues" dxfId="2661" priority="462"/>
    <cfRule type="duplicateValues" dxfId="2660" priority="463"/>
    <cfRule type="duplicateValues" dxfId="2659" priority="464"/>
    <cfRule type="duplicateValues" dxfId="2658" priority="465"/>
    <cfRule type="duplicateValues" dxfId="2657" priority="466"/>
    <cfRule type="duplicateValues" dxfId="2656" priority="467"/>
  </conditionalFormatting>
  <conditionalFormatting sqref="B444">
    <cfRule type="duplicateValues" dxfId="2655" priority="456"/>
    <cfRule type="duplicateValues" dxfId="2654" priority="457"/>
    <cfRule type="duplicateValues" dxfId="2653" priority="458"/>
    <cfRule type="duplicateValues" dxfId="2652" priority="459"/>
    <cfRule type="duplicateValues" dxfId="2651" priority="460"/>
    <cfRule type="duplicateValues" dxfId="2650" priority="461"/>
  </conditionalFormatting>
  <conditionalFormatting sqref="B445">
    <cfRule type="duplicateValues" dxfId="2649" priority="3821"/>
    <cfRule type="duplicateValues" dxfId="2648" priority="3822"/>
    <cfRule type="duplicateValues" dxfId="2647" priority="3823"/>
    <cfRule type="duplicateValues" dxfId="2646" priority="3824"/>
    <cfRule type="duplicateValues" dxfId="2645" priority="3825"/>
    <cfRule type="duplicateValues" dxfId="2644" priority="3826"/>
  </conditionalFormatting>
  <conditionalFormatting sqref="B456">
    <cfRule type="duplicateValues" dxfId="2643" priority="6660"/>
    <cfRule type="duplicateValues" dxfId="2642" priority="6661"/>
    <cfRule type="duplicateValues" dxfId="2641" priority="6662"/>
    <cfRule type="duplicateValues" dxfId="2640" priority="6663"/>
  </conditionalFormatting>
  <conditionalFormatting sqref="B461">
    <cfRule type="duplicateValues" dxfId="2639" priority="1232"/>
    <cfRule type="duplicateValues" dxfId="2638" priority="1233"/>
    <cfRule type="duplicateValues" dxfId="2637" priority="1234"/>
    <cfRule type="duplicateValues" dxfId="2636" priority="1235"/>
    <cfRule type="duplicateValues" dxfId="2635" priority="1236"/>
    <cfRule type="duplicateValues" dxfId="2634" priority="1237"/>
    <cfRule type="duplicateValues" dxfId="2633" priority="1238"/>
    <cfRule type="duplicateValues" dxfId="2632" priority="1239"/>
  </conditionalFormatting>
  <conditionalFormatting sqref="B469">
    <cfRule type="duplicateValues" dxfId="2631" priority="6197"/>
    <cfRule type="duplicateValues" dxfId="2630" priority="6198"/>
    <cfRule type="duplicateValues" dxfId="2629" priority="6199"/>
    <cfRule type="duplicateValues" dxfId="2628" priority="6200"/>
  </conditionalFormatting>
  <conditionalFormatting sqref="B477">
    <cfRule type="duplicateValues" dxfId="2627" priority="7226"/>
    <cfRule type="duplicateValues" dxfId="2626" priority="7227"/>
    <cfRule type="duplicateValues" dxfId="2625" priority="7228"/>
  </conditionalFormatting>
  <conditionalFormatting sqref="B529">
    <cfRule type="duplicateValues" dxfId="2624" priority="1096"/>
    <cfRule type="duplicateValues" dxfId="2623" priority="1097"/>
    <cfRule type="duplicateValues" dxfId="2622" priority="1098"/>
    <cfRule type="expression" dxfId="2621" priority="1099">
      <formula>$H529="PROX. VENCIMENTO (2 MESES)"</formula>
    </cfRule>
    <cfRule type="expression" dxfId="2620" priority="1100">
      <formula>$H529="CALIBRAÇÃO VENCIDA"</formula>
    </cfRule>
    <cfRule type="expression" dxfId="2619" priority="1101">
      <formula>$H529="PROX. VENCIMENTO"</formula>
    </cfRule>
    <cfRule type="expression" dxfId="2618" priority="1102">
      <formula>$H529="CALIBRADO"</formula>
    </cfRule>
    <cfRule type="expression" dxfId="2617" priority="1103">
      <formula>$H529="DANIFICADO"</formula>
    </cfRule>
    <cfRule type="expression" dxfId="2616" priority="1104">
      <formula>$H529="VENCIDO"</formula>
    </cfRule>
    <cfRule type="expression" dxfId="2615" priority="1105">
      <formula>$H529="NO PRAZO"</formula>
    </cfRule>
    <cfRule type="expression" dxfId="2614" priority="1106">
      <formula>$H529="CALIBRAR"</formula>
    </cfRule>
    <cfRule type="expression" dxfId="2613" priority="1107">
      <formula>$H529="SEM CALIBRAÇÃO"</formula>
    </cfRule>
    <cfRule type="duplicateValues" dxfId="2612" priority="1108"/>
    <cfRule type="duplicateValues" dxfId="2611" priority="1109"/>
    <cfRule type="duplicateValues" dxfId="2610" priority="1110"/>
    <cfRule type="duplicateValues" dxfId="2609" priority="1111"/>
    <cfRule type="duplicateValues" dxfId="2608" priority="1112"/>
  </conditionalFormatting>
  <conditionalFormatting sqref="B530">
    <cfRule type="duplicateValues" dxfId="2607" priority="1079"/>
    <cfRule type="duplicateValues" dxfId="2606" priority="1080"/>
    <cfRule type="duplicateValues" dxfId="2605" priority="1081"/>
    <cfRule type="expression" dxfId="2604" priority="1082">
      <formula>$H530="PROX. VENCIMENTO (2 MESES)"</formula>
    </cfRule>
    <cfRule type="expression" dxfId="2603" priority="1083">
      <formula>$H530="CALIBRAÇÃO VENCIDA"</formula>
    </cfRule>
    <cfRule type="expression" dxfId="2602" priority="1084">
      <formula>$H530="PROX. VENCIMENTO"</formula>
    </cfRule>
    <cfRule type="expression" dxfId="2601" priority="1085">
      <formula>$H530="CALIBRADO"</formula>
    </cfRule>
    <cfRule type="expression" dxfId="2600" priority="1086">
      <formula>$H530="DANIFICADO"</formula>
    </cfRule>
    <cfRule type="expression" dxfId="2599" priority="1087">
      <formula>$H530="VENCIDO"</formula>
    </cfRule>
    <cfRule type="expression" dxfId="2598" priority="1088">
      <formula>$H530="NO PRAZO"</formula>
    </cfRule>
    <cfRule type="expression" dxfId="2597" priority="1089">
      <formula>$H530="CALIBRAR"</formula>
    </cfRule>
    <cfRule type="expression" dxfId="2596" priority="1090">
      <formula>$H530="SEM CALIBRAÇÃO"</formula>
    </cfRule>
    <cfRule type="duplicateValues" dxfId="2595" priority="1091"/>
    <cfRule type="duplicateValues" dxfId="2594" priority="1092"/>
    <cfRule type="duplicateValues" dxfId="2593" priority="1093"/>
    <cfRule type="duplicateValues" dxfId="2592" priority="1094"/>
    <cfRule type="duplicateValues" dxfId="2591" priority="1095"/>
  </conditionalFormatting>
  <conditionalFormatting sqref="B532">
    <cfRule type="duplicateValues" dxfId="2590" priority="1062"/>
    <cfRule type="duplicateValues" dxfId="2589" priority="1063"/>
    <cfRule type="duplicateValues" dxfId="2588" priority="1064"/>
    <cfRule type="expression" dxfId="2587" priority="1065">
      <formula>$H532="PROX. VENCIMENTO (2 MESES)"</formula>
    </cfRule>
    <cfRule type="expression" dxfId="2586" priority="1066">
      <formula>$H532="CALIBRAÇÃO VENCIDA"</formula>
    </cfRule>
    <cfRule type="expression" dxfId="2585" priority="1067">
      <formula>$H532="PROX. VENCIMENTO"</formula>
    </cfRule>
    <cfRule type="expression" dxfId="2584" priority="1068">
      <formula>$H532="CALIBRADO"</formula>
    </cfRule>
    <cfRule type="expression" dxfId="2583" priority="1069">
      <formula>$H532="DANIFICADO"</formula>
    </cfRule>
    <cfRule type="expression" dxfId="2582" priority="1070">
      <formula>$H532="VENCIDO"</formula>
    </cfRule>
    <cfRule type="expression" dxfId="2581" priority="1071">
      <formula>$H532="NO PRAZO"</formula>
    </cfRule>
    <cfRule type="expression" dxfId="2580" priority="1072">
      <formula>$H532="CALIBRAR"</formula>
    </cfRule>
    <cfRule type="expression" dxfId="2579" priority="1073">
      <formula>$H532="SEM CALIBRAÇÃO"</formula>
    </cfRule>
    <cfRule type="duplicateValues" dxfId="2578" priority="1074"/>
    <cfRule type="duplicateValues" dxfId="2577" priority="1075"/>
    <cfRule type="duplicateValues" dxfId="2576" priority="1076"/>
    <cfRule type="duplicateValues" dxfId="2575" priority="1077"/>
    <cfRule type="duplicateValues" dxfId="2574" priority="1078"/>
  </conditionalFormatting>
  <conditionalFormatting sqref="B547">
    <cfRule type="duplicateValues" dxfId="2573" priority="452"/>
    <cfRule type="duplicateValues" dxfId="2572" priority="453"/>
    <cfRule type="duplicateValues" dxfId="2571" priority="454"/>
    <cfRule type="duplicateValues" dxfId="2570" priority="455"/>
  </conditionalFormatting>
  <conditionalFormatting sqref="B549">
    <cfRule type="duplicateValues" dxfId="2569" priority="448"/>
    <cfRule type="duplicateValues" dxfId="2568" priority="449"/>
    <cfRule type="duplicateValues" dxfId="2567" priority="450"/>
    <cfRule type="duplicateValues" dxfId="2566" priority="451"/>
  </conditionalFormatting>
  <conditionalFormatting sqref="B550">
    <cfRule type="duplicateValues" dxfId="2565" priority="432"/>
    <cfRule type="duplicateValues" dxfId="2564" priority="433"/>
    <cfRule type="duplicateValues" dxfId="2563" priority="434"/>
    <cfRule type="duplicateValues" dxfId="2562" priority="435"/>
    <cfRule type="duplicateValues" dxfId="2561" priority="436"/>
    <cfRule type="duplicateValues" dxfId="2560" priority="437"/>
    <cfRule type="duplicateValues" dxfId="2559" priority="438"/>
    <cfRule type="expression" dxfId="2558" priority="439">
      <formula>$H550="CALIBRAÇÃO VENCIDA"</formula>
    </cfRule>
    <cfRule type="expression" dxfId="2557" priority="440">
      <formula>$H550="PROX. VENCIMENTO"</formula>
    </cfRule>
    <cfRule type="expression" dxfId="2556" priority="441">
      <formula>$H550="CALIBRADO"</formula>
    </cfRule>
    <cfRule type="expression" dxfId="2555" priority="442">
      <formula>$H550="PROX. VENCIMENTO (2 MESES)"</formula>
    </cfRule>
    <cfRule type="expression" dxfId="2554" priority="443">
      <formula>$H550="DANIFICADO"</formula>
    </cfRule>
    <cfRule type="expression" dxfId="2553" priority="444">
      <formula>$H550="VENCIDO"</formula>
    </cfRule>
    <cfRule type="expression" dxfId="2552" priority="445">
      <formula>$H550="NO PRAZO"</formula>
    </cfRule>
    <cfRule type="expression" dxfId="2551" priority="446">
      <formula>$H550="CALIBRAR"</formula>
    </cfRule>
    <cfRule type="expression" dxfId="2550" priority="447">
      <formula>$H550="SEM CALIBRAÇÃO"</formula>
    </cfRule>
  </conditionalFormatting>
  <conditionalFormatting sqref="B551">
    <cfRule type="duplicateValues" dxfId="2549" priority="416"/>
    <cfRule type="duplicateValues" dxfId="2548" priority="417"/>
    <cfRule type="duplicateValues" dxfId="2547" priority="418"/>
    <cfRule type="duplicateValues" dxfId="2546" priority="419"/>
    <cfRule type="duplicateValues" dxfId="2545" priority="420"/>
    <cfRule type="duplicateValues" dxfId="2544" priority="421"/>
    <cfRule type="duplicateValues" dxfId="2543" priority="422"/>
    <cfRule type="expression" dxfId="2542" priority="423">
      <formula>$H551="CALIBRAÇÃO VENCIDA"</formula>
    </cfRule>
    <cfRule type="expression" dxfId="2541" priority="424">
      <formula>$H551="PROX. VENCIMENTO"</formula>
    </cfRule>
    <cfRule type="expression" dxfId="2540" priority="425">
      <formula>$H551="CALIBRADO"</formula>
    </cfRule>
    <cfRule type="expression" dxfId="2539" priority="426">
      <formula>$H551="PROX. VENCIMENTO (2 MESES)"</formula>
    </cfRule>
    <cfRule type="expression" dxfId="2538" priority="427">
      <formula>$H551="DANIFICADO"</formula>
    </cfRule>
    <cfRule type="expression" dxfId="2537" priority="428">
      <formula>$H551="VENCIDO"</formula>
    </cfRule>
    <cfRule type="expression" dxfId="2536" priority="429">
      <formula>$H551="NO PRAZO"</formula>
    </cfRule>
    <cfRule type="expression" dxfId="2535" priority="430">
      <formula>$H551="CALIBRAR"</formula>
    </cfRule>
    <cfRule type="expression" dxfId="2534" priority="431">
      <formula>$H551="SEM CALIBRAÇÃO"</formula>
    </cfRule>
  </conditionalFormatting>
  <conditionalFormatting sqref="B589">
    <cfRule type="duplicateValues" dxfId="2533" priority="408"/>
    <cfRule type="duplicateValues" dxfId="2532" priority="409"/>
    <cfRule type="duplicateValues" dxfId="2531" priority="410"/>
    <cfRule type="duplicateValues" dxfId="2530" priority="411"/>
    <cfRule type="duplicateValues" dxfId="2529" priority="412"/>
    <cfRule type="duplicateValues" dxfId="2528" priority="413"/>
    <cfRule type="duplicateValues" dxfId="2527" priority="414"/>
    <cfRule type="duplicateValues" dxfId="2526" priority="415"/>
  </conditionalFormatting>
  <conditionalFormatting sqref="B591">
    <cfRule type="duplicateValues" dxfId="2525" priority="564"/>
    <cfRule type="duplicateValues" dxfId="2524" priority="565"/>
    <cfRule type="duplicateValues" dxfId="2523" priority="566"/>
    <cfRule type="expression" dxfId="2522" priority="567">
      <formula>$H591="CALIBRAÇÃO VENCIDA"</formula>
    </cfRule>
    <cfRule type="expression" dxfId="2521" priority="568">
      <formula>$H591="PROX. VENCIMENTO"</formula>
    </cfRule>
    <cfRule type="expression" dxfId="2520" priority="569">
      <formula>$H591="CALIBRADO"</formula>
    </cfRule>
    <cfRule type="expression" dxfId="2519" priority="570">
      <formula>$H591="DANIFICADO"</formula>
    </cfRule>
    <cfRule type="expression" dxfId="2518" priority="571">
      <formula>$H591="VENCIDO"</formula>
    </cfRule>
    <cfRule type="expression" dxfId="2517" priority="572">
      <formula>$H591="NO PRAZO"</formula>
    </cfRule>
    <cfRule type="expression" dxfId="2516" priority="573">
      <formula>$H591="CALIBRAR"</formula>
    </cfRule>
    <cfRule type="expression" dxfId="2515" priority="574">
      <formula>$H591="SEM CALIBRAÇÃO"</formula>
    </cfRule>
    <cfRule type="expression" dxfId="2514" priority="575">
      <formula>$H591="PROX. VENCIMENTO (2 MESES)"</formula>
    </cfRule>
  </conditionalFormatting>
  <conditionalFormatting sqref="B592">
    <cfRule type="duplicateValues" dxfId="2513" priority="396"/>
    <cfRule type="duplicateValues" dxfId="2512" priority="397"/>
    <cfRule type="duplicateValues" dxfId="2511" priority="398"/>
    <cfRule type="expression" dxfId="2510" priority="399">
      <formula>$H592="CALIBRAÇÃO VENCIDA"</formula>
    </cfRule>
    <cfRule type="expression" dxfId="2509" priority="400">
      <formula>$H592="PROX. VENCIMENTO"</formula>
    </cfRule>
    <cfRule type="expression" dxfId="2508" priority="401">
      <formula>$H592="CALIBRADO"</formula>
    </cfRule>
    <cfRule type="expression" dxfId="2507" priority="402">
      <formula>$H592="DANIFICADO"</formula>
    </cfRule>
    <cfRule type="expression" dxfId="2506" priority="403">
      <formula>$H592="VENCIDO"</formula>
    </cfRule>
    <cfRule type="expression" dxfId="2505" priority="404">
      <formula>$H592="NO PRAZO"</formula>
    </cfRule>
    <cfRule type="expression" dxfId="2504" priority="405">
      <formula>$H592="CALIBRAR"</formula>
    </cfRule>
    <cfRule type="expression" dxfId="2503" priority="406">
      <formula>$H592="SEM CALIBRAÇÃO"</formula>
    </cfRule>
    <cfRule type="expression" dxfId="2502" priority="407">
      <formula>$H592="PROX. VENCIMENTO (2 MESES)"</formula>
    </cfRule>
  </conditionalFormatting>
  <conditionalFormatting sqref="B593">
    <cfRule type="duplicateValues" dxfId="2501" priority="384"/>
    <cfRule type="duplicateValues" dxfId="2500" priority="385"/>
    <cfRule type="duplicateValues" dxfId="2499" priority="386"/>
    <cfRule type="expression" dxfId="2498" priority="387">
      <formula>$H593="CALIBRAÇÃO VENCIDA"</formula>
    </cfRule>
    <cfRule type="expression" dxfId="2497" priority="388">
      <formula>$H593="PROX. VENCIMENTO"</formula>
    </cfRule>
    <cfRule type="expression" dxfId="2496" priority="389">
      <formula>$H593="CALIBRADO"</formula>
    </cfRule>
    <cfRule type="expression" dxfId="2495" priority="390">
      <formula>$H593="DANIFICADO"</formula>
    </cfRule>
    <cfRule type="expression" dxfId="2494" priority="391">
      <formula>$H593="VENCIDO"</formula>
    </cfRule>
    <cfRule type="expression" dxfId="2493" priority="392">
      <formula>$H593="NO PRAZO"</formula>
    </cfRule>
    <cfRule type="expression" dxfId="2492" priority="393">
      <formula>$H593="CALIBRAR"</formula>
    </cfRule>
    <cfRule type="expression" dxfId="2491" priority="394">
      <formula>$H593="SEM CALIBRAÇÃO"</formula>
    </cfRule>
    <cfRule type="expression" dxfId="2490" priority="395">
      <formula>$H593="PROX. VENCIMENTO (2 MESES)"</formula>
    </cfRule>
  </conditionalFormatting>
  <conditionalFormatting sqref="B594">
    <cfRule type="duplicateValues" dxfId="2489" priority="552"/>
    <cfRule type="duplicateValues" dxfId="2488" priority="553"/>
    <cfRule type="duplicateValues" dxfId="2487" priority="554"/>
    <cfRule type="expression" dxfId="2486" priority="555">
      <formula>$H594="CALIBRAÇÃO VENCIDA"</formula>
    </cfRule>
    <cfRule type="expression" dxfId="2485" priority="556">
      <formula>$H594="PROX. VENCIMENTO"</formula>
    </cfRule>
    <cfRule type="expression" dxfId="2484" priority="557">
      <formula>$H594="CALIBRADO"</formula>
    </cfRule>
    <cfRule type="expression" dxfId="2483" priority="558">
      <formula>$H594="DANIFICADO"</formula>
    </cfRule>
    <cfRule type="expression" dxfId="2482" priority="559">
      <formula>$H594="VENCIDO"</formula>
    </cfRule>
    <cfRule type="expression" dxfId="2481" priority="560">
      <formula>$H594="NO PRAZO"</formula>
    </cfRule>
    <cfRule type="expression" dxfId="2480" priority="561">
      <formula>$H594="CALIBRAR"</formula>
    </cfRule>
    <cfRule type="expression" dxfId="2479" priority="562">
      <formula>$H594="SEM CALIBRAÇÃO"</formula>
    </cfRule>
    <cfRule type="expression" dxfId="2478" priority="563">
      <formula>$H594="PROX. VENCIMENTO (2 MESES)"</formula>
    </cfRule>
  </conditionalFormatting>
  <conditionalFormatting sqref="B595">
    <cfRule type="duplicateValues" dxfId="2477" priority="372"/>
    <cfRule type="duplicateValues" dxfId="2476" priority="373"/>
    <cfRule type="duplicateValues" dxfId="2475" priority="374"/>
    <cfRule type="expression" dxfId="2474" priority="375">
      <formula>$H595="CALIBRAÇÃO VENCIDA"</formula>
    </cfRule>
    <cfRule type="expression" dxfId="2473" priority="376">
      <formula>$H595="PROX. VENCIMENTO"</formula>
    </cfRule>
    <cfRule type="expression" dxfId="2472" priority="377">
      <formula>$H595="CALIBRADO"</formula>
    </cfRule>
    <cfRule type="expression" dxfId="2471" priority="378">
      <formula>$H595="DANIFICADO"</formula>
    </cfRule>
    <cfRule type="expression" dxfId="2470" priority="379">
      <formula>$H595="VENCIDO"</formula>
    </cfRule>
    <cfRule type="expression" dxfId="2469" priority="380">
      <formula>$H595="NO PRAZO"</formula>
    </cfRule>
    <cfRule type="expression" dxfId="2468" priority="381">
      <formula>$H595="CALIBRAR"</formula>
    </cfRule>
    <cfRule type="expression" dxfId="2467" priority="382">
      <formula>$H595="SEM CALIBRAÇÃO"</formula>
    </cfRule>
    <cfRule type="expression" dxfId="2466" priority="383">
      <formula>$H595="PROX. VENCIMENTO (2 MESES)"</formula>
    </cfRule>
  </conditionalFormatting>
  <conditionalFormatting sqref="B596">
    <cfRule type="duplicateValues" dxfId="2465" priority="540"/>
    <cfRule type="duplicateValues" dxfId="2464" priority="541"/>
    <cfRule type="duplicateValues" dxfId="2463" priority="542"/>
    <cfRule type="expression" dxfId="2462" priority="543">
      <formula>$H596="CALIBRAÇÃO VENCIDA"</formula>
    </cfRule>
    <cfRule type="expression" dxfId="2461" priority="544">
      <formula>$H596="PROX. VENCIMENTO"</formula>
    </cfRule>
    <cfRule type="expression" dxfId="2460" priority="545">
      <formula>$H596="CALIBRADO"</formula>
    </cfRule>
    <cfRule type="expression" dxfId="2459" priority="546">
      <formula>$H596="DANIFICADO"</formula>
    </cfRule>
    <cfRule type="expression" dxfId="2458" priority="547">
      <formula>$H596="VENCIDO"</formula>
    </cfRule>
    <cfRule type="expression" dxfId="2457" priority="548">
      <formula>$H596="NO PRAZO"</formula>
    </cfRule>
    <cfRule type="expression" dxfId="2456" priority="549">
      <formula>$H596="CALIBRAR"</formula>
    </cfRule>
    <cfRule type="expression" dxfId="2455" priority="550">
      <formula>$H596="SEM CALIBRAÇÃO"</formula>
    </cfRule>
    <cfRule type="expression" dxfId="2454" priority="551">
      <formula>$H596="PROX. VENCIMENTO (2 MESES)"</formula>
    </cfRule>
  </conditionalFormatting>
  <conditionalFormatting sqref="B597">
    <cfRule type="duplicateValues" dxfId="2453" priority="528"/>
    <cfRule type="duplicateValues" dxfId="2452" priority="529"/>
    <cfRule type="duplicateValues" dxfId="2451" priority="530"/>
    <cfRule type="expression" dxfId="2450" priority="531">
      <formula>$H597="PROX. VENCIMENTO (2 MESES)"</formula>
    </cfRule>
    <cfRule type="expression" dxfId="2449" priority="532">
      <formula>$H597="CALIBRAÇÃO VENCIDA"</formula>
    </cfRule>
    <cfRule type="expression" dxfId="2448" priority="533">
      <formula>$H597="PROX. VENCIMENTO"</formula>
    </cfRule>
    <cfRule type="expression" dxfId="2447" priority="534">
      <formula>$H597="CALIBRADO"</formula>
    </cfRule>
    <cfRule type="expression" dxfId="2446" priority="535">
      <formula>$H597="DANIFICADO"</formula>
    </cfRule>
    <cfRule type="expression" dxfId="2445" priority="536">
      <formula>$H597="VENCIDO"</formula>
    </cfRule>
    <cfRule type="expression" dxfId="2444" priority="537">
      <formula>$H597="NO PRAZO"</formula>
    </cfRule>
    <cfRule type="expression" dxfId="2443" priority="538">
      <formula>$H597="CALIBRAR"</formula>
    </cfRule>
    <cfRule type="expression" dxfId="2442" priority="539">
      <formula>$H597="SEM CALIBRAÇÃO"</formula>
    </cfRule>
  </conditionalFormatting>
  <conditionalFormatting sqref="B598">
    <cfRule type="duplicateValues" dxfId="2441" priority="516"/>
    <cfRule type="duplicateValues" dxfId="2440" priority="517"/>
    <cfRule type="duplicateValues" dxfId="2439" priority="518"/>
    <cfRule type="expression" dxfId="2438" priority="519">
      <formula>$H598="PROX. VENCIMENTO (2 MESES)"</formula>
    </cfRule>
    <cfRule type="expression" dxfId="2437" priority="520">
      <formula>$H598="CALIBRAÇÃO VENCIDA"</formula>
    </cfRule>
    <cfRule type="expression" dxfId="2436" priority="521">
      <formula>$H598="PROX. VENCIMENTO"</formula>
    </cfRule>
    <cfRule type="expression" dxfId="2435" priority="522">
      <formula>$H598="CALIBRADO"</formula>
    </cfRule>
    <cfRule type="expression" dxfId="2434" priority="523">
      <formula>$H598="DANIFICADO"</formula>
    </cfRule>
    <cfRule type="expression" dxfId="2433" priority="524">
      <formula>$H598="VENCIDO"</formula>
    </cfRule>
    <cfRule type="expression" dxfId="2432" priority="525">
      <formula>$H598="NO PRAZO"</formula>
    </cfRule>
    <cfRule type="expression" dxfId="2431" priority="526">
      <formula>$H598="CALIBRAR"</formula>
    </cfRule>
    <cfRule type="expression" dxfId="2430" priority="527">
      <formula>$H598="SEM CALIBRAÇÃO"</formula>
    </cfRule>
  </conditionalFormatting>
  <conditionalFormatting sqref="B599">
    <cfRule type="duplicateValues" dxfId="2429" priority="504"/>
    <cfRule type="duplicateValues" dxfId="2428" priority="505"/>
    <cfRule type="duplicateValues" dxfId="2427" priority="506"/>
    <cfRule type="expression" dxfId="2426" priority="507">
      <formula>$H599="PROX. VENCIMENTO (2 MESES)"</formula>
    </cfRule>
    <cfRule type="expression" dxfId="2425" priority="508">
      <formula>$H599="CALIBRAÇÃO VENCIDA"</formula>
    </cfRule>
    <cfRule type="expression" dxfId="2424" priority="509">
      <formula>$H599="PROX. VENCIMENTO"</formula>
    </cfRule>
    <cfRule type="expression" dxfId="2423" priority="510">
      <formula>$H599="CALIBRADO"</formula>
    </cfRule>
    <cfRule type="expression" dxfId="2422" priority="511">
      <formula>$H599="DANIFICADO"</formula>
    </cfRule>
    <cfRule type="expression" dxfId="2421" priority="512">
      <formula>$H599="VENCIDO"</formula>
    </cfRule>
    <cfRule type="expression" dxfId="2420" priority="513">
      <formula>$H599="NO PRAZO"</formula>
    </cfRule>
    <cfRule type="expression" dxfId="2419" priority="514">
      <formula>$H599="CALIBRAR"</formula>
    </cfRule>
    <cfRule type="expression" dxfId="2418" priority="515">
      <formula>$H599="SEM CALIBRAÇÃO"</formula>
    </cfRule>
  </conditionalFormatting>
  <conditionalFormatting sqref="B600">
    <cfRule type="duplicateValues" dxfId="2417" priority="492"/>
    <cfRule type="duplicateValues" dxfId="2416" priority="493"/>
    <cfRule type="duplicateValues" dxfId="2415" priority="494"/>
    <cfRule type="expression" dxfId="2414" priority="495">
      <formula>$H600="CALIBRAÇÃO VENCIDA"</formula>
    </cfRule>
    <cfRule type="expression" dxfId="2413" priority="496">
      <formula>$H600="PROX. VENCIMENTO"</formula>
    </cfRule>
    <cfRule type="expression" dxfId="2412" priority="497">
      <formula>$H600="CALIBRADO"</formula>
    </cfRule>
    <cfRule type="expression" dxfId="2411" priority="498">
      <formula>$H600="DANIFICADO"</formula>
    </cfRule>
    <cfRule type="expression" dxfId="2410" priority="499">
      <formula>$H600="VENCIDO"</formula>
    </cfRule>
    <cfRule type="expression" dxfId="2409" priority="500">
      <formula>$H600="NO PRAZO"</formula>
    </cfRule>
    <cfRule type="expression" dxfId="2408" priority="501">
      <formula>$H600="CALIBRAR"</formula>
    </cfRule>
    <cfRule type="expression" dxfId="2407" priority="502">
      <formula>$H600="SEM CALIBRAÇÃO"</formula>
    </cfRule>
    <cfRule type="expression" dxfId="2406" priority="503">
      <formula>$H600="PROX. VENCIMENTO (2 MESES)"</formula>
    </cfRule>
  </conditionalFormatting>
  <conditionalFormatting sqref="B631">
    <cfRule type="duplicateValues" dxfId="2405" priority="1774"/>
    <cfRule type="duplicateValues" dxfId="2404" priority="1775"/>
  </conditionalFormatting>
  <conditionalFormatting sqref="B632">
    <cfRule type="duplicateValues" dxfId="2403" priority="1766"/>
    <cfRule type="duplicateValues" dxfId="2402" priority="1767"/>
    <cfRule type="duplicateValues" dxfId="2401" priority="1768"/>
    <cfRule type="duplicateValues" dxfId="2400" priority="1769"/>
    <cfRule type="duplicateValues" dxfId="2399" priority="1770"/>
    <cfRule type="duplicateValues" dxfId="2398" priority="1771"/>
    <cfRule type="duplicateValues" dxfId="2397" priority="1772"/>
    <cfRule type="duplicateValues" dxfId="2396" priority="1773"/>
  </conditionalFormatting>
  <conditionalFormatting sqref="B633">
    <cfRule type="duplicateValues" dxfId="2395" priority="1758"/>
    <cfRule type="duplicateValues" dxfId="2394" priority="1759"/>
    <cfRule type="duplicateValues" dxfId="2393" priority="1760"/>
    <cfRule type="duplicateValues" dxfId="2392" priority="1761"/>
    <cfRule type="duplicateValues" dxfId="2391" priority="1762"/>
    <cfRule type="duplicateValues" dxfId="2390" priority="1763"/>
    <cfRule type="duplicateValues" dxfId="2389" priority="1764"/>
    <cfRule type="duplicateValues" dxfId="2388" priority="1765"/>
  </conditionalFormatting>
  <conditionalFormatting sqref="B637">
    <cfRule type="duplicateValues" dxfId="2387" priority="1971"/>
    <cfRule type="duplicateValues" dxfId="2386" priority="1972"/>
    <cfRule type="duplicateValues" dxfId="2385" priority="1973"/>
    <cfRule type="duplicateValues" dxfId="2384" priority="1974"/>
    <cfRule type="duplicateValues" dxfId="2383" priority="1975"/>
    <cfRule type="duplicateValues" dxfId="2382" priority="1976"/>
    <cfRule type="duplicateValues" dxfId="2381" priority="1977"/>
    <cfRule type="duplicateValues" dxfId="2380" priority="1978"/>
  </conditionalFormatting>
  <conditionalFormatting sqref="B638">
    <cfRule type="duplicateValues" dxfId="2379" priority="1963"/>
    <cfRule type="duplicateValues" dxfId="2378" priority="1964"/>
    <cfRule type="duplicateValues" dxfId="2377" priority="1965"/>
    <cfRule type="duplicateValues" dxfId="2376" priority="1966"/>
    <cfRule type="duplicateValues" dxfId="2375" priority="1967"/>
    <cfRule type="duplicateValues" dxfId="2374" priority="1968"/>
    <cfRule type="duplicateValues" dxfId="2373" priority="1969"/>
    <cfRule type="duplicateValues" dxfId="2372" priority="1970"/>
  </conditionalFormatting>
  <conditionalFormatting sqref="B77:C77">
    <cfRule type="duplicateValues" dxfId="2371" priority="2762"/>
    <cfRule type="duplicateValues" dxfId="2370" priority="2763"/>
    <cfRule type="duplicateValues" dxfId="2369" priority="2764"/>
    <cfRule type="duplicateValues" dxfId="2368" priority="2765"/>
    <cfRule type="duplicateValues" dxfId="2367" priority="2766"/>
    <cfRule type="duplicateValues" dxfId="2366" priority="2767"/>
  </conditionalFormatting>
  <conditionalFormatting sqref="B439:C439">
    <cfRule type="duplicateValues" dxfId="2365" priority="3827"/>
    <cfRule type="duplicateValues" dxfId="2364" priority="3828"/>
    <cfRule type="duplicateValues" dxfId="2363" priority="3829"/>
    <cfRule type="duplicateValues" dxfId="2362" priority="3830"/>
    <cfRule type="duplicateValues" dxfId="2361" priority="3831"/>
    <cfRule type="duplicateValues" dxfId="2360" priority="3832"/>
  </conditionalFormatting>
  <conditionalFormatting sqref="B440:C440">
    <cfRule type="duplicateValues" dxfId="2359" priority="3801"/>
    <cfRule type="duplicateValues" dxfId="2358" priority="3802"/>
    <cfRule type="duplicateValues" dxfId="2357" priority="3803"/>
    <cfRule type="duplicateValues" dxfId="2356" priority="3804"/>
    <cfRule type="duplicateValues" dxfId="2355" priority="3805"/>
    <cfRule type="duplicateValues" dxfId="2354" priority="3806"/>
  </conditionalFormatting>
  <conditionalFormatting sqref="D493">
    <cfRule type="expression" dxfId="2353" priority="4472">
      <formula>$H493="PROX. VENCIMENTO (2 MESES)"</formula>
    </cfRule>
    <cfRule type="expression" dxfId="2352" priority="4473">
      <formula>$H493="CALIBRAÇÃO VENCIDA"</formula>
    </cfRule>
    <cfRule type="expression" dxfId="2351" priority="4474">
      <formula>$H493="PROX. VENCIMENTO"</formula>
    </cfRule>
    <cfRule type="expression" dxfId="2350" priority="4475">
      <formula>$H493="CALIBRADO"</formula>
    </cfRule>
    <cfRule type="expression" dxfId="2349" priority="4476">
      <formula>$H493="DANIFICADO"</formula>
    </cfRule>
    <cfRule type="expression" dxfId="2348" priority="4477">
      <formula>$H493="VENCIDO"</formula>
    </cfRule>
    <cfRule type="expression" dxfId="2347" priority="4478">
      <formula>$H493="NO PRAZO"</formula>
    </cfRule>
    <cfRule type="expression" dxfId="2346" priority="4479">
      <formula>$H493="CALIBRAR"</formula>
    </cfRule>
    <cfRule type="expression" dxfId="2345" priority="4480">
      <formula>$H493="SEM CALIBRAÇÃO"</formula>
    </cfRule>
  </conditionalFormatting>
  <conditionalFormatting sqref="D555:D568 D657:D658">
    <cfRule type="expression" dxfId="2344" priority="6095">
      <formula>$G555="PROX. VENCIMENTO (2 MESES)"</formula>
    </cfRule>
    <cfRule type="expression" dxfId="2343" priority="6096">
      <formula>$G555="CALIBRAÇÃO VENCIDA"</formula>
    </cfRule>
    <cfRule type="expression" dxfId="2342" priority="6097">
      <formula>$G555="PROX. VENCIMENTO"</formula>
    </cfRule>
    <cfRule type="expression" dxfId="2341" priority="6098">
      <formula>$G555="CALIBRADO"</formula>
    </cfRule>
    <cfRule type="expression" dxfId="2340" priority="6099">
      <formula>$G555="DANIFICADO"</formula>
    </cfRule>
    <cfRule type="expression" dxfId="2339" priority="6100">
      <formula>$G555="VENCIDO"</formula>
    </cfRule>
    <cfRule type="expression" dxfId="2338" priority="6101">
      <formula>$G555="NO PRAZO"</formula>
    </cfRule>
    <cfRule type="expression" dxfId="2337" priority="6102">
      <formula>$G555="CALIBRAR"</formula>
    </cfRule>
    <cfRule type="expression" dxfId="2336" priority="6103">
      <formula>$G555="SEM CALIBRAÇÃO"</formula>
    </cfRule>
  </conditionalFormatting>
  <conditionalFormatting sqref="D576">
    <cfRule type="expression" dxfId="2335" priority="585">
      <formula>$H576="PROX. VENCIMENTO (2 MESES)"</formula>
    </cfRule>
    <cfRule type="expression" dxfId="2334" priority="586">
      <formula>$H576="CALIBRAÇÃO VENCIDA"</formula>
    </cfRule>
    <cfRule type="expression" dxfId="2333" priority="587">
      <formula>$H576="PROX. VENCIMENTO"</formula>
    </cfRule>
    <cfRule type="expression" dxfId="2332" priority="588">
      <formula>$H576="CALIBRADO"</formula>
    </cfRule>
    <cfRule type="expression" dxfId="2331" priority="589">
      <formula>$H576="DANIFICADO"</formula>
    </cfRule>
    <cfRule type="expression" dxfId="2330" priority="590">
      <formula>$H576="VENCIDO"</formula>
    </cfRule>
    <cfRule type="expression" dxfId="2329" priority="591">
      <formula>$H576="NO PRAZO"</formula>
    </cfRule>
    <cfRule type="expression" dxfId="2328" priority="592">
      <formula>$H576="CALIBRAR"</formula>
    </cfRule>
    <cfRule type="expression" dxfId="2327" priority="593">
      <formula>$H576="SEM CALIBRAÇÃO"</formula>
    </cfRule>
  </conditionalFormatting>
  <conditionalFormatting sqref="D591:D593 D595:D604 H596:I596 G596:G605 I597:I599">
    <cfRule type="expression" dxfId="2326" priority="4240">
      <formula>$H591="DANIFICADO"</formula>
    </cfRule>
    <cfRule type="expression" dxfId="2325" priority="4241">
      <formula>$H591="VENCIDO"</formula>
    </cfRule>
    <cfRule type="expression" dxfId="2324" priority="4242">
      <formula>$H591="NO PRAZO"</formula>
    </cfRule>
    <cfRule type="expression" dxfId="2323" priority="4243">
      <formula>$H591="CALIBRAR"</formula>
    </cfRule>
    <cfRule type="expression" dxfId="2322" priority="4244">
      <formula>$H591="SEM CALIBRAÇÃO"</formula>
    </cfRule>
  </conditionalFormatting>
  <conditionalFormatting sqref="D591:D593 D595:D604">
    <cfRule type="expression" dxfId="2321" priority="4238">
      <formula>$H591="PROX. VENCIMENTO"</formula>
    </cfRule>
    <cfRule type="expression" dxfId="2320" priority="4239">
      <formula>$H591="CALIBRADO"</formula>
    </cfRule>
  </conditionalFormatting>
  <conditionalFormatting sqref="D591:D593">
    <cfRule type="expression" dxfId="2319" priority="4236">
      <formula>$H591="PROX. VENCIMENTO (2 MESES)"</formula>
    </cfRule>
    <cfRule type="expression" dxfId="2318" priority="4237">
      <formula>$H591="CALIBRAÇÃO VENCIDA"</formula>
    </cfRule>
  </conditionalFormatting>
  <conditionalFormatting sqref="D595:D599 H597:H599 G607:H607 A591:A598 H614 H610:H612">
    <cfRule type="expression" dxfId="2317" priority="4267">
      <formula>$H591="PROX. VENCIMENTO (2 MESES)"</formula>
    </cfRule>
  </conditionalFormatting>
  <conditionalFormatting sqref="D595:D604 H597:H604 A607 G607:H607">
    <cfRule type="expression" dxfId="2316" priority="4133">
      <formula>$H595="CALIBRAÇÃO VENCIDA"</formula>
    </cfRule>
  </conditionalFormatting>
  <conditionalFormatting sqref="D600:D604">
    <cfRule type="expression" dxfId="2315" priority="4132">
      <formula>$H600="PROX. VENCIMENTO (2 MESES)"</formula>
    </cfRule>
  </conditionalFormatting>
  <conditionalFormatting sqref="D605">
    <cfRule type="expression" dxfId="2314" priority="4114">
      <formula>$G605="PROX. VENCIMENTO (2 MESES)"</formula>
    </cfRule>
    <cfRule type="expression" dxfId="2313" priority="4115">
      <formula>$G605="CALIBRAÇÃO VENCIDA"</formula>
    </cfRule>
    <cfRule type="expression" dxfId="2312" priority="4116">
      <formula>$G605="PROX. VENCIMENTO"</formula>
    </cfRule>
    <cfRule type="expression" dxfId="2311" priority="4117">
      <formula>$G605="CALIBRADO"</formula>
    </cfRule>
    <cfRule type="expression" dxfId="2310" priority="4118">
      <formula>$G605="DANIFICADO"</formula>
    </cfRule>
    <cfRule type="expression" dxfId="2309" priority="4119">
      <formula>$G605="VENCIDO"</formula>
    </cfRule>
    <cfRule type="expression" dxfId="2308" priority="4120">
      <formula>$G605="NO PRAZO"</formula>
    </cfRule>
    <cfRule type="expression" dxfId="2307" priority="4121">
      <formula>$G605="CALIBRAR"</formula>
    </cfRule>
    <cfRule type="expression" dxfId="2306" priority="4122">
      <formula>$G605="SEM CALIBRAÇÃO"</formula>
    </cfRule>
  </conditionalFormatting>
  <conditionalFormatting sqref="D606:D614">
    <cfRule type="expression" dxfId="2305" priority="3958">
      <formula>$H606="PROX. VENCIMENTO (2 MESES)"</formula>
    </cfRule>
  </conditionalFormatting>
  <conditionalFormatting sqref="D615:D624">
    <cfRule type="expression" dxfId="2304" priority="2995">
      <formula>$G615="PROX. VENCIMENTO (2 MESES)"</formula>
    </cfRule>
    <cfRule type="expression" dxfId="2303" priority="2996">
      <formula>$G615="CALIBRAÇÃO VENCIDA"</formula>
    </cfRule>
    <cfRule type="expression" dxfId="2302" priority="2997">
      <formula>$G615="PROX. VENCIMENTO"</formula>
    </cfRule>
    <cfRule type="expression" dxfId="2301" priority="2998">
      <formula>$G615="CALIBRADO"</formula>
    </cfRule>
    <cfRule type="expression" dxfId="2300" priority="2999">
      <formula>$G615="DANIFICADO"</formula>
    </cfRule>
    <cfRule type="expression" dxfId="2299" priority="3000">
      <formula>$G615="VENCIDO"</formula>
    </cfRule>
    <cfRule type="expression" dxfId="2298" priority="3001">
      <formula>$G615="NO PRAZO"</formula>
    </cfRule>
    <cfRule type="expression" dxfId="2297" priority="3002">
      <formula>$G615="CALIBRAR"</formula>
    </cfRule>
    <cfRule type="expression" dxfId="2296" priority="3003">
      <formula>$G615="SEM CALIBRAÇÃO"</formula>
    </cfRule>
  </conditionalFormatting>
  <conditionalFormatting sqref="D635">
    <cfRule type="expression" dxfId="2295" priority="2072">
      <formula>$H635="PROX. VENCIMENTO (2 MESES)"</formula>
    </cfRule>
    <cfRule type="expression" dxfId="2294" priority="2073">
      <formula>$H635="CALIBRAÇÃO VENCIDA"</formula>
    </cfRule>
    <cfRule type="expression" dxfId="2293" priority="2074">
      <formula>$H635="PROX. VENCIMENTO"</formula>
    </cfRule>
    <cfRule type="expression" dxfId="2292" priority="2075">
      <formula>$H635="CALIBRADO"</formula>
    </cfRule>
    <cfRule type="expression" dxfId="2291" priority="2076">
      <formula>$H635="DANIFICADO"</formula>
    </cfRule>
    <cfRule type="expression" dxfId="2290" priority="2077">
      <formula>$H635="VENCIDO"</formula>
    </cfRule>
    <cfRule type="expression" dxfId="2289" priority="2078">
      <formula>$H635="NO PRAZO"</formula>
    </cfRule>
    <cfRule type="expression" dxfId="2288" priority="2079">
      <formula>$H635="CALIBRAR"</formula>
    </cfRule>
    <cfRule type="expression" dxfId="2287" priority="2080">
      <formula>$H635="SEM CALIBRAÇÃO"</formula>
    </cfRule>
  </conditionalFormatting>
  <conditionalFormatting sqref="G512">
    <cfRule type="expression" dxfId="2286" priority="8874">
      <formula>$H512="PROX. VENCIMENTO (2 MESES)"</formula>
    </cfRule>
    <cfRule type="expression" dxfId="2285" priority="8875">
      <formula>$H512="CALIBRAÇÃO VENCIDA"</formula>
    </cfRule>
    <cfRule type="expression" dxfId="2284" priority="8876">
      <formula>$H512="PROX. VENCIMENTO"</formula>
    </cfRule>
    <cfRule type="expression" dxfId="2283" priority="8877">
      <formula>$H512="CALIBRADO"</formula>
    </cfRule>
    <cfRule type="expression" dxfId="2282" priority="8878">
      <formula>$H512="DANIFICADO"</formula>
    </cfRule>
    <cfRule type="expression" dxfId="2281" priority="8879">
      <formula>$H512="VENCIDO"</formula>
    </cfRule>
    <cfRule type="expression" dxfId="2280" priority="8880">
      <formula>$H512="NO PRAZO"</formula>
    </cfRule>
    <cfRule type="expression" dxfId="2279" priority="8881">
      <formula>$H512="CALIBRAR"</formula>
    </cfRule>
    <cfRule type="expression" dxfId="2278" priority="8882">
      <formula>$H512="SEM CALIBRAÇÃO"</formula>
    </cfRule>
  </conditionalFormatting>
  <conditionalFormatting sqref="G589:G590">
    <cfRule type="expression" dxfId="2277" priority="3381">
      <formula>$H589="PROX. VENCIMENTO (2 MESES)"</formula>
    </cfRule>
    <cfRule type="expression" dxfId="2276" priority="3382">
      <formula>$H589="CALIBRAÇÃO VENCIDA"</formula>
    </cfRule>
    <cfRule type="expression" dxfId="2275" priority="3383">
      <formula>$H589="PROX. VENCIMENTO"</formula>
    </cfRule>
    <cfRule type="expression" dxfId="2274" priority="3384">
      <formula>$H589="CALIBRADO"</formula>
    </cfRule>
    <cfRule type="expression" dxfId="2273" priority="3385">
      <formula>$H589="DANIFICADO"</formula>
    </cfRule>
    <cfRule type="expression" dxfId="2272" priority="3386">
      <formula>$H589="VENCIDO"</formula>
    </cfRule>
    <cfRule type="expression" dxfId="2271" priority="3387">
      <formula>$H589="NO PRAZO"</formula>
    </cfRule>
    <cfRule type="expression" dxfId="2270" priority="3388">
      <formula>$H589="CALIBRAR"</formula>
    </cfRule>
    <cfRule type="expression" dxfId="2269" priority="3389">
      <formula>$H589="SEM CALIBRAÇÃO"</formula>
    </cfRule>
  </conditionalFormatting>
  <conditionalFormatting sqref="G592:G594">
    <cfRule type="expression" dxfId="2268" priority="3999">
      <formula>$H592="DANIFICADO"</formula>
    </cfRule>
    <cfRule type="expression" dxfId="2267" priority="4000">
      <formula>$H592="VENCIDO"</formula>
    </cfRule>
    <cfRule type="expression" dxfId="2266" priority="4001">
      <formula>$H592="NO PRAZO"</formula>
    </cfRule>
    <cfRule type="expression" dxfId="2265" priority="4002">
      <formula>$H592="CALIBRAR"</formula>
    </cfRule>
    <cfRule type="expression" dxfId="2264" priority="4003">
      <formula>$H592="SEM CALIBRAÇÃO"</formula>
    </cfRule>
  </conditionalFormatting>
  <conditionalFormatting sqref="G592:G605 I597:J597">
    <cfRule type="expression" dxfId="2263" priority="3996">
      <formula>$H592="CALIBRAÇÃO VENCIDA"</formula>
    </cfRule>
    <cfRule type="expression" dxfId="2262" priority="3997">
      <formula>$H592="PROX. VENCIMENTO"</formula>
    </cfRule>
    <cfRule type="expression" dxfId="2261" priority="3998">
      <formula>$H592="CALIBRADO"</formula>
    </cfRule>
  </conditionalFormatting>
  <conditionalFormatting sqref="G609">
    <cfRule type="expression" dxfId="2260" priority="3982">
      <formula>$H609="CALIBRAÇÃO VENCIDA"</formula>
    </cfRule>
    <cfRule type="expression" dxfId="2259" priority="3983">
      <formula>$H609="PROX. VENCIMENTO"</formula>
    </cfRule>
    <cfRule type="expression" dxfId="2258" priority="3984">
      <formula>$H609="CALIBRADO"</formula>
    </cfRule>
    <cfRule type="expression" dxfId="2257" priority="3985">
      <formula>$H609="DANIFICADO"</formula>
    </cfRule>
    <cfRule type="expression" dxfId="2256" priority="3986">
      <formula>$H609="VENCIDO"</formula>
    </cfRule>
    <cfRule type="expression" dxfId="2255" priority="3987">
      <formula>$H609="NO PRAZO"</formula>
    </cfRule>
    <cfRule type="expression" dxfId="2254" priority="3988">
      <formula>$H609="CALIBRAR"</formula>
    </cfRule>
    <cfRule type="expression" dxfId="2253" priority="3989">
      <formula>$H609="SEM CALIBRAÇÃO"</formula>
    </cfRule>
  </conditionalFormatting>
  <conditionalFormatting sqref="G610:G614">
    <cfRule type="expression" dxfId="2252" priority="3939">
      <formula>$H610="PROX. VENCIMENTO (2 MESES)"</formula>
    </cfRule>
    <cfRule type="expression" dxfId="2251" priority="3940">
      <formula>$H610="CALIBRAÇÃO VENCIDA"</formula>
    </cfRule>
    <cfRule type="expression" dxfId="2250" priority="3941">
      <formula>$H610="PROX. VENCIMENTO"</formula>
    </cfRule>
    <cfRule type="expression" dxfId="2249" priority="3942">
      <formula>$H610="CALIBRADO"</formula>
    </cfRule>
    <cfRule type="expression" dxfId="2248" priority="3943">
      <formula>$H610="DANIFICADO"</formula>
    </cfRule>
    <cfRule type="expression" dxfId="2247" priority="3944">
      <formula>$H610="VENCIDO"</formula>
    </cfRule>
    <cfRule type="expression" dxfId="2246" priority="3945">
      <formula>$H610="NO PRAZO"</formula>
    </cfRule>
    <cfRule type="expression" dxfId="2245" priority="3946">
      <formula>$H610="CALIBRAR"</formula>
    </cfRule>
    <cfRule type="expression" dxfId="2244" priority="3947">
      <formula>$H610="SEM CALIBRAÇÃO"</formula>
    </cfRule>
  </conditionalFormatting>
  <conditionalFormatting sqref="G512:H515">
    <cfRule type="expression" dxfId="2243" priority="8208">
      <formula>$H512="PROX. VENCIMENTO (2 MESES)"</formula>
    </cfRule>
    <cfRule type="expression" dxfId="2242" priority="8209">
      <formula>$H512="CALIBRAÇÃO VENCIDA"</formula>
    </cfRule>
    <cfRule type="expression" dxfId="2241" priority="8210">
      <formula>$H512="PROX. VENCIMENTO"</formula>
    </cfRule>
    <cfRule type="expression" dxfId="2240" priority="8211">
      <formula>$H512="CALIBRADO"</formula>
    </cfRule>
    <cfRule type="expression" dxfId="2239" priority="8212">
      <formula>$H512="DANIFICADO"</formula>
    </cfRule>
    <cfRule type="expression" dxfId="2238" priority="8213">
      <formula>$H512="VENCIDO"</formula>
    </cfRule>
    <cfRule type="expression" dxfId="2237" priority="8214">
      <formula>$H512="NO PRAZO"</formula>
    </cfRule>
    <cfRule type="expression" dxfId="2236" priority="8215">
      <formula>$H512="CALIBRAR"</formula>
    </cfRule>
    <cfRule type="expression" dxfId="2235" priority="8216">
      <formula>$H512="SEM CALIBRAÇÃO"</formula>
    </cfRule>
  </conditionalFormatting>
  <conditionalFormatting sqref="G543:H568">
    <cfRule type="expression" dxfId="2234" priority="88">
      <formula>$H543="PROX. VENCIMENTO (2 MESES)"</formula>
    </cfRule>
    <cfRule type="expression" dxfId="2233" priority="89">
      <formula>$H543="CALIBRAÇÃO VENCIDA"</formula>
    </cfRule>
    <cfRule type="expression" dxfId="2232" priority="90">
      <formula>$H543="PROX. VENCIMENTO"</formula>
    </cfRule>
    <cfRule type="expression" dxfId="2231" priority="91">
      <formula>$H543="CALIBRADO"</formula>
    </cfRule>
    <cfRule type="expression" dxfId="2230" priority="92">
      <formula>$H543="DANIFICADO"</formula>
    </cfRule>
    <cfRule type="expression" dxfId="2229" priority="93">
      <formula>$H543="VENCIDO"</formula>
    </cfRule>
    <cfRule type="expression" dxfId="2228" priority="94">
      <formula>$H543="NO PRAZO"</formula>
    </cfRule>
    <cfRule type="expression" dxfId="2227" priority="95">
      <formula>$H543="CALIBRAR"</formula>
    </cfRule>
    <cfRule type="expression" dxfId="2226" priority="96">
      <formula>$H543="SEM CALIBRAÇÃO"</formula>
    </cfRule>
  </conditionalFormatting>
  <conditionalFormatting sqref="G609:H609">
    <cfRule type="expression" dxfId="2225" priority="3969">
      <formula>$H609="PROX. VENCIMENTO (2 MESES)"</formula>
    </cfRule>
  </conditionalFormatting>
  <conditionalFormatting sqref="G635:H635 A550:A570 D569:D570 G569:I570 G657:H658 A635 A657:A658">
    <cfRule type="expression" dxfId="2224" priority="6648">
      <formula>$H550="CALIBRAÇÃO VENCIDA"</formula>
    </cfRule>
  </conditionalFormatting>
  <conditionalFormatting sqref="G635:H635">
    <cfRule type="expression" dxfId="2223" priority="6555">
      <formula>$H635="PROX. VENCIMENTO (2 MESES)"</formula>
    </cfRule>
  </conditionalFormatting>
  <conditionalFormatting sqref="G496:I496">
    <cfRule type="expression" dxfId="2222" priority="4818">
      <formula>$H496="PROX. VENCIMENTO (2 MESES)"</formula>
    </cfRule>
    <cfRule type="expression" dxfId="2221" priority="4819">
      <formula>$H496="CALIBRAÇÃO VENCIDA"</formula>
    </cfRule>
    <cfRule type="expression" dxfId="2220" priority="4820">
      <formula>$H496="PROX. VENCIMENTO"</formula>
    </cfRule>
    <cfRule type="expression" dxfId="2219" priority="4821">
      <formula>$H496="CALIBRADO"</formula>
    </cfRule>
    <cfRule type="expression" dxfId="2218" priority="4822">
      <formula>$H496="DANIFICADO"</formula>
    </cfRule>
    <cfRule type="expression" dxfId="2217" priority="4823">
      <formula>$H496="VENCIDO"</formula>
    </cfRule>
    <cfRule type="expression" dxfId="2216" priority="4824">
      <formula>$H496="NO PRAZO"</formula>
    </cfRule>
    <cfRule type="expression" dxfId="2215" priority="4825">
      <formula>$H496="CALIBRAR"</formula>
    </cfRule>
    <cfRule type="expression" dxfId="2214" priority="4826">
      <formula>$H496="SEM CALIBRAÇÃO"</formula>
    </cfRule>
  </conditionalFormatting>
  <conditionalFormatting sqref="G518:I532">
    <cfRule type="expression" dxfId="2213" priority="2668">
      <formula>$H518="PROX. VENCIMENTO (2 MESES)"</formula>
    </cfRule>
    <cfRule type="expression" dxfId="2212" priority="2669">
      <formula>$H518="CALIBRAÇÃO VENCIDA"</formula>
    </cfRule>
    <cfRule type="expression" dxfId="2211" priority="2670">
      <formula>$H518="PROX. VENCIMENTO"</formula>
    </cfRule>
    <cfRule type="expression" dxfId="2210" priority="2671">
      <formula>$H518="CALIBRADO"</formula>
    </cfRule>
    <cfRule type="expression" dxfId="2209" priority="2672">
      <formula>$H518="DANIFICADO"</formula>
    </cfRule>
    <cfRule type="expression" dxfId="2208" priority="2673">
      <formula>$H518="VENCIDO"</formula>
    </cfRule>
    <cfRule type="expression" dxfId="2207" priority="2674">
      <formula>$H518="NO PRAZO"</formula>
    </cfRule>
    <cfRule type="expression" dxfId="2206" priority="2675">
      <formula>$H518="CALIBRAR"</formula>
    </cfRule>
    <cfRule type="expression" dxfId="2205" priority="2676">
      <formula>$H518="SEM CALIBRAÇÃO"</formula>
    </cfRule>
  </conditionalFormatting>
  <conditionalFormatting sqref="G538:I541">
    <cfRule type="expression" dxfId="2204" priority="3251">
      <formula>$H538="PROX. VENCIMENTO (2 MESES)"</formula>
    </cfRule>
    <cfRule type="expression" dxfId="2203" priority="3252">
      <formula>$H538="CALIBRAÇÃO VENCIDA"</formula>
    </cfRule>
    <cfRule type="expression" dxfId="2202" priority="3253">
      <formula>$H538="PROX. VENCIMENTO"</formula>
    </cfRule>
    <cfRule type="expression" dxfId="2201" priority="3254">
      <formula>$H538="CALIBRADO"</formula>
    </cfRule>
    <cfRule type="expression" dxfId="2200" priority="3255">
      <formula>$H538="DANIFICADO"</formula>
    </cfRule>
    <cfRule type="expression" dxfId="2199" priority="3256">
      <formula>$H538="VENCIDO"</formula>
    </cfRule>
    <cfRule type="expression" dxfId="2198" priority="3257">
      <formula>$H538="NO PRAZO"</formula>
    </cfRule>
    <cfRule type="expression" dxfId="2197" priority="3258">
      <formula>$H538="CALIBRAR"</formula>
    </cfRule>
    <cfRule type="expression" dxfId="2196" priority="3259">
      <formula>$H538="SEM CALIBRAÇÃO"</formula>
    </cfRule>
  </conditionalFormatting>
  <conditionalFormatting sqref="G595:I595 I596:I599">
    <cfRule type="expression" dxfId="2195" priority="4251">
      <formula>$H595="VENCIDO"</formula>
    </cfRule>
    <cfRule type="expression" dxfId="2194" priority="4252">
      <formula>$H595="NO PRAZO"</formula>
    </cfRule>
    <cfRule type="expression" dxfId="2193" priority="4253">
      <formula>$H595="CALIBRAR"</formula>
    </cfRule>
    <cfRule type="expression" dxfId="2192" priority="4254">
      <formula>$H595="SEM CALIBRAÇÃO"</formula>
    </cfRule>
  </conditionalFormatting>
  <conditionalFormatting sqref="G591:J591">
    <cfRule type="expression" dxfId="2191" priority="4269">
      <formula>$H591="PROX. VENCIMENTO (2 MESES)"</formula>
    </cfRule>
    <cfRule type="expression" dxfId="2190" priority="4270">
      <formula>$H591="CALIBRAÇÃO VENCIDA"</formula>
    </cfRule>
    <cfRule type="expression" dxfId="2189" priority="4271">
      <formula>$H591="PROX. VENCIMENTO"</formula>
    </cfRule>
    <cfRule type="expression" dxfId="2188" priority="4272">
      <formula>$H591="CALIBRADO"</formula>
    </cfRule>
    <cfRule type="expression" dxfId="2187" priority="4273">
      <formula>$H591="DANIFICADO"</formula>
    </cfRule>
    <cfRule type="expression" dxfId="2186" priority="4274">
      <formula>$H591="VENCIDO"</formula>
    </cfRule>
    <cfRule type="expression" dxfId="2185" priority="4275">
      <formula>$H591="NO PRAZO"</formula>
    </cfRule>
    <cfRule type="expression" dxfId="2184" priority="4276">
      <formula>$H591="CALIBRAR"</formula>
    </cfRule>
    <cfRule type="expression" dxfId="2183" priority="4277">
      <formula>$H591="SEM CALIBRAÇÃO"</formula>
    </cfRule>
  </conditionalFormatting>
  <conditionalFormatting sqref="G606:J606 A607 G607:H607">
    <cfRule type="expression" dxfId="2182" priority="4309">
      <formula>$H606="PROX. VENCIMENTO"</formula>
    </cfRule>
    <cfRule type="expression" dxfId="2181" priority="4310">
      <formula>$H606="CALIBRADO"</formula>
    </cfRule>
    <cfRule type="expression" dxfId="2180" priority="4311">
      <formula>$H606="DANIFICADO"</formula>
    </cfRule>
    <cfRule type="expression" dxfId="2179" priority="4312">
      <formula>$H606="VENCIDO"</formula>
    </cfRule>
    <cfRule type="expression" dxfId="2178" priority="4313">
      <formula>$H606="NO PRAZO"</formula>
    </cfRule>
    <cfRule type="expression" dxfId="2177" priority="4314">
      <formula>$H606="CALIBRAR"</formula>
    </cfRule>
    <cfRule type="expression" dxfId="2176" priority="4315">
      <formula>$H606="SEM CALIBRAÇÃO"</formula>
    </cfRule>
  </conditionalFormatting>
  <conditionalFormatting sqref="G606:J606">
    <cfRule type="expression" dxfId="2175" priority="4307">
      <formula>$H606="PROX. VENCIMENTO (2 MESES)"</formula>
    </cfRule>
    <cfRule type="expression" dxfId="2174" priority="4308">
      <formula>$H606="CALIBRAÇÃO VENCIDA"</formula>
    </cfRule>
  </conditionalFormatting>
  <conditionalFormatting sqref="H597:H604">
    <cfRule type="expression" dxfId="2173" priority="4134">
      <formula>$H597="PROX. VENCIMENTO"</formula>
    </cfRule>
    <cfRule type="expression" dxfId="2172" priority="4135">
      <formula>$H597="CALIBRADO"</formula>
    </cfRule>
    <cfRule type="expression" dxfId="2171" priority="4136">
      <formula>$H597="DANIFICADO"</formula>
    </cfRule>
    <cfRule type="expression" dxfId="2170" priority="4137">
      <formula>$H597="VENCIDO"</formula>
    </cfRule>
    <cfRule type="expression" dxfId="2169" priority="4138">
      <formula>$H597="NO PRAZO"</formula>
    </cfRule>
    <cfRule type="expression" dxfId="2168" priority="4139">
      <formula>$H597="CALIBRAR"</formula>
    </cfRule>
    <cfRule type="expression" dxfId="2167" priority="4140">
      <formula>$H597="SEM CALIBRAÇÃO"</formula>
    </cfRule>
  </conditionalFormatting>
  <conditionalFormatting sqref="H608">
    <cfRule type="expression" dxfId="2166" priority="3980">
      <formula>$H608="PROX. VENCIMENTO (2 MESES)"</formula>
    </cfRule>
  </conditionalFormatting>
  <conditionalFormatting sqref="H608:H612">
    <cfRule type="expression" dxfId="2165" priority="3949">
      <formula>$H608="CALIBRAÇÃO VENCIDA"</formula>
    </cfRule>
    <cfRule type="expression" dxfId="2164" priority="3950">
      <formula>$H608="PROX. VENCIMENTO"</formula>
    </cfRule>
    <cfRule type="expression" dxfId="2163" priority="3951">
      <formula>$H608="CALIBRADO"</formula>
    </cfRule>
    <cfRule type="expression" dxfId="2162" priority="3952">
      <formula>$H608="DANIFICADO"</formula>
    </cfRule>
    <cfRule type="expression" dxfId="2161" priority="3953">
      <formula>$H608="VENCIDO"</formula>
    </cfRule>
    <cfRule type="expression" dxfId="2160" priority="3954">
      <formula>$H608="NO PRAZO"</formula>
    </cfRule>
    <cfRule type="expression" dxfId="2159" priority="3955">
      <formula>$H608="CALIBRAR"</formula>
    </cfRule>
    <cfRule type="expression" dxfId="2158" priority="3956">
      <formula>$H608="SEM CALIBRAÇÃO"</formula>
    </cfRule>
  </conditionalFormatting>
  <conditionalFormatting sqref="H592:I594">
    <cfRule type="expression" dxfId="2157" priority="4301">
      <formula>$H592="DANIFICADO"</formula>
    </cfRule>
    <cfRule type="expression" dxfId="2156" priority="4302">
      <formula>$H592="VENCIDO"</formula>
    </cfRule>
    <cfRule type="expression" dxfId="2155" priority="4303">
      <formula>$H592="NO PRAZO"</formula>
    </cfRule>
    <cfRule type="expression" dxfId="2154" priority="4304">
      <formula>$H592="CALIBRAR"</formula>
    </cfRule>
    <cfRule type="expression" dxfId="2153" priority="4305">
      <formula>$H592="SEM CALIBRAÇÃO"</formula>
    </cfRule>
  </conditionalFormatting>
  <conditionalFormatting sqref="H592:J596">
    <cfRule type="expression" dxfId="2152" priority="4004">
      <formula>$H592="PROX. VENCIMENTO (2 MESES)"</formula>
    </cfRule>
    <cfRule type="expression" dxfId="2151" priority="4005">
      <formula>$H592="CALIBRAÇÃO VENCIDA"</formula>
    </cfRule>
    <cfRule type="expression" dxfId="2150" priority="4006">
      <formula>$H592="PROX. VENCIMENTO"</formula>
    </cfRule>
    <cfRule type="expression" dxfId="2149" priority="4007">
      <formula>$H592="CALIBRADO"</formula>
    </cfRule>
  </conditionalFormatting>
  <conditionalFormatting sqref="H600:J604">
    <cfRule type="expression" dxfId="2148" priority="4014">
      <formula>$H600="PROX. VENCIMENTO (2 MESES)"</formula>
    </cfRule>
  </conditionalFormatting>
  <conditionalFormatting sqref="I191">
    <cfRule type="expression" dxfId="2147" priority="3447">
      <formula>$G191="PROX. VENCIMENTO (2 MESES)"</formula>
    </cfRule>
    <cfRule type="expression" dxfId="2146" priority="3448">
      <formula>$G191="CALIBRAÇÃO VENCIDA"</formula>
    </cfRule>
    <cfRule type="expression" dxfId="2145" priority="3449">
      <formula>$G191="PROX. VENCIMENTO"</formula>
    </cfRule>
    <cfRule type="expression" dxfId="2144" priority="3450">
      <formula>$G191="CALIBRADO"</formula>
    </cfRule>
    <cfRule type="expression" dxfId="2143" priority="3451">
      <formula>$G191="DANIFICADO"</formula>
    </cfRule>
    <cfRule type="expression" dxfId="2142" priority="3452">
      <formula>$G191="VENCIDO"</formula>
    </cfRule>
    <cfRule type="expression" dxfId="2141" priority="3453">
      <formula>$G191="NO PRAZO"</formula>
    </cfRule>
    <cfRule type="expression" dxfId="2140" priority="3454">
      <formula>$G191="CALIBRAR"</formula>
    </cfRule>
    <cfRule type="expression" dxfId="2139" priority="3455">
      <formula>$G191="SEM CALIBRAÇÃO"</formula>
    </cfRule>
    <cfRule type="expression" dxfId="2138" priority="3456">
      <formula>$G191="PROX. VENCIMENTO (2 MESES)"</formula>
    </cfRule>
    <cfRule type="expression" dxfId="2137" priority="3457">
      <formula>$G191="CALIBRAÇÃO VENCIDA"</formula>
    </cfRule>
    <cfRule type="expression" dxfId="2136" priority="3458">
      <formula>$G191="PROX. VENCIMENTO"</formula>
    </cfRule>
    <cfRule type="expression" dxfId="2135" priority="3459">
      <formula>$G191="CALIBRADO"</formula>
    </cfRule>
    <cfRule type="expression" dxfId="2134" priority="3460">
      <formula>$G191="DANIFICADO"</formula>
    </cfRule>
    <cfRule type="expression" dxfId="2133" priority="3461">
      <formula>$G191="VENCIDO"</formula>
    </cfRule>
    <cfRule type="expression" dxfId="2132" priority="3462">
      <formula>$G191="NO PRAZO"</formula>
    </cfRule>
    <cfRule type="expression" dxfId="2131" priority="3463">
      <formula>$G191="CALIBRAR"</formula>
    </cfRule>
    <cfRule type="expression" dxfId="2130" priority="3464">
      <formula>$G191="SEM CALIBRAÇÃO"</formula>
    </cfRule>
    <cfRule type="expression" dxfId="2129" priority="3465">
      <formula>$H191="PROX. VENCIMENTO (2 MESES)"</formula>
    </cfRule>
    <cfRule type="expression" dxfId="2128" priority="3466">
      <formula>$H191="CALIBRAÇÃO VENCIDA"</formula>
    </cfRule>
    <cfRule type="expression" dxfId="2127" priority="3467">
      <formula>$H191="PROX. VENCIMENTO"</formula>
    </cfRule>
    <cfRule type="expression" dxfId="2126" priority="3468">
      <formula>$H191="CALIBRADO"</formula>
    </cfRule>
    <cfRule type="expression" dxfId="2125" priority="3469">
      <formula>$H191="DANIFICADO"</formula>
    </cfRule>
    <cfRule type="expression" dxfId="2124" priority="3470">
      <formula>$H191="VENCIDO"</formula>
    </cfRule>
    <cfRule type="expression" dxfId="2123" priority="3471">
      <formula>$H191="NO PRAZO"</formula>
    </cfRule>
    <cfRule type="expression" dxfId="2122" priority="3472">
      <formula>$H191="CALIBRAR"</formula>
    </cfRule>
    <cfRule type="expression" dxfId="2121" priority="3473">
      <formula>$H191="SEM CALIBRAÇÃO"</formula>
    </cfRule>
  </conditionalFormatting>
  <conditionalFormatting sqref="I248">
    <cfRule type="expression" dxfId="2120" priority="2383">
      <formula>$H248="PROX. VENCIMENTO (2 MESES)"</formula>
    </cfRule>
    <cfRule type="expression" dxfId="2119" priority="2384">
      <formula>$H248="CALIBRAÇÃO VENCIDA"</formula>
    </cfRule>
    <cfRule type="expression" dxfId="2118" priority="2385">
      <formula>$H248="PROX. VENCIMENTO"</formula>
    </cfRule>
    <cfRule type="expression" dxfId="2117" priority="2386">
      <formula>$H248="CALIBRADO"</formula>
    </cfRule>
    <cfRule type="expression" dxfId="2116" priority="2387">
      <formula>$H248="DANIFICADO"</formula>
    </cfRule>
    <cfRule type="expression" dxfId="2115" priority="2388">
      <formula>$H248="VENCIDO"</formula>
    </cfRule>
    <cfRule type="expression" dxfId="2114" priority="2389">
      <formula>$H248="NO PRAZO"</formula>
    </cfRule>
    <cfRule type="expression" dxfId="2113" priority="2390">
      <formula>$H248="CALIBRAR"</formula>
    </cfRule>
    <cfRule type="expression" dxfId="2112" priority="2391">
      <formula>$H248="SEM CALIBRAÇÃO"</formula>
    </cfRule>
  </conditionalFormatting>
  <conditionalFormatting sqref="I252">
    <cfRule type="expression" dxfId="2111" priority="2374">
      <formula>$H252="CALIBRAÇÃO VENCIDA"</formula>
    </cfRule>
    <cfRule type="expression" dxfId="2110" priority="2375">
      <formula>$H252="PROX. VENCIMENTO"</formula>
    </cfRule>
    <cfRule type="expression" dxfId="2109" priority="2376">
      <formula>$H252="CALIBRADO"</formula>
    </cfRule>
    <cfRule type="expression" dxfId="2108" priority="2377">
      <formula>$H252="DANIFICADO"</formula>
    </cfRule>
    <cfRule type="expression" dxfId="2107" priority="2378">
      <formula>$H252="VENCIDO"</formula>
    </cfRule>
    <cfRule type="expression" dxfId="2106" priority="2379">
      <formula>$H252="NO PRAZO"</formula>
    </cfRule>
    <cfRule type="expression" dxfId="2105" priority="2380">
      <formula>$H252="CALIBRAR"</formula>
    </cfRule>
    <cfRule type="expression" dxfId="2104" priority="2381">
      <formula>$H252="SEM CALIBRAÇÃO"</formula>
    </cfRule>
    <cfRule type="expression" dxfId="2103" priority="2382">
      <formula>$H252="PROX. VENCIMENTO (2 MESES)"</formula>
    </cfRule>
  </conditionalFormatting>
  <conditionalFormatting sqref="I493">
    <cfRule type="expression" dxfId="2102" priority="4483">
      <formula>$H493="PROX. VENCIMENTO (2 MESES)"</formula>
    </cfRule>
    <cfRule type="expression" dxfId="2101" priority="4484">
      <formula>$H493="CALIBRAÇÃO VENCIDA"</formula>
    </cfRule>
    <cfRule type="expression" dxfId="2100" priority="4485">
      <formula>$H493="PROX. VENCIMENTO"</formula>
    </cfRule>
    <cfRule type="expression" dxfId="2099" priority="4486">
      <formula>$H493="CALIBRADO"</formula>
    </cfRule>
    <cfRule type="expression" dxfId="2098" priority="4487">
      <formula>$H493="DANIFICADO"</formula>
    </cfRule>
    <cfRule type="expression" dxfId="2097" priority="4488">
      <formula>$H493="VENCIDO"</formula>
    </cfRule>
    <cfRule type="expression" dxfId="2096" priority="4489">
      <formula>$H493="NO PRAZO"</formula>
    </cfRule>
    <cfRule type="expression" dxfId="2095" priority="4490">
      <formula>$H493="CALIBRAR"</formula>
    </cfRule>
    <cfRule type="expression" dxfId="2094" priority="4491">
      <formula>$H493="SEM CALIBRAÇÃO"</formula>
    </cfRule>
  </conditionalFormatting>
  <conditionalFormatting sqref="I595:I599">
    <cfRule type="expression" dxfId="2093" priority="3853">
      <formula>$H595="DANIFICADO"</formula>
    </cfRule>
    <cfRule type="expression" dxfId="2092" priority="3854">
      <formula>$H595="VENCIDO"</formula>
    </cfRule>
    <cfRule type="expression" dxfId="2091" priority="3855">
      <formula>$H595="NO PRAZO"</formula>
    </cfRule>
    <cfRule type="expression" dxfId="2090" priority="3856">
      <formula>$H595="CALIBRAR"</formula>
    </cfRule>
    <cfRule type="expression" dxfId="2089" priority="3857">
      <formula>$H595="SEM CALIBRAÇÃO"</formula>
    </cfRule>
  </conditionalFormatting>
  <conditionalFormatting sqref="I596:I599 G595:I595">
    <cfRule type="expression" dxfId="2088" priority="4250">
      <formula>$H595="DANIFICADO"</formula>
    </cfRule>
  </conditionalFormatting>
  <conditionalFormatting sqref="I598:I599">
    <cfRule type="expression" dxfId="2087" priority="3849">
      <formula>$H598="PROX. VENCIMENTO (2 MESES)"</formula>
    </cfRule>
    <cfRule type="expression" dxfId="2086" priority="3850">
      <formula>$H598="CALIBRAÇÃO VENCIDA"</formula>
    </cfRule>
    <cfRule type="expression" dxfId="2085" priority="3851">
      <formula>$H598="PROX. VENCIMENTO"</formula>
    </cfRule>
    <cfRule type="expression" dxfId="2084" priority="3852">
      <formula>$H598="CALIBRADO"</formula>
    </cfRule>
  </conditionalFormatting>
  <conditionalFormatting sqref="I613:I614">
    <cfRule type="expression" dxfId="2083" priority="3679">
      <formula>$G613="PROX. VENCIMENTO (2 MESES)"</formula>
    </cfRule>
    <cfRule type="expression" dxfId="2082" priority="3680">
      <formula>$G613="CALIBRAÇÃO VENCIDA"</formula>
    </cfRule>
    <cfRule type="expression" dxfId="2081" priority="3681">
      <formula>$G613="PROX. VENCIMENTO"</formula>
    </cfRule>
    <cfRule type="expression" dxfId="2080" priority="3682">
      <formula>$G613="CALIBRADO"</formula>
    </cfRule>
    <cfRule type="expression" dxfId="2079" priority="3683">
      <formula>$G613="DANIFICADO"</formula>
    </cfRule>
    <cfRule type="expression" dxfId="2078" priority="3684">
      <formula>$G613="VENCIDO"</formula>
    </cfRule>
    <cfRule type="expression" dxfId="2077" priority="3685">
      <formula>$G613="NO PRAZO"</formula>
    </cfRule>
    <cfRule type="expression" dxfId="2076" priority="3686">
      <formula>$G613="CALIBRAR"</formula>
    </cfRule>
    <cfRule type="expression" dxfId="2075" priority="3687">
      <formula>$G613="SEM CALIBRAÇÃO"</formula>
    </cfRule>
  </conditionalFormatting>
  <conditionalFormatting sqref="I242:J242">
    <cfRule type="expression" dxfId="2074" priority="2470">
      <formula>$H242="PROX. VENCIMENTO (2 MESES)"</formula>
    </cfRule>
    <cfRule type="expression" dxfId="2073" priority="2471">
      <formula>$H242="CALIBRAÇÃO VENCIDA"</formula>
    </cfRule>
    <cfRule type="expression" dxfId="2072" priority="2472">
      <formula>$H242="PROX. VENCIMENTO"</formula>
    </cfRule>
    <cfRule type="expression" dxfId="2071" priority="2473">
      <formula>$H242="CALIBRADO"</formula>
    </cfRule>
    <cfRule type="expression" dxfId="2070" priority="2474">
      <formula>$H242="DANIFICADO"</formula>
    </cfRule>
    <cfRule type="expression" dxfId="2069" priority="2475">
      <formula>$H242="VENCIDO"</formula>
    </cfRule>
    <cfRule type="expression" dxfId="2068" priority="2476">
      <formula>$H242="NO PRAZO"</formula>
    </cfRule>
    <cfRule type="expression" dxfId="2067" priority="2477">
      <formula>$H242="CALIBRAR"</formula>
    </cfRule>
    <cfRule type="expression" dxfId="2066" priority="2478">
      <formula>$H242="SEM CALIBRAÇÃO"</formula>
    </cfRule>
  </conditionalFormatting>
  <conditionalFormatting sqref="I597:J597 G592:G605">
    <cfRule type="expression" dxfId="2065" priority="3995">
      <formula>$H592="PROX. VENCIMENTO (2 MESES)"</formula>
    </cfRule>
  </conditionalFormatting>
  <conditionalFormatting sqref="I600:J604">
    <cfRule type="expression" dxfId="2064" priority="4015">
      <formula>$H600="CALIBRAÇÃO VENCIDA"</formula>
    </cfRule>
    <cfRule type="expression" dxfId="2063" priority="4016">
      <formula>$H600="PROX. VENCIMENTO"</formula>
    </cfRule>
    <cfRule type="expression" dxfId="2062" priority="4017">
      <formula>$H600="CALIBRADO"</formula>
    </cfRule>
    <cfRule type="expression" dxfId="2061" priority="4018">
      <formula>$H600="DANIFICADO"</formula>
    </cfRule>
    <cfRule type="expression" dxfId="2060" priority="4019">
      <formula>$H600="VENCIDO"</formula>
    </cfRule>
    <cfRule type="expression" dxfId="2059" priority="4020">
      <formula>$H600="NO PRAZO"</formula>
    </cfRule>
    <cfRule type="expression" dxfId="2058" priority="4021">
      <formula>$H600="CALIBRAR"</formula>
    </cfRule>
    <cfRule type="expression" dxfId="2057" priority="4022">
      <formula>$H600="SEM CALIBRAÇÃO"</formula>
    </cfRule>
  </conditionalFormatting>
  <conditionalFormatting sqref="J592:J598">
    <cfRule type="expression" dxfId="2056" priority="4008">
      <formula>$H592="DANIFICADO"</formula>
    </cfRule>
    <cfRule type="expression" dxfId="2055" priority="4009">
      <formula>$H592="VENCIDO"</formula>
    </cfRule>
    <cfRule type="expression" dxfId="2054" priority="4010">
      <formula>$H592="NO PRAZO"</formula>
    </cfRule>
    <cfRule type="expression" dxfId="2053" priority="4011">
      <formula>$H592="CALIBRAR"</formula>
    </cfRule>
    <cfRule type="expression" dxfId="2052" priority="4012">
      <formula>$H592="SEM CALIBRAÇÃO"</formula>
    </cfRule>
  </conditionalFormatting>
  <conditionalFormatting sqref="J598">
    <cfRule type="expression" dxfId="2051" priority="3845">
      <formula>$H598="PROX. VENCIMENTO (2 MESES)"</formula>
    </cfRule>
    <cfRule type="expression" dxfId="2050" priority="3846">
      <formula>$H598="CALIBRAÇÃO VENCIDA"</formula>
    </cfRule>
    <cfRule type="expression" dxfId="2049" priority="3847">
      <formula>$H598="PROX. VENCIMENTO"</formula>
    </cfRule>
    <cfRule type="expression" dxfId="2048" priority="3848">
      <formula>$H598="CALIBRADO"</formula>
    </cfRule>
  </conditionalFormatting>
  <conditionalFormatting sqref="K10:O34 K45:O590 K630:O658 N659:N671 O670:O671">
    <cfRule type="cellIs" dxfId="2047" priority="6269" operator="equal">
      <formula>"X"</formula>
    </cfRule>
  </conditionalFormatting>
  <conditionalFormatting sqref="K591:O629">
    <cfRule type="cellIs" dxfId="2046" priority="3004" operator="equal">
      <formula>"X"</formula>
    </cfRule>
  </conditionalFormatting>
  <conditionalFormatting sqref="K672:O672">
    <cfRule type="cellIs" dxfId="2045" priority="119" operator="equal">
      <formula>"X"</formula>
    </cfRule>
  </conditionalFormatting>
  <conditionalFormatting sqref="O38:O39">
    <cfRule type="cellIs" dxfId="2044" priority="39" operator="equal">
      <formula>"X"</formula>
    </cfRule>
  </conditionalFormatting>
  <conditionalFormatting sqref="O659:O669 K659:M671">
    <cfRule type="cellIs" dxfId="2043" priority="1756" operator="equal">
      <formula>"X"</formula>
    </cfRule>
  </conditionalFormatting>
  <conditionalFormatting sqref="R10">
    <cfRule type="duplicateValues" dxfId="2042" priority="5659"/>
    <cfRule type="duplicateValues" dxfId="2041" priority="5660"/>
  </conditionalFormatting>
  <conditionalFormatting sqref="R11">
    <cfRule type="duplicateValues" dxfId="2040" priority="5657"/>
    <cfRule type="duplicateValues" dxfId="2039" priority="5658"/>
  </conditionalFormatting>
  <conditionalFormatting sqref="R12">
    <cfRule type="duplicateValues" dxfId="2038" priority="5655"/>
    <cfRule type="duplicateValues" dxfId="2037" priority="5656"/>
  </conditionalFormatting>
  <conditionalFormatting sqref="R18">
    <cfRule type="duplicateValues" dxfId="2036" priority="1265"/>
    <cfRule type="duplicateValues" dxfId="2035" priority="1266"/>
    <cfRule type="duplicateValues" dxfId="2034" priority="1267"/>
    <cfRule type="duplicateValues" dxfId="2033" priority="1268"/>
  </conditionalFormatting>
  <conditionalFormatting sqref="R19">
    <cfRule type="duplicateValues" dxfId="2032" priority="1340"/>
    <cfRule type="duplicateValues" dxfId="2031" priority="1341"/>
    <cfRule type="duplicateValues" dxfId="2030" priority="1342"/>
  </conditionalFormatting>
  <conditionalFormatting sqref="R20">
    <cfRule type="duplicateValues" dxfId="2029" priority="3935"/>
    <cfRule type="duplicateValues" dxfId="2028" priority="3936"/>
  </conditionalFormatting>
  <conditionalFormatting sqref="R21">
    <cfRule type="duplicateValues" dxfId="2027" priority="243"/>
    <cfRule type="duplicateValues" dxfId="2026" priority="244"/>
    <cfRule type="duplicateValues" dxfId="2025" priority="245"/>
    <cfRule type="duplicateValues" dxfId="2024" priority="246"/>
  </conditionalFormatting>
  <conditionalFormatting sqref="R22">
    <cfRule type="duplicateValues" dxfId="2023" priority="5192"/>
    <cfRule type="duplicateValues" dxfId="2022" priority="5193"/>
  </conditionalFormatting>
  <conditionalFormatting sqref="R23">
    <cfRule type="duplicateValues" dxfId="2021" priority="979"/>
    <cfRule type="duplicateValues" dxfId="2020" priority="980"/>
    <cfRule type="duplicateValues" dxfId="2019" priority="981"/>
    <cfRule type="duplicateValues" dxfId="2018" priority="982"/>
  </conditionalFormatting>
  <conditionalFormatting sqref="R24">
    <cfRule type="duplicateValues" dxfId="2017" priority="5649"/>
    <cfRule type="duplicateValues" dxfId="2016" priority="5650"/>
  </conditionalFormatting>
  <conditionalFormatting sqref="R25">
    <cfRule type="duplicateValues" dxfId="2015" priority="5242"/>
    <cfRule type="duplicateValues" dxfId="2014" priority="5243"/>
  </conditionalFormatting>
  <conditionalFormatting sqref="R26">
    <cfRule type="duplicateValues" dxfId="2013" priority="5647"/>
    <cfRule type="duplicateValues" dxfId="2012" priority="5648"/>
  </conditionalFormatting>
  <conditionalFormatting sqref="R27">
    <cfRule type="duplicateValues" dxfId="2011" priority="71317"/>
    <cfRule type="duplicateValues" dxfId="2010" priority="71318"/>
    <cfRule type="duplicateValues" dxfId="2009" priority="71319"/>
  </conditionalFormatting>
  <conditionalFormatting sqref="R28">
    <cfRule type="duplicateValues" dxfId="2008" priority="79906"/>
    <cfRule type="duplicateValues" dxfId="2007" priority="79907"/>
  </conditionalFormatting>
  <conditionalFormatting sqref="R29">
    <cfRule type="duplicateValues" dxfId="2006" priority="80112"/>
    <cfRule type="duplicateValues" dxfId="2005" priority="80113"/>
  </conditionalFormatting>
  <conditionalFormatting sqref="R30">
    <cfRule type="duplicateValues" dxfId="2004" priority="1392"/>
    <cfRule type="duplicateValues" dxfId="2003" priority="1393"/>
    <cfRule type="duplicateValues" dxfId="2002" priority="1394"/>
  </conditionalFormatting>
  <conditionalFormatting sqref="R33">
    <cfRule type="duplicateValues" dxfId="2001" priority="4467"/>
    <cfRule type="duplicateValues" dxfId="2000" priority="4468"/>
  </conditionalFormatting>
  <conditionalFormatting sqref="R34">
    <cfRule type="duplicateValues" dxfId="1999" priority="45156"/>
    <cfRule type="duplicateValues" dxfId="1998" priority="45157"/>
  </conditionalFormatting>
  <conditionalFormatting sqref="R39">
    <cfRule type="duplicateValues" dxfId="1997" priority="11"/>
    <cfRule type="duplicateValues" dxfId="1996" priority="12"/>
    <cfRule type="duplicateValues" dxfId="1995" priority="13"/>
    <cfRule type="duplicateValues" dxfId="1994" priority="14"/>
    <cfRule type="duplicateValues" dxfId="1993" priority="15"/>
  </conditionalFormatting>
  <conditionalFormatting sqref="R40">
    <cfRule type="duplicateValues" dxfId="1992" priority="1389"/>
    <cfRule type="duplicateValues" dxfId="1991" priority="1390"/>
    <cfRule type="duplicateValues" dxfId="1990" priority="1391"/>
  </conditionalFormatting>
  <conditionalFormatting sqref="R41">
    <cfRule type="duplicateValues" dxfId="1989" priority="1379"/>
    <cfRule type="duplicateValues" dxfId="1988" priority="1380"/>
    <cfRule type="duplicateValues" dxfId="1987" priority="1381"/>
  </conditionalFormatting>
  <conditionalFormatting sqref="R42">
    <cfRule type="duplicateValues" dxfId="1986" priority="180"/>
    <cfRule type="duplicateValues" dxfId="1985" priority="181"/>
    <cfRule type="duplicateValues" dxfId="1984" priority="182"/>
    <cfRule type="duplicateValues" dxfId="1983" priority="183"/>
  </conditionalFormatting>
  <conditionalFormatting sqref="R43">
    <cfRule type="duplicateValues" dxfId="1982" priority="176"/>
    <cfRule type="duplicateValues" dxfId="1981" priority="177"/>
    <cfRule type="duplicateValues" dxfId="1980" priority="178"/>
    <cfRule type="duplicateValues" dxfId="1979" priority="179"/>
  </conditionalFormatting>
  <conditionalFormatting sqref="R45">
    <cfRule type="duplicateValues" dxfId="1978" priority="1166"/>
    <cfRule type="duplicateValues" dxfId="1977" priority="1167"/>
    <cfRule type="duplicateValues" dxfId="1976" priority="1168"/>
    <cfRule type="duplicateValues" dxfId="1975" priority="1169"/>
  </conditionalFormatting>
  <conditionalFormatting sqref="R46">
    <cfRule type="duplicateValues" dxfId="1974" priority="1335"/>
  </conditionalFormatting>
  <conditionalFormatting sqref="R47">
    <cfRule type="duplicateValues" dxfId="1973" priority="3574"/>
    <cfRule type="duplicateValues" dxfId="1972" priority="3575"/>
  </conditionalFormatting>
  <conditionalFormatting sqref="R48">
    <cfRule type="duplicateValues" dxfId="1971" priority="3572"/>
    <cfRule type="duplicateValues" dxfId="1970" priority="3573"/>
  </conditionalFormatting>
  <conditionalFormatting sqref="R49">
    <cfRule type="duplicateValues" dxfId="1969" priority="3570"/>
    <cfRule type="duplicateValues" dxfId="1968" priority="3571"/>
  </conditionalFormatting>
  <conditionalFormatting sqref="R50">
    <cfRule type="duplicateValues" dxfId="1967" priority="3568"/>
    <cfRule type="duplicateValues" dxfId="1966" priority="3569"/>
  </conditionalFormatting>
  <conditionalFormatting sqref="R51">
    <cfRule type="duplicateValues" dxfId="1965" priority="3566"/>
  </conditionalFormatting>
  <conditionalFormatting sqref="R52">
    <cfRule type="duplicateValues" dxfId="1964" priority="3565"/>
  </conditionalFormatting>
  <conditionalFormatting sqref="R53">
    <cfRule type="duplicateValues" dxfId="1963" priority="3563"/>
  </conditionalFormatting>
  <conditionalFormatting sqref="R54">
    <cfRule type="duplicateValues" dxfId="1962" priority="1658"/>
    <cfRule type="duplicateValues" dxfId="1961" priority="1659"/>
  </conditionalFormatting>
  <conditionalFormatting sqref="R55:R56">
    <cfRule type="duplicateValues" dxfId="1960" priority="3562"/>
  </conditionalFormatting>
  <conditionalFormatting sqref="R57">
    <cfRule type="duplicateValues" dxfId="1959" priority="3229"/>
    <cfRule type="duplicateValues" dxfId="1958" priority="3230"/>
  </conditionalFormatting>
  <conditionalFormatting sqref="R58">
    <cfRule type="duplicateValues" dxfId="1957" priority="1577"/>
    <cfRule type="duplicateValues" dxfId="1956" priority="3216"/>
  </conditionalFormatting>
  <conditionalFormatting sqref="R60">
    <cfRule type="duplicateValues" dxfId="1955" priority="2795"/>
    <cfRule type="duplicateValues" dxfId="1954" priority="2796"/>
  </conditionalFormatting>
  <conditionalFormatting sqref="R61">
    <cfRule type="duplicateValues" dxfId="1953" priority="1262"/>
    <cfRule type="duplicateValues" dxfId="1952" priority="1263"/>
    <cfRule type="duplicateValues" dxfId="1951" priority="1264"/>
  </conditionalFormatting>
  <conditionalFormatting sqref="R62">
    <cfRule type="duplicateValues" dxfId="1950" priority="2305"/>
    <cfRule type="duplicateValues" dxfId="1949" priority="2306"/>
  </conditionalFormatting>
  <conditionalFormatting sqref="R63">
    <cfRule type="duplicateValues" dxfId="1948" priority="2793"/>
    <cfRule type="duplicateValues" dxfId="1947" priority="2794"/>
  </conditionalFormatting>
  <conditionalFormatting sqref="R64">
    <cfRule type="duplicateValues" dxfId="1946" priority="1565"/>
    <cfRule type="duplicateValues" dxfId="1945" priority="1566"/>
  </conditionalFormatting>
  <conditionalFormatting sqref="R65">
    <cfRule type="duplicateValues" dxfId="1944" priority="7493"/>
  </conditionalFormatting>
  <conditionalFormatting sqref="R66">
    <cfRule type="duplicateValues" dxfId="1943" priority="46"/>
    <cfRule type="duplicateValues" dxfId="1942" priority="47"/>
    <cfRule type="duplicateValues" dxfId="1941" priority="48"/>
    <cfRule type="duplicateValues" dxfId="1940" priority="49"/>
    <cfRule type="duplicateValues" dxfId="1939" priority="50"/>
  </conditionalFormatting>
  <conditionalFormatting sqref="R67">
    <cfRule type="duplicateValues" dxfId="1938" priority="210"/>
    <cfRule type="duplicateValues" dxfId="1937" priority="211"/>
    <cfRule type="duplicateValues" dxfId="1936" priority="212"/>
    <cfRule type="duplicateValues" dxfId="1935" priority="213"/>
  </conditionalFormatting>
  <conditionalFormatting sqref="R68">
    <cfRule type="duplicateValues" dxfId="1934" priority="206"/>
    <cfRule type="duplicateValues" dxfId="1933" priority="207"/>
    <cfRule type="duplicateValues" dxfId="1932" priority="208"/>
    <cfRule type="duplicateValues" dxfId="1931" priority="209"/>
  </conditionalFormatting>
  <conditionalFormatting sqref="R69">
    <cfRule type="duplicateValues" dxfId="1930" priority="1361"/>
    <cfRule type="duplicateValues" dxfId="1929" priority="1362"/>
    <cfRule type="duplicateValues" dxfId="1928" priority="1363"/>
  </conditionalFormatting>
  <conditionalFormatting sqref="R70">
    <cfRule type="duplicateValues" dxfId="1927" priority="1358"/>
    <cfRule type="duplicateValues" dxfId="1926" priority="1359"/>
    <cfRule type="duplicateValues" dxfId="1925" priority="1360"/>
  </conditionalFormatting>
  <conditionalFormatting sqref="R71">
    <cfRule type="duplicateValues" dxfId="1924" priority="2362"/>
    <cfRule type="duplicateValues" dxfId="1923" priority="2363"/>
    <cfRule type="duplicateValues" dxfId="1922" priority="2364"/>
  </conditionalFormatting>
  <conditionalFormatting sqref="R72">
    <cfRule type="duplicateValues" dxfId="1921" priority="279"/>
    <cfRule type="duplicateValues" dxfId="1920" priority="280"/>
    <cfRule type="duplicateValues" dxfId="1919" priority="281"/>
    <cfRule type="duplicateValues" dxfId="1918" priority="282"/>
  </conditionalFormatting>
  <conditionalFormatting sqref="R73">
    <cfRule type="duplicateValues" dxfId="1917" priority="2359"/>
    <cfRule type="duplicateValues" dxfId="1916" priority="2360"/>
    <cfRule type="duplicateValues" dxfId="1915" priority="2361"/>
  </conditionalFormatting>
  <conditionalFormatting sqref="R74">
    <cfRule type="duplicateValues" dxfId="1914" priority="172"/>
    <cfRule type="duplicateValues" dxfId="1913" priority="173"/>
    <cfRule type="duplicateValues" dxfId="1912" priority="174"/>
    <cfRule type="duplicateValues" dxfId="1911" priority="175"/>
  </conditionalFormatting>
  <conditionalFormatting sqref="R75">
    <cfRule type="duplicateValues" dxfId="1910" priority="169"/>
    <cfRule type="duplicateValues" dxfId="1909" priority="170"/>
    <cfRule type="duplicateValues" dxfId="1908" priority="171"/>
    <cfRule type="duplicateValues" dxfId="1907" priority="2345"/>
    <cfRule type="duplicateValues" dxfId="1906" priority="2346"/>
    <cfRule type="duplicateValues" dxfId="1905" priority="5696"/>
  </conditionalFormatting>
  <conditionalFormatting sqref="R76">
    <cfRule type="duplicateValues" dxfId="1904" priority="56"/>
    <cfRule type="duplicateValues" dxfId="1903" priority="57"/>
    <cfRule type="duplicateValues" dxfId="1902" priority="58"/>
    <cfRule type="duplicateValues" dxfId="1901" priority="59"/>
    <cfRule type="duplicateValues" dxfId="1900" priority="60"/>
  </conditionalFormatting>
  <conditionalFormatting sqref="R77">
    <cfRule type="duplicateValues" dxfId="1899" priority="51"/>
    <cfRule type="duplicateValues" dxfId="1898" priority="52"/>
    <cfRule type="duplicateValues" dxfId="1897" priority="53"/>
    <cfRule type="duplicateValues" dxfId="1896" priority="54"/>
    <cfRule type="duplicateValues" dxfId="1895" priority="55"/>
  </conditionalFormatting>
  <conditionalFormatting sqref="R78">
    <cfRule type="duplicateValues" dxfId="1894" priority="1258"/>
    <cfRule type="duplicateValues" dxfId="1893" priority="1259"/>
    <cfRule type="duplicateValues" dxfId="1892" priority="1260"/>
    <cfRule type="duplicateValues" dxfId="1891" priority="1261"/>
  </conditionalFormatting>
  <conditionalFormatting sqref="R79">
    <cfRule type="duplicateValues" dxfId="1890" priority="653"/>
    <cfRule type="duplicateValues" dxfId="1889" priority="654"/>
    <cfRule type="duplicateValues" dxfId="1888" priority="655"/>
    <cfRule type="duplicateValues" dxfId="1887" priority="656"/>
  </conditionalFormatting>
  <conditionalFormatting sqref="R80">
    <cfRule type="duplicateValues" dxfId="1886" priority="599"/>
    <cfRule type="duplicateValues" dxfId="1885" priority="600"/>
    <cfRule type="duplicateValues" dxfId="1884" priority="601"/>
    <cfRule type="duplicateValues" dxfId="1883" priority="602"/>
  </conditionalFormatting>
  <conditionalFormatting sqref="R81">
    <cfRule type="duplicateValues" dxfId="1882" priority="6"/>
    <cfRule type="duplicateValues" dxfId="1881" priority="7"/>
    <cfRule type="duplicateValues" dxfId="1880" priority="8"/>
    <cfRule type="duplicateValues" dxfId="1879" priority="9"/>
    <cfRule type="duplicateValues" dxfId="1878" priority="10"/>
  </conditionalFormatting>
  <conditionalFormatting sqref="R82">
    <cfRule type="duplicateValues" dxfId="1877" priority="2595"/>
    <cfRule type="duplicateValues" dxfId="1876" priority="2596"/>
    <cfRule type="duplicateValues" dxfId="1875" priority="2597"/>
  </conditionalFormatting>
  <conditionalFormatting sqref="R83">
    <cfRule type="duplicateValues" dxfId="1874" priority="2747"/>
    <cfRule type="duplicateValues" dxfId="1873" priority="2748"/>
    <cfRule type="duplicateValues" dxfId="1872" priority="2749"/>
  </conditionalFormatting>
  <conditionalFormatting sqref="R84">
    <cfRule type="duplicateValues" dxfId="1871" priority="2744"/>
    <cfRule type="duplicateValues" dxfId="1870" priority="2745"/>
    <cfRule type="duplicateValues" dxfId="1869" priority="2746"/>
  </conditionalFormatting>
  <conditionalFormatting sqref="R85">
    <cfRule type="duplicateValues" dxfId="1868" priority="2309"/>
    <cfRule type="duplicateValues" dxfId="1867" priority="2310"/>
  </conditionalFormatting>
  <conditionalFormatting sqref="R86">
    <cfRule type="duplicateValues" dxfId="1866" priority="2787"/>
    <cfRule type="duplicateValues" dxfId="1865" priority="2788"/>
    <cfRule type="duplicateValues" dxfId="1864" priority="2789"/>
  </conditionalFormatting>
  <conditionalFormatting sqref="R87">
    <cfRule type="duplicateValues" dxfId="1863" priority="2741"/>
    <cfRule type="duplicateValues" dxfId="1862" priority="2742"/>
    <cfRule type="duplicateValues" dxfId="1861" priority="2743"/>
  </conditionalFormatting>
  <conditionalFormatting sqref="R88">
    <cfRule type="duplicateValues" dxfId="1860" priority="3316"/>
    <cfRule type="duplicateValues" dxfId="1859" priority="3317"/>
  </conditionalFormatting>
  <conditionalFormatting sqref="R89">
    <cfRule type="duplicateValues" dxfId="1858" priority="3271"/>
    <cfRule type="duplicateValues" dxfId="1857" priority="3272"/>
  </conditionalFormatting>
  <conditionalFormatting sqref="R90">
    <cfRule type="duplicateValues" dxfId="1856" priority="2738"/>
    <cfRule type="duplicateValues" dxfId="1855" priority="2739"/>
    <cfRule type="duplicateValues" dxfId="1854" priority="2740"/>
  </conditionalFormatting>
  <conditionalFormatting sqref="R91">
    <cfRule type="duplicateValues" dxfId="1853" priority="2784"/>
    <cfRule type="duplicateValues" dxfId="1852" priority="2785"/>
    <cfRule type="duplicateValues" dxfId="1851" priority="2786"/>
  </conditionalFormatting>
  <conditionalFormatting sqref="R92">
    <cfRule type="duplicateValues" dxfId="1850" priority="7252"/>
  </conditionalFormatting>
  <conditionalFormatting sqref="R93">
    <cfRule type="duplicateValues" dxfId="1849" priority="3288"/>
    <cfRule type="duplicateValues" dxfId="1848" priority="3289"/>
  </conditionalFormatting>
  <conditionalFormatting sqref="R94:R95">
    <cfRule type="duplicateValues" dxfId="1847" priority="4352"/>
    <cfRule type="duplicateValues" dxfId="1846" priority="4353"/>
  </conditionalFormatting>
  <conditionalFormatting sqref="R96">
    <cfRule type="duplicateValues" dxfId="1845" priority="2459"/>
    <cfRule type="duplicateValues" dxfId="1844" priority="2460"/>
    <cfRule type="duplicateValues" dxfId="1843" priority="2461"/>
  </conditionalFormatting>
  <conditionalFormatting sqref="R97">
    <cfRule type="duplicateValues" dxfId="1842" priority="2302"/>
    <cfRule type="duplicateValues" dxfId="1841" priority="2303"/>
    <cfRule type="duplicateValues" dxfId="1840" priority="2304"/>
  </conditionalFormatting>
  <conditionalFormatting sqref="R98">
    <cfRule type="duplicateValues" dxfId="1839" priority="2339"/>
    <cfRule type="duplicateValues" dxfId="1838" priority="2340"/>
    <cfRule type="duplicateValues" dxfId="1837" priority="2341"/>
  </conditionalFormatting>
  <conditionalFormatting sqref="R99">
    <cfRule type="duplicateValues" dxfId="1836" priority="2940"/>
    <cfRule type="duplicateValues" dxfId="1835" priority="2941"/>
    <cfRule type="duplicateValues" dxfId="1834" priority="2942"/>
  </conditionalFormatting>
  <conditionalFormatting sqref="R100">
    <cfRule type="duplicateValues" dxfId="1833" priority="2299"/>
    <cfRule type="duplicateValues" dxfId="1832" priority="2300"/>
    <cfRule type="duplicateValues" dxfId="1831" priority="2301"/>
  </conditionalFormatting>
  <conditionalFormatting sqref="R101">
    <cfRule type="duplicateValues" dxfId="1830" priority="2456"/>
    <cfRule type="duplicateValues" dxfId="1829" priority="2457"/>
    <cfRule type="duplicateValues" dxfId="1828" priority="2458"/>
  </conditionalFormatting>
  <conditionalFormatting sqref="R102">
    <cfRule type="duplicateValues" dxfId="1827" priority="2453"/>
    <cfRule type="duplicateValues" dxfId="1826" priority="2454"/>
    <cfRule type="duplicateValues" dxfId="1825" priority="2455"/>
  </conditionalFormatting>
  <conditionalFormatting sqref="R103">
    <cfRule type="duplicateValues" dxfId="1824" priority="5848"/>
    <cfRule type="duplicateValues" dxfId="1823" priority="5849"/>
  </conditionalFormatting>
  <conditionalFormatting sqref="R104">
    <cfRule type="duplicateValues" dxfId="1822" priority="2255"/>
    <cfRule type="duplicateValues" dxfId="1821" priority="2256"/>
    <cfRule type="duplicateValues" dxfId="1820" priority="2257"/>
  </conditionalFormatting>
  <conditionalFormatting sqref="R105">
    <cfRule type="duplicateValues" dxfId="1819" priority="2450"/>
    <cfRule type="duplicateValues" dxfId="1818" priority="2451"/>
    <cfRule type="duplicateValues" dxfId="1817" priority="2452"/>
  </conditionalFormatting>
  <conditionalFormatting sqref="R106">
    <cfRule type="duplicateValues" dxfId="1816" priority="5842"/>
    <cfRule type="duplicateValues" dxfId="1815" priority="5843"/>
  </conditionalFormatting>
  <conditionalFormatting sqref="R107">
    <cfRule type="duplicateValues" dxfId="1814" priority="2203"/>
    <cfRule type="duplicateValues" dxfId="1813" priority="2204"/>
    <cfRule type="duplicateValues" dxfId="1812" priority="2205"/>
  </conditionalFormatting>
  <conditionalFormatting sqref="R108">
    <cfRule type="duplicateValues" dxfId="1811" priority="5834"/>
    <cfRule type="duplicateValues" dxfId="1810" priority="5835"/>
  </conditionalFormatting>
  <conditionalFormatting sqref="R109">
    <cfRule type="duplicateValues" dxfId="1809" priority="5832"/>
    <cfRule type="duplicateValues" dxfId="1808" priority="5833"/>
  </conditionalFormatting>
  <conditionalFormatting sqref="R110">
    <cfRule type="duplicateValues" dxfId="1807" priority="3376"/>
    <cfRule type="duplicateValues" dxfId="1806" priority="3377"/>
  </conditionalFormatting>
  <conditionalFormatting sqref="R111">
    <cfRule type="duplicateValues" dxfId="1805" priority="3445"/>
    <cfRule type="duplicateValues" dxfId="1804" priority="3446"/>
  </conditionalFormatting>
  <conditionalFormatting sqref="R112">
    <cfRule type="duplicateValues" dxfId="1803" priority="5824"/>
    <cfRule type="duplicateValues" dxfId="1802" priority="5825"/>
  </conditionalFormatting>
  <conditionalFormatting sqref="R113">
    <cfRule type="duplicateValues" dxfId="1801" priority="3286"/>
    <cfRule type="duplicateValues" dxfId="1800" priority="3287"/>
  </conditionalFormatting>
  <conditionalFormatting sqref="R114">
    <cfRule type="duplicateValues" dxfId="1799" priority="3298"/>
    <cfRule type="duplicateValues" dxfId="1798" priority="3299"/>
  </conditionalFormatting>
  <conditionalFormatting sqref="R115">
    <cfRule type="duplicateValues" dxfId="1797" priority="5814"/>
    <cfRule type="duplicateValues" dxfId="1796" priority="5815"/>
  </conditionalFormatting>
  <conditionalFormatting sqref="R116">
    <cfRule type="duplicateValues" dxfId="1795" priority="5812"/>
    <cfRule type="duplicateValues" dxfId="1794" priority="5813"/>
  </conditionalFormatting>
  <conditionalFormatting sqref="R117">
    <cfRule type="duplicateValues" dxfId="1793" priority="2336"/>
    <cfRule type="duplicateValues" dxfId="1792" priority="2337"/>
    <cfRule type="duplicateValues" dxfId="1791" priority="2338"/>
  </conditionalFormatting>
  <conditionalFormatting sqref="R118">
    <cfRule type="duplicateValues" dxfId="1790" priority="3293"/>
    <cfRule type="duplicateValues" dxfId="1789" priority="3294"/>
  </conditionalFormatting>
  <conditionalFormatting sqref="R119">
    <cfRule type="duplicateValues" dxfId="1788" priority="3312"/>
    <cfRule type="duplicateValues" dxfId="1787" priority="3313"/>
  </conditionalFormatting>
  <conditionalFormatting sqref="R120">
    <cfRule type="duplicateValues" dxfId="1786" priority="7068"/>
  </conditionalFormatting>
  <conditionalFormatting sqref="R121">
    <cfRule type="duplicateValues" dxfId="1785" priority="2896"/>
    <cfRule type="duplicateValues" dxfId="1784" priority="2897"/>
    <cfRule type="duplicateValues" dxfId="1783" priority="2898"/>
  </conditionalFormatting>
  <conditionalFormatting sqref="R122">
    <cfRule type="duplicateValues" dxfId="1782" priority="2893"/>
    <cfRule type="duplicateValues" dxfId="1781" priority="2894"/>
    <cfRule type="duplicateValues" dxfId="1780" priority="2895"/>
  </conditionalFormatting>
  <conditionalFormatting sqref="R123:R124">
    <cfRule type="duplicateValues" dxfId="1779" priority="2890"/>
    <cfRule type="duplicateValues" dxfId="1778" priority="2891"/>
    <cfRule type="duplicateValues" dxfId="1777" priority="2892"/>
  </conditionalFormatting>
  <conditionalFormatting sqref="R125">
    <cfRule type="duplicateValues" dxfId="1776" priority="2887"/>
    <cfRule type="duplicateValues" dxfId="1775" priority="2888"/>
    <cfRule type="duplicateValues" dxfId="1774" priority="2889"/>
  </conditionalFormatting>
  <conditionalFormatting sqref="R126">
    <cfRule type="duplicateValues" dxfId="1773" priority="165"/>
    <cfRule type="duplicateValues" dxfId="1772" priority="166"/>
    <cfRule type="duplicateValues" dxfId="1771" priority="167"/>
    <cfRule type="duplicateValues" dxfId="1770" priority="168"/>
  </conditionalFormatting>
  <conditionalFormatting sqref="R127">
    <cfRule type="duplicateValues" dxfId="1769" priority="2881"/>
    <cfRule type="duplicateValues" dxfId="1768" priority="2882"/>
    <cfRule type="duplicateValues" dxfId="1767" priority="2883"/>
  </conditionalFormatting>
  <conditionalFormatting sqref="R128">
    <cfRule type="duplicateValues" dxfId="1766" priority="2878"/>
    <cfRule type="duplicateValues" dxfId="1765" priority="2879"/>
    <cfRule type="duplicateValues" dxfId="1764" priority="2880"/>
  </conditionalFormatting>
  <conditionalFormatting sqref="R129:R130">
    <cfRule type="duplicateValues" dxfId="1763" priority="2875"/>
    <cfRule type="duplicateValues" dxfId="1762" priority="2876"/>
    <cfRule type="duplicateValues" dxfId="1761" priority="2877"/>
  </conditionalFormatting>
  <conditionalFormatting sqref="R131">
    <cfRule type="duplicateValues" dxfId="1760" priority="2872"/>
    <cfRule type="duplicateValues" dxfId="1759" priority="2873"/>
    <cfRule type="duplicateValues" dxfId="1758" priority="2874"/>
  </conditionalFormatting>
  <conditionalFormatting sqref="R132">
    <cfRule type="duplicateValues" dxfId="1757" priority="1545"/>
    <cfRule type="duplicateValues" dxfId="1756" priority="1546"/>
    <cfRule type="duplicateValues" dxfId="1755" priority="1547"/>
  </conditionalFormatting>
  <conditionalFormatting sqref="R133">
    <cfRule type="duplicateValues" dxfId="1754" priority="81843"/>
    <cfRule type="duplicateValues" dxfId="1753" priority="81844"/>
    <cfRule type="duplicateValues" dxfId="1752" priority="81845"/>
    <cfRule type="duplicateValues" dxfId="1751" priority="81846"/>
  </conditionalFormatting>
  <conditionalFormatting sqref="R134">
    <cfRule type="duplicateValues" dxfId="1750" priority="2866"/>
    <cfRule type="duplicateValues" dxfId="1749" priority="2867"/>
    <cfRule type="duplicateValues" dxfId="1748" priority="2868"/>
  </conditionalFormatting>
  <conditionalFormatting sqref="R135">
    <cfRule type="duplicateValues" dxfId="1747" priority="1574"/>
    <cfRule type="duplicateValues" dxfId="1746" priority="1575"/>
    <cfRule type="duplicateValues" dxfId="1745" priority="1576"/>
  </conditionalFormatting>
  <conditionalFormatting sqref="R136">
    <cfRule type="duplicateValues" dxfId="1744" priority="2860"/>
    <cfRule type="duplicateValues" dxfId="1743" priority="2861"/>
    <cfRule type="duplicateValues" dxfId="1742" priority="2862"/>
  </conditionalFormatting>
  <conditionalFormatting sqref="R137">
    <cfRule type="duplicateValues" dxfId="1741" priority="1542"/>
    <cfRule type="duplicateValues" dxfId="1740" priority="1543"/>
    <cfRule type="duplicateValues" dxfId="1739" priority="1544"/>
  </conditionalFormatting>
  <conditionalFormatting sqref="R138">
    <cfRule type="duplicateValues" dxfId="1738" priority="1571"/>
    <cfRule type="duplicateValues" dxfId="1737" priority="1572"/>
    <cfRule type="duplicateValues" dxfId="1736" priority="1573"/>
  </conditionalFormatting>
  <conditionalFormatting sqref="R139">
    <cfRule type="duplicateValues" dxfId="1735" priority="2853"/>
    <cfRule type="duplicateValues" dxfId="1734" priority="2854"/>
    <cfRule type="duplicateValues" dxfId="1733" priority="2855"/>
    <cfRule type="duplicateValues" dxfId="1732" priority="2856"/>
  </conditionalFormatting>
  <conditionalFormatting sqref="R140">
    <cfRule type="duplicateValues" dxfId="1731" priority="2849"/>
    <cfRule type="duplicateValues" dxfId="1730" priority="2850"/>
    <cfRule type="duplicateValues" dxfId="1729" priority="2851"/>
    <cfRule type="duplicateValues" dxfId="1728" priority="2852"/>
  </conditionalFormatting>
  <conditionalFormatting sqref="R141">
    <cfRule type="duplicateValues" dxfId="1727" priority="1567"/>
    <cfRule type="duplicateValues" dxfId="1726" priority="1568"/>
    <cfRule type="duplicateValues" dxfId="1725" priority="1569"/>
    <cfRule type="duplicateValues" dxfId="1724" priority="1570"/>
  </conditionalFormatting>
  <conditionalFormatting sqref="R142">
    <cfRule type="duplicateValues" dxfId="1723" priority="1143"/>
    <cfRule type="duplicateValues" dxfId="1722" priority="1144"/>
    <cfRule type="duplicateValues" dxfId="1721" priority="1145"/>
    <cfRule type="duplicateValues" dxfId="1720" priority="1146"/>
    <cfRule type="duplicateValues" dxfId="1719" priority="1147"/>
  </conditionalFormatting>
  <conditionalFormatting sqref="R143">
    <cfRule type="duplicateValues" dxfId="1718" priority="2841"/>
    <cfRule type="duplicateValues" dxfId="1717" priority="2842"/>
    <cfRule type="duplicateValues" dxfId="1716" priority="2843"/>
    <cfRule type="duplicateValues" dxfId="1715" priority="2844"/>
  </conditionalFormatting>
  <conditionalFormatting sqref="R144">
    <cfRule type="duplicateValues" dxfId="1714" priority="2837"/>
    <cfRule type="duplicateValues" dxfId="1713" priority="2838"/>
    <cfRule type="duplicateValues" dxfId="1712" priority="2839"/>
    <cfRule type="duplicateValues" dxfId="1711" priority="2840"/>
  </conditionalFormatting>
  <conditionalFormatting sqref="R147">
    <cfRule type="duplicateValues" dxfId="1710" priority="160"/>
    <cfRule type="duplicateValues" dxfId="1709" priority="161"/>
    <cfRule type="duplicateValues" dxfId="1708" priority="162"/>
    <cfRule type="duplicateValues" dxfId="1707" priority="163"/>
    <cfRule type="duplicateValues" dxfId="1706" priority="164"/>
  </conditionalFormatting>
  <conditionalFormatting sqref="R148">
    <cfRule type="duplicateValues" dxfId="1705" priority="2829"/>
    <cfRule type="duplicateValues" dxfId="1704" priority="2830"/>
    <cfRule type="duplicateValues" dxfId="1703" priority="2831"/>
    <cfRule type="duplicateValues" dxfId="1702" priority="2832"/>
  </conditionalFormatting>
  <conditionalFormatting sqref="R149">
    <cfRule type="duplicateValues" dxfId="1701" priority="1561"/>
    <cfRule type="duplicateValues" dxfId="1700" priority="1562"/>
    <cfRule type="duplicateValues" dxfId="1699" priority="1563"/>
    <cfRule type="duplicateValues" dxfId="1698" priority="1564"/>
  </conditionalFormatting>
  <conditionalFormatting sqref="R150">
    <cfRule type="duplicateValues" dxfId="1697" priority="1538"/>
    <cfRule type="duplicateValues" dxfId="1696" priority="1539"/>
    <cfRule type="duplicateValues" dxfId="1695" priority="1540"/>
    <cfRule type="duplicateValues" dxfId="1694" priority="1541"/>
  </conditionalFormatting>
  <conditionalFormatting sqref="R151">
    <cfRule type="duplicateValues" dxfId="1693" priority="1118"/>
    <cfRule type="duplicateValues" dxfId="1692" priority="1119"/>
    <cfRule type="duplicateValues" dxfId="1691" priority="1120"/>
    <cfRule type="duplicateValues" dxfId="1690" priority="1121"/>
    <cfRule type="duplicateValues" dxfId="1689" priority="1122"/>
  </conditionalFormatting>
  <conditionalFormatting sqref="R152">
    <cfRule type="duplicateValues" dxfId="1688" priority="2821"/>
    <cfRule type="duplicateValues" dxfId="1687" priority="2822"/>
    <cfRule type="duplicateValues" dxfId="1686" priority="2823"/>
    <cfRule type="duplicateValues" dxfId="1685" priority="2824"/>
  </conditionalFormatting>
  <conditionalFormatting sqref="R153">
    <cfRule type="duplicateValues" dxfId="1684" priority="998"/>
    <cfRule type="duplicateValues" dxfId="1683" priority="999"/>
    <cfRule type="duplicateValues" dxfId="1682" priority="1000"/>
    <cfRule type="duplicateValues" dxfId="1681" priority="1001"/>
    <cfRule type="duplicateValues" dxfId="1680" priority="1002"/>
  </conditionalFormatting>
  <conditionalFormatting sqref="R155">
    <cfRule type="duplicateValues" dxfId="1679" priority="2805"/>
    <cfRule type="duplicateValues" dxfId="1678" priority="2806"/>
    <cfRule type="duplicateValues" dxfId="1677" priority="2807"/>
    <cfRule type="duplicateValues" dxfId="1676" priority="2808"/>
  </conditionalFormatting>
  <conditionalFormatting sqref="R156">
    <cfRule type="duplicateValues" dxfId="1675" priority="2801"/>
    <cfRule type="duplicateValues" dxfId="1674" priority="2802"/>
    <cfRule type="duplicateValues" dxfId="1673" priority="2803"/>
    <cfRule type="duplicateValues" dxfId="1672" priority="2804"/>
  </conditionalFormatting>
  <conditionalFormatting sqref="R157">
    <cfRule type="duplicateValues" dxfId="1671" priority="5910"/>
    <cfRule type="duplicateValues" dxfId="1670" priority="5911"/>
    <cfRule type="duplicateValues" dxfId="1669" priority="5912"/>
  </conditionalFormatting>
  <conditionalFormatting sqref="R158">
    <cfRule type="duplicateValues" dxfId="1668" priority="5779"/>
    <cfRule type="duplicateValues" dxfId="1667" priority="5780"/>
    <cfRule type="duplicateValues" dxfId="1666" priority="5781"/>
  </conditionalFormatting>
  <conditionalFormatting sqref="R159">
    <cfRule type="duplicateValues" dxfId="1665" priority="2797"/>
    <cfRule type="duplicateValues" dxfId="1664" priority="2798"/>
    <cfRule type="duplicateValues" dxfId="1663" priority="2799"/>
    <cfRule type="duplicateValues" dxfId="1662" priority="2800"/>
  </conditionalFormatting>
  <conditionalFormatting sqref="R160">
    <cfRule type="duplicateValues" dxfId="1661" priority="2332"/>
    <cfRule type="duplicateValues" dxfId="1660" priority="2333"/>
    <cfRule type="duplicateValues" dxfId="1659" priority="2334"/>
    <cfRule type="duplicateValues" dxfId="1658" priority="2335"/>
  </conditionalFormatting>
  <conditionalFormatting sqref="R161">
    <cfRule type="duplicateValues" dxfId="1657" priority="2328"/>
    <cfRule type="duplicateValues" dxfId="1656" priority="2329"/>
    <cfRule type="duplicateValues" dxfId="1655" priority="2330"/>
    <cfRule type="duplicateValues" dxfId="1654" priority="2331"/>
  </conditionalFormatting>
  <conditionalFormatting sqref="R162">
    <cfRule type="duplicateValues" dxfId="1653" priority="64988"/>
    <cfRule type="duplicateValues" dxfId="1652" priority="64989"/>
    <cfRule type="duplicateValues" dxfId="1651" priority="64990"/>
  </conditionalFormatting>
  <conditionalFormatting sqref="R163">
    <cfRule type="duplicateValues" dxfId="1650" priority="1557"/>
    <cfRule type="duplicateValues" dxfId="1649" priority="1558"/>
    <cfRule type="duplicateValues" dxfId="1648" priority="1559"/>
    <cfRule type="duplicateValues" dxfId="1647" priority="1560"/>
  </conditionalFormatting>
  <conditionalFormatting sqref="R164">
    <cfRule type="duplicateValues" dxfId="1646" priority="25"/>
    <cfRule type="duplicateValues" dxfId="1645" priority="26"/>
    <cfRule type="duplicateValues" dxfId="1644" priority="27"/>
    <cfRule type="duplicateValues" dxfId="1643" priority="28"/>
    <cfRule type="duplicateValues" dxfId="1642" priority="29"/>
    <cfRule type="duplicateValues" dxfId="1641" priority="30"/>
  </conditionalFormatting>
  <conditionalFormatting sqref="R165">
    <cfRule type="duplicateValues" dxfId="1640" priority="5681"/>
    <cfRule type="duplicateValues" dxfId="1639" priority="5682"/>
    <cfRule type="duplicateValues" dxfId="1638" priority="5683"/>
  </conditionalFormatting>
  <conditionalFormatting sqref="R166">
    <cfRule type="duplicateValues" dxfId="1637" priority="5678"/>
    <cfRule type="duplicateValues" dxfId="1636" priority="5679"/>
    <cfRule type="duplicateValues" dxfId="1635" priority="5680"/>
  </conditionalFormatting>
  <conditionalFormatting sqref="R167">
    <cfRule type="duplicateValues" dxfId="1634" priority="2904"/>
    <cfRule type="duplicateValues" dxfId="1633" priority="2905"/>
    <cfRule type="duplicateValues" dxfId="1632" priority="2906"/>
    <cfRule type="duplicateValues" dxfId="1631" priority="2907"/>
  </conditionalFormatting>
  <conditionalFormatting sqref="R168">
    <cfRule type="duplicateValues" dxfId="1630" priority="2900"/>
    <cfRule type="duplicateValues" dxfId="1629" priority="2901"/>
    <cfRule type="duplicateValues" dxfId="1628" priority="2902"/>
    <cfRule type="duplicateValues" dxfId="1627" priority="2903"/>
  </conditionalFormatting>
  <conditionalFormatting sqref="R169">
    <cfRule type="duplicateValues" dxfId="1626" priority="3306"/>
    <cfRule type="duplicateValues" dxfId="1625" priority="3307"/>
    <cfRule type="duplicateValues" dxfId="1624" priority="3308"/>
  </conditionalFormatting>
  <conditionalFormatting sqref="R170">
    <cfRule type="duplicateValues" dxfId="1623" priority="2591"/>
    <cfRule type="duplicateValues" dxfId="1622" priority="2592"/>
    <cfRule type="duplicateValues" dxfId="1621" priority="2593"/>
    <cfRule type="duplicateValues" dxfId="1620" priority="2594"/>
  </conditionalFormatting>
  <conditionalFormatting sqref="R171">
    <cfRule type="duplicateValues" dxfId="1619" priority="6918"/>
    <cfRule type="duplicateValues" dxfId="1618" priority="6919"/>
  </conditionalFormatting>
  <conditionalFormatting sqref="R172">
    <cfRule type="duplicateValues" dxfId="1617" priority="3489"/>
    <cfRule type="duplicateValues" dxfId="1616" priority="3490"/>
    <cfRule type="duplicateValues" dxfId="1615" priority="3491"/>
  </conditionalFormatting>
  <conditionalFormatting sqref="R173">
    <cfRule type="duplicateValues" dxfId="1614" priority="1375"/>
    <cfRule type="duplicateValues" dxfId="1613" priority="1376"/>
    <cfRule type="duplicateValues" dxfId="1612" priority="1377"/>
    <cfRule type="duplicateValues" dxfId="1611" priority="1378"/>
  </conditionalFormatting>
  <conditionalFormatting sqref="R174">
    <cfRule type="duplicateValues" dxfId="1610" priority="717"/>
    <cfRule type="duplicateValues" dxfId="1609" priority="718"/>
    <cfRule type="duplicateValues" dxfId="1608" priority="719"/>
    <cfRule type="duplicateValues" dxfId="1607" priority="720"/>
    <cfRule type="duplicateValues" dxfId="1606" priority="721"/>
  </conditionalFormatting>
  <conditionalFormatting sqref="R175">
    <cfRule type="duplicateValues" dxfId="1605" priority="594"/>
    <cfRule type="duplicateValues" dxfId="1604" priority="595"/>
    <cfRule type="duplicateValues" dxfId="1603" priority="596"/>
    <cfRule type="duplicateValues" dxfId="1602" priority="597"/>
    <cfRule type="duplicateValues" dxfId="1601" priority="598"/>
  </conditionalFormatting>
  <conditionalFormatting sqref="R176">
    <cfRule type="duplicateValues" dxfId="1600" priority="60423"/>
    <cfRule type="duplicateValues" dxfId="1599" priority="60424"/>
    <cfRule type="duplicateValues" dxfId="1598" priority="60425"/>
    <cfRule type="duplicateValues" dxfId="1597" priority="60426"/>
  </conditionalFormatting>
  <conditionalFormatting sqref="R177">
    <cfRule type="duplicateValues" dxfId="1596" priority="2919"/>
    <cfRule type="duplicateValues" dxfId="1595" priority="2920"/>
    <cfRule type="duplicateValues" dxfId="1594" priority="2921"/>
    <cfRule type="duplicateValues" dxfId="1593" priority="2922"/>
  </conditionalFormatting>
  <conditionalFormatting sqref="R178">
    <cfRule type="duplicateValues" dxfId="1592" priority="2656"/>
    <cfRule type="duplicateValues" dxfId="1591" priority="2657"/>
    <cfRule type="duplicateValues" dxfId="1590" priority="2658"/>
    <cfRule type="duplicateValues" dxfId="1589" priority="2659"/>
  </conditionalFormatting>
  <conditionalFormatting sqref="R179">
    <cfRule type="duplicateValues" dxfId="1588" priority="2936"/>
    <cfRule type="duplicateValues" dxfId="1587" priority="2937"/>
    <cfRule type="duplicateValues" dxfId="1586" priority="2938"/>
    <cfRule type="duplicateValues" dxfId="1585" priority="2939"/>
  </conditionalFormatting>
  <conditionalFormatting sqref="R180">
    <cfRule type="duplicateValues" dxfId="1584" priority="4370"/>
    <cfRule type="duplicateValues" dxfId="1583" priority="4371"/>
    <cfRule type="duplicateValues" dxfId="1582" priority="4372"/>
  </conditionalFormatting>
  <conditionalFormatting sqref="R181">
    <cfRule type="duplicateValues" dxfId="1581" priority="4418"/>
    <cfRule type="duplicateValues" dxfId="1580" priority="4419"/>
    <cfRule type="duplicateValues" dxfId="1579" priority="4420"/>
  </conditionalFormatting>
  <conditionalFormatting sqref="R182">
    <cfRule type="duplicateValues" dxfId="1578" priority="1113"/>
    <cfRule type="duplicateValues" dxfId="1577" priority="1114"/>
    <cfRule type="duplicateValues" dxfId="1576" priority="1115"/>
    <cfRule type="duplicateValues" dxfId="1575" priority="1116"/>
    <cfRule type="duplicateValues" dxfId="1574" priority="1117"/>
  </conditionalFormatting>
  <conditionalFormatting sqref="R183">
    <cfRule type="duplicateValues" dxfId="1573" priority="993"/>
    <cfRule type="duplicateValues" dxfId="1572" priority="994"/>
    <cfRule type="duplicateValues" dxfId="1571" priority="995"/>
    <cfRule type="duplicateValues" dxfId="1570" priority="996"/>
    <cfRule type="duplicateValues" dxfId="1569" priority="997"/>
  </conditionalFormatting>
  <conditionalFormatting sqref="R184">
    <cfRule type="duplicateValues" dxfId="1568" priority="2587"/>
    <cfRule type="duplicateValues" dxfId="1567" priority="2588"/>
    <cfRule type="duplicateValues" dxfId="1566" priority="2589"/>
    <cfRule type="duplicateValues" dxfId="1565" priority="2590"/>
  </conditionalFormatting>
  <conditionalFormatting sqref="R185">
    <cfRule type="duplicateValues" dxfId="1564" priority="1331"/>
    <cfRule type="duplicateValues" dxfId="1563" priority="1332"/>
    <cfRule type="duplicateValues" dxfId="1562" priority="1333"/>
    <cfRule type="duplicateValues" dxfId="1561" priority="1334"/>
  </conditionalFormatting>
  <conditionalFormatting sqref="R187">
    <cfRule type="duplicateValues" dxfId="1560" priority="2982"/>
    <cfRule type="duplicateValues" dxfId="1559" priority="2983"/>
    <cfRule type="duplicateValues" dxfId="1558" priority="2984"/>
    <cfRule type="duplicateValues" dxfId="1557" priority="2985"/>
  </conditionalFormatting>
  <conditionalFormatting sqref="R188">
    <cfRule type="duplicateValues" dxfId="1556" priority="2978"/>
    <cfRule type="duplicateValues" dxfId="1555" priority="2979"/>
    <cfRule type="duplicateValues" dxfId="1554" priority="2980"/>
    <cfRule type="duplicateValues" dxfId="1553" priority="2981"/>
  </conditionalFormatting>
  <conditionalFormatting sqref="R189">
    <cfRule type="duplicateValues" dxfId="1552" priority="5223"/>
    <cfRule type="duplicateValues" dxfId="1551" priority="5224"/>
    <cfRule type="duplicateValues" dxfId="1550" priority="5225"/>
  </conditionalFormatting>
  <conditionalFormatting sqref="R190">
    <cfRule type="duplicateValues" dxfId="1549" priority="2501"/>
    <cfRule type="duplicateValues" dxfId="1548" priority="2502"/>
    <cfRule type="duplicateValues" dxfId="1547" priority="2503"/>
    <cfRule type="duplicateValues" dxfId="1546" priority="2504"/>
  </conditionalFormatting>
  <conditionalFormatting sqref="R191">
    <cfRule type="duplicateValues" dxfId="1545" priority="238"/>
    <cfRule type="duplicateValues" dxfId="1544" priority="239"/>
    <cfRule type="duplicateValues" dxfId="1543" priority="240"/>
    <cfRule type="duplicateValues" dxfId="1542" priority="241"/>
    <cfRule type="duplicateValues" dxfId="1541" priority="242"/>
  </conditionalFormatting>
  <conditionalFormatting sqref="R192">
    <cfRule type="duplicateValues" dxfId="1540" priority="69956"/>
    <cfRule type="duplicateValues" dxfId="1539" priority="69957"/>
    <cfRule type="duplicateValues" dxfId="1538" priority="69958"/>
    <cfRule type="duplicateValues" dxfId="1537" priority="69959"/>
  </conditionalFormatting>
  <conditionalFormatting sqref="R193">
    <cfRule type="duplicateValues" dxfId="1536" priority="1650"/>
    <cfRule type="duplicateValues" dxfId="1535" priority="1651"/>
    <cfRule type="duplicateValues" dxfId="1534" priority="1652"/>
    <cfRule type="duplicateValues" dxfId="1533" priority="1653"/>
  </conditionalFormatting>
  <conditionalFormatting sqref="R194">
    <cfRule type="duplicateValues" dxfId="1532" priority="1646"/>
    <cfRule type="duplicateValues" dxfId="1531" priority="1647"/>
    <cfRule type="duplicateValues" dxfId="1530" priority="1648"/>
    <cfRule type="duplicateValues" dxfId="1529" priority="1649"/>
  </conditionalFormatting>
  <conditionalFormatting sqref="R195">
    <cfRule type="duplicateValues" dxfId="1528" priority="1642"/>
    <cfRule type="duplicateValues" dxfId="1527" priority="1643"/>
    <cfRule type="duplicateValues" dxfId="1526" priority="1644"/>
    <cfRule type="duplicateValues" dxfId="1525" priority="1645"/>
  </conditionalFormatting>
  <conditionalFormatting sqref="R196">
    <cfRule type="duplicateValues" dxfId="1524" priority="1638"/>
    <cfRule type="duplicateValues" dxfId="1523" priority="1639"/>
    <cfRule type="duplicateValues" dxfId="1522" priority="1640"/>
    <cfRule type="duplicateValues" dxfId="1521" priority="1641"/>
  </conditionalFormatting>
  <conditionalFormatting sqref="R197">
    <cfRule type="duplicateValues" dxfId="1520" priority="1634"/>
    <cfRule type="duplicateValues" dxfId="1519" priority="1635"/>
    <cfRule type="duplicateValues" dxfId="1518" priority="1636"/>
    <cfRule type="duplicateValues" dxfId="1517" priority="1637"/>
  </conditionalFormatting>
  <conditionalFormatting sqref="R198">
    <cfRule type="duplicateValues" dxfId="1516" priority="1630"/>
    <cfRule type="duplicateValues" dxfId="1515" priority="1631"/>
    <cfRule type="duplicateValues" dxfId="1514" priority="1632"/>
    <cfRule type="duplicateValues" dxfId="1513" priority="1633"/>
  </conditionalFormatting>
  <conditionalFormatting sqref="R199">
    <cfRule type="duplicateValues" dxfId="1512" priority="1626"/>
    <cfRule type="duplicateValues" dxfId="1511" priority="1627"/>
    <cfRule type="duplicateValues" dxfId="1510" priority="1628"/>
    <cfRule type="duplicateValues" dxfId="1509" priority="1629"/>
  </conditionalFormatting>
  <conditionalFormatting sqref="R200">
    <cfRule type="duplicateValues" dxfId="1508" priority="3178"/>
    <cfRule type="duplicateValues" dxfId="1507" priority="3179"/>
    <cfRule type="duplicateValues" dxfId="1506" priority="3180"/>
    <cfRule type="duplicateValues" dxfId="1505" priority="3181"/>
  </conditionalFormatting>
  <conditionalFormatting sqref="R201">
    <cfRule type="duplicateValues" dxfId="1504" priority="3174"/>
    <cfRule type="duplicateValues" dxfId="1503" priority="3175"/>
    <cfRule type="duplicateValues" dxfId="1502" priority="3176"/>
    <cfRule type="duplicateValues" dxfId="1501" priority="3177"/>
  </conditionalFormatting>
  <conditionalFormatting sqref="R202">
    <cfRule type="duplicateValues" dxfId="1500" priority="3170"/>
    <cfRule type="duplicateValues" dxfId="1499" priority="3171"/>
    <cfRule type="duplicateValues" dxfId="1498" priority="3172"/>
    <cfRule type="duplicateValues" dxfId="1497" priority="3173"/>
  </conditionalFormatting>
  <conditionalFormatting sqref="R203">
    <cfRule type="duplicateValues" dxfId="1496" priority="3166"/>
    <cfRule type="duplicateValues" dxfId="1495" priority="3167"/>
    <cfRule type="duplicateValues" dxfId="1494" priority="3168"/>
    <cfRule type="duplicateValues" dxfId="1493" priority="3169"/>
  </conditionalFormatting>
  <conditionalFormatting sqref="R204">
    <cfRule type="duplicateValues" dxfId="1492" priority="3162"/>
    <cfRule type="duplicateValues" dxfId="1491" priority="3163"/>
    <cfRule type="duplicateValues" dxfId="1490" priority="3164"/>
    <cfRule type="duplicateValues" dxfId="1489" priority="3165"/>
  </conditionalFormatting>
  <conditionalFormatting sqref="R205">
    <cfRule type="duplicateValues" dxfId="1488" priority="643"/>
    <cfRule type="duplicateValues" dxfId="1487" priority="644"/>
    <cfRule type="duplicateValues" dxfId="1486" priority="645"/>
    <cfRule type="duplicateValues" dxfId="1485" priority="646"/>
    <cfRule type="duplicateValues" dxfId="1484" priority="647"/>
  </conditionalFormatting>
  <conditionalFormatting sqref="R206">
    <cfRule type="duplicateValues" dxfId="1483" priority="1622"/>
    <cfRule type="duplicateValues" dxfId="1482" priority="1623"/>
    <cfRule type="duplicateValues" dxfId="1481" priority="1624"/>
    <cfRule type="duplicateValues" dxfId="1480" priority="1625"/>
  </conditionalFormatting>
  <conditionalFormatting sqref="R207">
    <cfRule type="duplicateValues" dxfId="1479" priority="1618"/>
    <cfRule type="duplicateValues" dxfId="1478" priority="1619"/>
    <cfRule type="duplicateValues" dxfId="1477" priority="1620"/>
    <cfRule type="duplicateValues" dxfId="1476" priority="1621"/>
  </conditionalFormatting>
  <conditionalFormatting sqref="R208">
    <cfRule type="duplicateValues" dxfId="1475" priority="1614"/>
    <cfRule type="duplicateValues" dxfId="1474" priority="1615"/>
    <cfRule type="duplicateValues" dxfId="1473" priority="1616"/>
    <cfRule type="duplicateValues" dxfId="1472" priority="1617"/>
  </conditionalFormatting>
  <conditionalFormatting sqref="R209">
    <cfRule type="duplicateValues" dxfId="1471" priority="1610"/>
    <cfRule type="duplicateValues" dxfId="1470" priority="1611"/>
    <cfRule type="duplicateValues" dxfId="1469" priority="1612"/>
    <cfRule type="duplicateValues" dxfId="1468" priority="1613"/>
  </conditionalFormatting>
  <conditionalFormatting sqref="R210">
    <cfRule type="duplicateValues" dxfId="1467" priority="1606"/>
    <cfRule type="duplicateValues" dxfId="1466" priority="1607"/>
    <cfRule type="duplicateValues" dxfId="1465" priority="1608"/>
    <cfRule type="duplicateValues" dxfId="1464" priority="1609"/>
  </conditionalFormatting>
  <conditionalFormatting sqref="R211">
    <cfRule type="duplicateValues" dxfId="1463" priority="1602"/>
    <cfRule type="duplicateValues" dxfId="1462" priority="1603"/>
    <cfRule type="duplicateValues" dxfId="1461" priority="1604"/>
    <cfRule type="duplicateValues" dxfId="1460" priority="1605"/>
  </conditionalFormatting>
  <conditionalFormatting sqref="R212">
    <cfRule type="duplicateValues" dxfId="1459" priority="1598"/>
    <cfRule type="duplicateValues" dxfId="1458" priority="1599"/>
    <cfRule type="duplicateValues" dxfId="1457" priority="1600"/>
    <cfRule type="duplicateValues" dxfId="1456" priority="1601"/>
  </conditionalFormatting>
  <conditionalFormatting sqref="R213">
    <cfRule type="duplicateValues" dxfId="1455" priority="1594"/>
    <cfRule type="duplicateValues" dxfId="1454" priority="1595"/>
    <cfRule type="duplicateValues" dxfId="1453" priority="1596"/>
    <cfRule type="duplicateValues" dxfId="1452" priority="1597"/>
  </conditionalFormatting>
  <conditionalFormatting sqref="R214">
    <cfRule type="duplicateValues" dxfId="1451" priority="1590"/>
    <cfRule type="duplicateValues" dxfId="1450" priority="1591"/>
    <cfRule type="duplicateValues" dxfId="1449" priority="1592"/>
    <cfRule type="duplicateValues" dxfId="1448" priority="1593"/>
  </conditionalFormatting>
  <conditionalFormatting sqref="R215">
    <cfRule type="duplicateValues" dxfId="1447" priority="1586"/>
    <cfRule type="duplicateValues" dxfId="1446" priority="1587"/>
    <cfRule type="duplicateValues" dxfId="1445" priority="1588"/>
    <cfRule type="duplicateValues" dxfId="1444" priority="1589"/>
  </conditionalFormatting>
  <conditionalFormatting sqref="R216">
    <cfRule type="duplicateValues" dxfId="1443" priority="1582"/>
    <cfRule type="duplicateValues" dxfId="1442" priority="1583"/>
    <cfRule type="duplicateValues" dxfId="1441" priority="1584"/>
    <cfRule type="duplicateValues" dxfId="1440" priority="1585"/>
  </conditionalFormatting>
  <conditionalFormatting sqref="R217">
    <cfRule type="duplicateValues" dxfId="1439" priority="1578"/>
    <cfRule type="duplicateValues" dxfId="1438" priority="1579"/>
    <cfRule type="duplicateValues" dxfId="1437" priority="1580"/>
    <cfRule type="duplicateValues" dxfId="1436" priority="1581"/>
  </conditionalFormatting>
  <conditionalFormatting sqref="R218">
    <cfRule type="duplicateValues" dxfId="1435" priority="293"/>
    <cfRule type="duplicateValues" dxfId="1434" priority="294"/>
    <cfRule type="duplicateValues" dxfId="1433" priority="295"/>
    <cfRule type="duplicateValues" dxfId="1432" priority="296"/>
    <cfRule type="duplicateValues" dxfId="1431" priority="297"/>
  </conditionalFormatting>
  <conditionalFormatting sqref="R219">
    <cfRule type="duplicateValues" dxfId="1430" priority="638"/>
    <cfRule type="duplicateValues" dxfId="1429" priority="639"/>
    <cfRule type="duplicateValues" dxfId="1428" priority="640"/>
    <cfRule type="duplicateValues" dxfId="1427" priority="641"/>
    <cfRule type="duplicateValues" dxfId="1426" priority="642"/>
  </conditionalFormatting>
  <conditionalFormatting sqref="R220">
    <cfRule type="duplicateValues" dxfId="1425" priority="633"/>
    <cfRule type="duplicateValues" dxfId="1424" priority="634"/>
    <cfRule type="duplicateValues" dxfId="1423" priority="635"/>
    <cfRule type="duplicateValues" dxfId="1422" priority="636"/>
    <cfRule type="duplicateValues" dxfId="1421" priority="637"/>
  </conditionalFormatting>
  <conditionalFormatting sqref="R221">
    <cfRule type="duplicateValues" dxfId="1420" priority="233"/>
    <cfRule type="duplicateValues" dxfId="1419" priority="234"/>
    <cfRule type="duplicateValues" dxfId="1418" priority="235"/>
    <cfRule type="duplicateValues" dxfId="1417" priority="236"/>
    <cfRule type="duplicateValues" dxfId="1416" priority="237"/>
  </conditionalFormatting>
  <conditionalFormatting sqref="R222">
    <cfRule type="duplicateValues" dxfId="1415" priority="5872"/>
    <cfRule type="duplicateValues" dxfId="1414" priority="5873"/>
    <cfRule type="duplicateValues" dxfId="1413" priority="5874"/>
  </conditionalFormatting>
  <conditionalFormatting sqref="R223">
    <cfRule type="duplicateValues" dxfId="1412" priority="4406"/>
    <cfRule type="duplicateValues" dxfId="1411" priority="4407"/>
    <cfRule type="duplicateValues" dxfId="1410" priority="4408"/>
  </conditionalFormatting>
  <conditionalFormatting sqref="R224">
    <cfRule type="duplicateValues" dxfId="1409" priority="1327"/>
    <cfRule type="duplicateValues" dxfId="1408" priority="1328"/>
    <cfRule type="duplicateValues" dxfId="1407" priority="1329"/>
    <cfRule type="duplicateValues" dxfId="1406" priority="1330"/>
  </conditionalFormatting>
  <conditionalFormatting sqref="R225">
    <cfRule type="duplicateValues" dxfId="1405" priority="2442"/>
    <cfRule type="duplicateValues" dxfId="1404" priority="2443"/>
    <cfRule type="duplicateValues" dxfId="1403" priority="2444"/>
    <cfRule type="duplicateValues" dxfId="1402" priority="2445"/>
  </conditionalFormatting>
  <conditionalFormatting sqref="R226">
    <cfRule type="duplicateValues" dxfId="1401" priority="1371"/>
    <cfRule type="duplicateValues" dxfId="1400" priority="1372"/>
    <cfRule type="duplicateValues" dxfId="1399" priority="1373"/>
    <cfRule type="duplicateValues" dxfId="1398" priority="1374"/>
  </conditionalFormatting>
  <conditionalFormatting sqref="R227">
    <cfRule type="duplicateValues" dxfId="1397" priority="2438"/>
    <cfRule type="duplicateValues" dxfId="1396" priority="2439"/>
    <cfRule type="duplicateValues" dxfId="1395" priority="2440"/>
    <cfRule type="duplicateValues" dxfId="1394" priority="2441"/>
  </conditionalFormatting>
  <conditionalFormatting sqref="R228">
    <cfRule type="duplicateValues" dxfId="1393" priority="5085"/>
    <cfRule type="duplicateValues" dxfId="1392" priority="5086"/>
    <cfRule type="duplicateValues" dxfId="1391" priority="5087"/>
  </conditionalFormatting>
  <conditionalFormatting sqref="R229">
    <cfRule type="duplicateValues" dxfId="1390" priority="1484"/>
    <cfRule type="duplicateValues" dxfId="1389" priority="1485"/>
    <cfRule type="duplicateValues" dxfId="1388" priority="1486"/>
    <cfRule type="duplicateValues" dxfId="1387" priority="1487"/>
  </conditionalFormatting>
  <conditionalFormatting sqref="R230">
    <cfRule type="duplicateValues" dxfId="1386" priority="1480"/>
    <cfRule type="duplicateValues" dxfId="1385" priority="1481"/>
    <cfRule type="duplicateValues" dxfId="1384" priority="1482"/>
    <cfRule type="duplicateValues" dxfId="1383" priority="1483"/>
  </conditionalFormatting>
  <conditionalFormatting sqref="R231">
    <cfRule type="duplicateValues" dxfId="1382" priority="1476"/>
    <cfRule type="duplicateValues" dxfId="1381" priority="1477"/>
    <cfRule type="duplicateValues" dxfId="1380" priority="1478"/>
    <cfRule type="duplicateValues" dxfId="1379" priority="1479"/>
  </conditionalFormatting>
  <conditionalFormatting sqref="R232">
    <cfRule type="duplicateValues" dxfId="1378" priority="1472"/>
    <cfRule type="duplicateValues" dxfId="1377" priority="1473"/>
    <cfRule type="duplicateValues" dxfId="1376" priority="1474"/>
    <cfRule type="duplicateValues" dxfId="1375" priority="1475"/>
  </conditionalFormatting>
  <conditionalFormatting sqref="R233">
    <cfRule type="duplicateValues" dxfId="1374" priority="1468"/>
    <cfRule type="duplicateValues" dxfId="1373" priority="1469"/>
    <cfRule type="duplicateValues" dxfId="1372" priority="1470"/>
    <cfRule type="duplicateValues" dxfId="1371" priority="1471"/>
  </conditionalFormatting>
  <conditionalFormatting sqref="R234">
    <cfRule type="duplicateValues" dxfId="1370" priority="5073"/>
    <cfRule type="duplicateValues" dxfId="1369" priority="5074"/>
    <cfRule type="duplicateValues" dxfId="1368" priority="5075"/>
  </conditionalFormatting>
  <conditionalFormatting sqref="R235">
    <cfRule type="duplicateValues" dxfId="1367" priority="1464"/>
    <cfRule type="duplicateValues" dxfId="1366" priority="1465"/>
    <cfRule type="duplicateValues" dxfId="1365" priority="1466"/>
    <cfRule type="duplicateValues" dxfId="1364" priority="1467"/>
  </conditionalFormatting>
  <conditionalFormatting sqref="R236">
    <cfRule type="duplicateValues" dxfId="1363" priority="2422"/>
    <cfRule type="duplicateValues" dxfId="1362" priority="2423"/>
    <cfRule type="duplicateValues" dxfId="1361" priority="2424"/>
    <cfRule type="duplicateValues" dxfId="1360" priority="2425"/>
  </conditionalFormatting>
  <conditionalFormatting sqref="R237">
    <cfRule type="duplicateValues" dxfId="1359" priority="1462"/>
    <cfRule type="duplicateValues" dxfId="1358" priority="1463"/>
    <cfRule type="duplicateValues" dxfId="1357" priority="2420"/>
    <cfRule type="duplicateValues" dxfId="1356" priority="2421"/>
    <cfRule type="duplicateValues" dxfId="1355" priority="5066"/>
  </conditionalFormatting>
  <conditionalFormatting sqref="R238">
    <cfRule type="duplicateValues" dxfId="1354" priority="1458"/>
    <cfRule type="duplicateValues" dxfId="1353" priority="1459"/>
    <cfRule type="duplicateValues" dxfId="1352" priority="1460"/>
    <cfRule type="duplicateValues" dxfId="1351" priority="1461"/>
  </conditionalFormatting>
  <conditionalFormatting sqref="R239">
    <cfRule type="duplicateValues" dxfId="1350" priority="2412"/>
    <cfRule type="duplicateValues" dxfId="1349" priority="2413"/>
    <cfRule type="duplicateValues" dxfId="1348" priority="2414"/>
    <cfRule type="duplicateValues" dxfId="1347" priority="2415"/>
  </conditionalFormatting>
  <conditionalFormatting sqref="R240">
    <cfRule type="duplicateValues" dxfId="1346" priority="2408"/>
    <cfRule type="duplicateValues" dxfId="1345" priority="2409"/>
    <cfRule type="duplicateValues" dxfId="1344" priority="2410"/>
    <cfRule type="duplicateValues" dxfId="1343" priority="2411"/>
  </conditionalFormatting>
  <conditionalFormatting sqref="R241">
    <cfRule type="duplicateValues" dxfId="1342" priority="2466"/>
    <cfRule type="duplicateValues" dxfId="1341" priority="2467"/>
    <cfRule type="duplicateValues" dxfId="1340" priority="2468"/>
    <cfRule type="duplicateValues" dxfId="1339" priority="2469"/>
  </conditionalFormatting>
  <conditionalFormatting sqref="R242">
    <cfRule type="duplicateValues" dxfId="1338" priority="1454"/>
    <cfRule type="duplicateValues" dxfId="1337" priority="1455"/>
    <cfRule type="duplicateValues" dxfId="1336" priority="1456"/>
    <cfRule type="duplicateValues" dxfId="1335" priority="1457"/>
  </conditionalFormatting>
  <conditionalFormatting sqref="R243">
    <cfRule type="duplicateValues" dxfId="1334" priority="1450"/>
    <cfRule type="duplicateValues" dxfId="1333" priority="1451"/>
    <cfRule type="duplicateValues" dxfId="1332" priority="1452"/>
    <cfRule type="duplicateValues" dxfId="1331" priority="1453"/>
  </conditionalFormatting>
  <conditionalFormatting sqref="R244">
    <cfRule type="duplicateValues" dxfId="1330" priority="5187"/>
    <cfRule type="duplicateValues" dxfId="1329" priority="5188"/>
    <cfRule type="duplicateValues" dxfId="1328" priority="5189"/>
  </conditionalFormatting>
  <conditionalFormatting sqref="R245">
    <cfRule type="duplicateValues" dxfId="1327" priority="2462"/>
    <cfRule type="duplicateValues" dxfId="1326" priority="2463"/>
    <cfRule type="duplicateValues" dxfId="1325" priority="2464"/>
    <cfRule type="duplicateValues" dxfId="1324" priority="2465"/>
  </conditionalFormatting>
  <conditionalFormatting sqref="R246">
    <cfRule type="duplicateValues" dxfId="1323" priority="5751"/>
    <cfRule type="duplicateValues" dxfId="1322" priority="5752"/>
    <cfRule type="duplicateValues" dxfId="1321" priority="5753"/>
  </conditionalFormatting>
  <conditionalFormatting sqref="R247">
    <cfRule type="duplicateValues" dxfId="1320" priority="7515"/>
    <cfRule type="duplicateValues" dxfId="1319" priority="7516"/>
  </conditionalFormatting>
  <conditionalFormatting sqref="R248:R249">
    <cfRule type="duplicateValues" dxfId="1318" priority="2404"/>
    <cfRule type="duplicateValues" dxfId="1317" priority="2405"/>
    <cfRule type="duplicateValues" dxfId="1316" priority="2406"/>
    <cfRule type="duplicateValues" dxfId="1315" priority="2407"/>
  </conditionalFormatting>
  <conditionalFormatting sqref="R250">
    <cfRule type="duplicateValues" dxfId="1314" priority="2400"/>
    <cfRule type="duplicateValues" dxfId="1313" priority="2401"/>
    <cfRule type="duplicateValues" dxfId="1312" priority="2402"/>
    <cfRule type="duplicateValues" dxfId="1311" priority="2403"/>
  </conditionalFormatting>
  <conditionalFormatting sqref="R251">
    <cfRule type="duplicateValues" dxfId="1310" priority="2396"/>
    <cfRule type="duplicateValues" dxfId="1309" priority="2397"/>
    <cfRule type="duplicateValues" dxfId="1308" priority="2398"/>
    <cfRule type="duplicateValues" dxfId="1307" priority="2399"/>
  </conditionalFormatting>
  <conditionalFormatting sqref="R252">
    <cfRule type="duplicateValues" dxfId="1306" priority="1138"/>
    <cfRule type="duplicateValues" dxfId="1305" priority="1139"/>
    <cfRule type="duplicateValues" dxfId="1304" priority="1140"/>
    <cfRule type="duplicateValues" dxfId="1303" priority="1141"/>
    <cfRule type="duplicateValues" dxfId="1302" priority="1142"/>
  </conditionalFormatting>
  <conditionalFormatting sqref="R253">
    <cfRule type="duplicateValues" dxfId="1301" priority="7360"/>
    <cfRule type="duplicateValues" dxfId="1300" priority="7361"/>
  </conditionalFormatting>
  <conditionalFormatting sqref="R254">
    <cfRule type="duplicateValues" dxfId="1299" priority="1133"/>
    <cfRule type="duplicateValues" dxfId="1298" priority="1134"/>
    <cfRule type="duplicateValues" dxfId="1297" priority="1135"/>
    <cfRule type="duplicateValues" dxfId="1296" priority="1136"/>
    <cfRule type="duplicateValues" dxfId="1295" priority="1137"/>
  </conditionalFormatting>
  <conditionalFormatting sqref="R255">
    <cfRule type="duplicateValues" dxfId="1294" priority="2567"/>
    <cfRule type="duplicateValues" dxfId="1293" priority="2568"/>
    <cfRule type="duplicateValues" dxfId="1292" priority="2569"/>
    <cfRule type="duplicateValues" dxfId="1291" priority="2570"/>
  </conditionalFormatting>
  <conditionalFormatting sqref="R256">
    <cfRule type="duplicateValues" dxfId="1290" priority="1128"/>
    <cfRule type="duplicateValues" dxfId="1289" priority="1129"/>
    <cfRule type="duplicateValues" dxfId="1288" priority="1130"/>
    <cfRule type="duplicateValues" dxfId="1287" priority="1131"/>
    <cfRule type="duplicateValues" dxfId="1286" priority="1132"/>
  </conditionalFormatting>
  <conditionalFormatting sqref="R257">
    <cfRule type="duplicateValues" dxfId="1285" priority="7346"/>
    <cfRule type="duplicateValues" dxfId="1284" priority="7347"/>
  </conditionalFormatting>
  <conditionalFormatting sqref="R258">
    <cfRule type="duplicateValues" dxfId="1283" priority="31993"/>
    <cfRule type="duplicateValues" dxfId="1282" priority="31994"/>
  </conditionalFormatting>
  <conditionalFormatting sqref="R259">
    <cfRule type="duplicateValues" dxfId="1281" priority="2702"/>
    <cfRule type="duplicateValues" dxfId="1280" priority="2703"/>
    <cfRule type="duplicateValues" dxfId="1279" priority="2704"/>
    <cfRule type="duplicateValues" dxfId="1278" priority="2705"/>
  </conditionalFormatting>
  <conditionalFormatting sqref="R260">
    <cfRule type="duplicateValues" dxfId="1277" priority="1123"/>
    <cfRule type="duplicateValues" dxfId="1276" priority="1124"/>
    <cfRule type="duplicateValues" dxfId="1275" priority="1125"/>
    <cfRule type="duplicateValues" dxfId="1274" priority="1126"/>
    <cfRule type="duplicateValues" dxfId="1273" priority="1127"/>
  </conditionalFormatting>
  <conditionalFormatting sqref="R261">
    <cfRule type="duplicateValues" dxfId="1272" priority="5739"/>
    <cfRule type="duplicateValues" dxfId="1271" priority="5740"/>
    <cfRule type="duplicateValues" dxfId="1270" priority="5741"/>
  </conditionalFormatting>
  <conditionalFormatting sqref="R262">
    <cfRule type="duplicateValues" dxfId="1269" priority="5063"/>
    <cfRule type="duplicateValues" dxfId="1268" priority="5064"/>
    <cfRule type="duplicateValues" dxfId="1267" priority="5065"/>
  </conditionalFormatting>
  <conditionalFormatting sqref="R263">
    <cfRule type="duplicateValues" dxfId="1266" priority="6527"/>
    <cfRule type="duplicateValues" dxfId="1265" priority="6528"/>
  </conditionalFormatting>
  <conditionalFormatting sqref="R264">
    <cfRule type="duplicateValues" dxfId="1264" priority="648"/>
    <cfRule type="duplicateValues" dxfId="1263" priority="649"/>
    <cfRule type="duplicateValues" dxfId="1262" priority="650"/>
    <cfRule type="duplicateValues" dxfId="1261" priority="651"/>
    <cfRule type="duplicateValues" dxfId="1260" priority="652"/>
  </conditionalFormatting>
  <conditionalFormatting sqref="R265">
    <cfRule type="duplicateValues" dxfId="1259" priority="1253"/>
    <cfRule type="duplicateValues" dxfId="1258" priority="1254"/>
    <cfRule type="duplicateValues" dxfId="1257" priority="1255"/>
    <cfRule type="duplicateValues" dxfId="1256" priority="1256"/>
    <cfRule type="duplicateValues" dxfId="1255" priority="1257"/>
  </conditionalFormatting>
  <conditionalFormatting sqref="R266">
    <cfRule type="duplicateValues" dxfId="1254" priority="1248"/>
    <cfRule type="duplicateValues" dxfId="1253" priority="1249"/>
    <cfRule type="duplicateValues" dxfId="1252" priority="1250"/>
    <cfRule type="duplicateValues" dxfId="1251" priority="1251"/>
    <cfRule type="duplicateValues" dxfId="1250" priority="1252"/>
  </conditionalFormatting>
  <conditionalFormatting sqref="R267">
    <cfRule type="duplicateValues" dxfId="1249" priority="3688"/>
    <cfRule type="duplicateValues" dxfId="1248" priority="3689"/>
    <cfRule type="duplicateValues" dxfId="1247" priority="3690"/>
  </conditionalFormatting>
  <conditionalFormatting sqref="R268">
    <cfRule type="duplicateValues" dxfId="1246" priority="1315"/>
    <cfRule type="duplicateValues" dxfId="1245" priority="1316"/>
    <cfRule type="duplicateValues" dxfId="1244" priority="1317"/>
    <cfRule type="duplicateValues" dxfId="1243" priority="1318"/>
  </conditionalFormatting>
  <conditionalFormatting sqref="R269">
    <cfRule type="duplicateValues" dxfId="1242" priority="1013"/>
    <cfRule type="duplicateValues" dxfId="1241" priority="1014"/>
    <cfRule type="duplicateValues" dxfId="1240" priority="1015"/>
    <cfRule type="duplicateValues" dxfId="1239" priority="1016"/>
    <cfRule type="duplicateValues" dxfId="1238" priority="1017"/>
  </conditionalFormatting>
  <conditionalFormatting sqref="R270">
    <cfRule type="duplicateValues" dxfId="1237" priority="274"/>
    <cfRule type="duplicateValues" dxfId="1236" priority="275"/>
    <cfRule type="duplicateValues" dxfId="1235" priority="276"/>
    <cfRule type="duplicateValues" dxfId="1234" priority="277"/>
    <cfRule type="duplicateValues" dxfId="1233" priority="278"/>
  </conditionalFormatting>
  <conditionalFormatting sqref="R271">
    <cfRule type="duplicateValues" dxfId="1232" priority="704"/>
    <cfRule type="duplicateValues" dxfId="1231" priority="705"/>
    <cfRule type="duplicateValues" dxfId="1230" priority="706"/>
    <cfRule type="duplicateValues" dxfId="1229" priority="707"/>
    <cfRule type="duplicateValues" dxfId="1228" priority="708"/>
  </conditionalFormatting>
  <conditionalFormatting sqref="R272">
    <cfRule type="duplicateValues" dxfId="1227" priority="1227"/>
    <cfRule type="duplicateValues" dxfId="1226" priority="1228"/>
    <cfRule type="duplicateValues" dxfId="1225" priority="1229"/>
    <cfRule type="duplicateValues" dxfId="1224" priority="1230"/>
    <cfRule type="duplicateValues" dxfId="1223" priority="1231"/>
  </conditionalFormatting>
  <conditionalFormatting sqref="R273">
    <cfRule type="duplicateValues" dxfId="1222" priority="1446"/>
    <cfRule type="duplicateValues" dxfId="1221" priority="1447"/>
    <cfRule type="duplicateValues" dxfId="1220" priority="1448"/>
    <cfRule type="duplicateValues" dxfId="1219" priority="1449"/>
  </conditionalFormatting>
  <conditionalFormatting sqref="R274">
    <cfRule type="duplicateValues" dxfId="1218" priority="1442"/>
    <cfRule type="duplicateValues" dxfId="1217" priority="1443"/>
    <cfRule type="duplicateValues" dxfId="1216" priority="1444"/>
    <cfRule type="duplicateValues" dxfId="1215" priority="1445"/>
  </conditionalFormatting>
  <conditionalFormatting sqref="R275">
    <cfRule type="duplicateValues" dxfId="1214" priority="1438"/>
    <cfRule type="duplicateValues" dxfId="1213" priority="1439"/>
    <cfRule type="duplicateValues" dxfId="1212" priority="1440"/>
    <cfRule type="duplicateValues" dxfId="1211" priority="1441"/>
  </conditionalFormatting>
  <conditionalFormatting sqref="R276">
    <cfRule type="duplicateValues" dxfId="1210" priority="1434"/>
    <cfRule type="duplicateValues" dxfId="1209" priority="1435"/>
    <cfRule type="duplicateValues" dxfId="1208" priority="1436"/>
    <cfRule type="duplicateValues" dxfId="1207" priority="1437"/>
  </conditionalFormatting>
  <conditionalFormatting sqref="R277">
    <cfRule type="duplicateValues" dxfId="1206" priority="1430"/>
    <cfRule type="duplicateValues" dxfId="1205" priority="1431"/>
    <cfRule type="duplicateValues" dxfId="1204" priority="1432"/>
    <cfRule type="duplicateValues" dxfId="1203" priority="1433"/>
  </conditionalFormatting>
  <conditionalFormatting sqref="R278">
    <cfRule type="duplicateValues" dxfId="1202" priority="1426"/>
    <cfRule type="duplicateValues" dxfId="1201" priority="1427"/>
    <cfRule type="duplicateValues" dxfId="1200" priority="1428"/>
    <cfRule type="duplicateValues" dxfId="1199" priority="1429"/>
  </conditionalFormatting>
  <conditionalFormatting sqref="R279">
    <cfRule type="duplicateValues" dxfId="1198" priority="1008"/>
    <cfRule type="duplicateValues" dxfId="1197" priority="1009"/>
    <cfRule type="duplicateValues" dxfId="1196" priority="1010"/>
    <cfRule type="duplicateValues" dxfId="1195" priority="1011"/>
    <cfRule type="duplicateValues" dxfId="1194" priority="1012"/>
  </conditionalFormatting>
  <conditionalFormatting sqref="R280">
    <cfRule type="duplicateValues" dxfId="1193" priority="1510"/>
    <cfRule type="duplicateValues" dxfId="1192" priority="1511"/>
    <cfRule type="duplicateValues" dxfId="1191" priority="1512"/>
    <cfRule type="duplicateValues" dxfId="1190" priority="1513"/>
  </conditionalFormatting>
  <conditionalFormatting sqref="R281">
    <cfRule type="duplicateValues" dxfId="1189" priority="269"/>
    <cfRule type="duplicateValues" dxfId="1188" priority="270"/>
    <cfRule type="duplicateValues" dxfId="1187" priority="271"/>
    <cfRule type="duplicateValues" dxfId="1186" priority="272"/>
    <cfRule type="duplicateValues" dxfId="1185" priority="273"/>
  </conditionalFormatting>
  <conditionalFormatting sqref="R282">
    <cfRule type="duplicateValues" dxfId="1184" priority="1222"/>
    <cfRule type="duplicateValues" dxfId="1183" priority="1223"/>
    <cfRule type="duplicateValues" dxfId="1182" priority="1224"/>
    <cfRule type="duplicateValues" dxfId="1181" priority="1225"/>
    <cfRule type="duplicateValues" dxfId="1180" priority="1226"/>
  </conditionalFormatting>
  <conditionalFormatting sqref="R283">
    <cfRule type="duplicateValues" dxfId="1179" priority="1422"/>
    <cfRule type="duplicateValues" dxfId="1178" priority="1423"/>
    <cfRule type="duplicateValues" dxfId="1177" priority="1424"/>
    <cfRule type="duplicateValues" dxfId="1176" priority="1425"/>
  </conditionalFormatting>
  <conditionalFormatting sqref="R284">
    <cfRule type="duplicateValues" dxfId="1175" priority="1418"/>
    <cfRule type="duplicateValues" dxfId="1174" priority="1419"/>
    <cfRule type="duplicateValues" dxfId="1173" priority="1420"/>
    <cfRule type="duplicateValues" dxfId="1172" priority="1421"/>
  </conditionalFormatting>
  <conditionalFormatting sqref="R285">
    <cfRule type="duplicateValues" dxfId="1171" priority="1414"/>
    <cfRule type="duplicateValues" dxfId="1170" priority="1415"/>
    <cfRule type="duplicateValues" dxfId="1169" priority="1416"/>
    <cfRule type="duplicateValues" dxfId="1168" priority="1417"/>
  </conditionalFormatting>
  <conditionalFormatting sqref="R286">
    <cfRule type="duplicateValues" dxfId="1167" priority="1410"/>
    <cfRule type="duplicateValues" dxfId="1166" priority="1411"/>
    <cfRule type="duplicateValues" dxfId="1165" priority="1412"/>
    <cfRule type="duplicateValues" dxfId="1164" priority="1413"/>
  </conditionalFormatting>
  <conditionalFormatting sqref="R287">
    <cfRule type="duplicateValues" dxfId="1163" priority="1406"/>
    <cfRule type="duplicateValues" dxfId="1162" priority="1407"/>
    <cfRule type="duplicateValues" dxfId="1161" priority="1408"/>
    <cfRule type="duplicateValues" dxfId="1160" priority="1409"/>
  </conditionalFormatting>
  <conditionalFormatting sqref="R288">
    <cfRule type="duplicateValues" dxfId="1159" priority="1402"/>
    <cfRule type="duplicateValues" dxfId="1158" priority="1403"/>
    <cfRule type="duplicateValues" dxfId="1157" priority="1404"/>
    <cfRule type="duplicateValues" dxfId="1156" priority="1405"/>
  </conditionalFormatting>
  <conditionalFormatting sqref="R289">
    <cfRule type="duplicateValues" dxfId="1155" priority="699"/>
    <cfRule type="duplicateValues" dxfId="1154" priority="700"/>
    <cfRule type="duplicateValues" dxfId="1153" priority="701"/>
    <cfRule type="duplicateValues" dxfId="1152" priority="702"/>
    <cfRule type="duplicateValues" dxfId="1151" priority="703"/>
  </conditionalFormatting>
  <conditionalFormatting sqref="R290">
    <cfRule type="duplicateValues" dxfId="1150" priority="2563"/>
    <cfRule type="duplicateValues" dxfId="1149" priority="2564"/>
    <cfRule type="duplicateValues" dxfId="1148" priority="2565"/>
    <cfRule type="duplicateValues" dxfId="1147" priority="2566"/>
  </conditionalFormatting>
  <conditionalFormatting sqref="R291">
    <cfRule type="duplicateValues" dxfId="1146" priority="2559"/>
    <cfRule type="duplicateValues" dxfId="1145" priority="2560"/>
    <cfRule type="duplicateValues" dxfId="1144" priority="2561"/>
    <cfRule type="duplicateValues" dxfId="1143" priority="2562"/>
  </conditionalFormatting>
  <conditionalFormatting sqref="R292">
    <cfRule type="duplicateValues" dxfId="1142" priority="5367"/>
    <cfRule type="duplicateValues" dxfId="1141" priority="5368"/>
    <cfRule type="duplicateValues" dxfId="1140" priority="5369"/>
  </conditionalFormatting>
  <conditionalFormatting sqref="R293">
    <cfRule type="duplicateValues" dxfId="1139" priority="5992"/>
    <cfRule type="duplicateValues" dxfId="1138" priority="5993"/>
  </conditionalFormatting>
  <conditionalFormatting sqref="R299">
    <cfRule type="duplicateValues" dxfId="1137" priority="1534"/>
    <cfRule type="duplicateValues" dxfId="1136" priority="1535"/>
    <cfRule type="duplicateValues" dxfId="1135" priority="1536"/>
    <cfRule type="duplicateValues" dxfId="1134" priority="1537"/>
  </conditionalFormatting>
  <conditionalFormatting sqref="R300">
    <cfRule type="duplicateValues" dxfId="1133" priority="5988"/>
    <cfRule type="duplicateValues" dxfId="1132" priority="5989"/>
  </conditionalFormatting>
  <conditionalFormatting sqref="R301">
    <cfRule type="duplicateValues" dxfId="1131" priority="5962"/>
    <cfRule type="duplicateValues" dxfId="1130" priority="5963"/>
  </conditionalFormatting>
  <conditionalFormatting sqref="R302">
    <cfRule type="duplicateValues" dxfId="1129" priority="2710"/>
    <cfRule type="duplicateValues" dxfId="1128" priority="2711"/>
    <cfRule type="duplicateValues" dxfId="1127" priority="2712"/>
    <cfRule type="duplicateValues" dxfId="1126" priority="2713"/>
  </conditionalFormatting>
  <conditionalFormatting sqref="R303">
    <cfRule type="duplicateValues" dxfId="1125" priority="1553"/>
    <cfRule type="duplicateValues" dxfId="1124" priority="1554"/>
    <cfRule type="duplicateValues" dxfId="1123" priority="1555"/>
    <cfRule type="duplicateValues" dxfId="1122" priority="1556"/>
  </conditionalFormatting>
  <conditionalFormatting sqref="R304">
    <cfRule type="duplicateValues" dxfId="1121" priority="5982"/>
    <cfRule type="duplicateValues" dxfId="1120" priority="5983"/>
  </conditionalFormatting>
  <conditionalFormatting sqref="R305">
    <cfRule type="duplicateValues" dxfId="1119" priority="155"/>
    <cfRule type="duplicateValues" dxfId="1118" priority="156"/>
    <cfRule type="duplicateValues" dxfId="1117" priority="157"/>
    <cfRule type="duplicateValues" dxfId="1116" priority="158"/>
    <cfRule type="duplicateValues" dxfId="1115" priority="159"/>
  </conditionalFormatting>
  <conditionalFormatting sqref="R306">
    <cfRule type="duplicateValues" dxfId="1114" priority="3483"/>
    <cfRule type="duplicateValues" dxfId="1113" priority="3484"/>
    <cfRule type="duplicateValues" dxfId="1112" priority="3485"/>
  </conditionalFormatting>
  <conditionalFormatting sqref="R307">
    <cfRule type="duplicateValues" dxfId="1111" priority="19"/>
    <cfRule type="duplicateValues" dxfId="1110" priority="20"/>
    <cfRule type="duplicateValues" dxfId="1109" priority="21"/>
    <cfRule type="duplicateValues" dxfId="1108" priority="22"/>
    <cfRule type="duplicateValues" dxfId="1107" priority="23"/>
    <cfRule type="duplicateValues" dxfId="1106" priority="24"/>
  </conditionalFormatting>
  <conditionalFormatting sqref="R308:R309">
    <cfRule type="duplicateValues" dxfId="1105" priority="3370"/>
    <cfRule type="duplicateValues" dxfId="1104" priority="3371"/>
    <cfRule type="duplicateValues" dxfId="1103" priority="3372"/>
  </conditionalFormatting>
  <conditionalFormatting sqref="R310">
    <cfRule type="duplicateValues" dxfId="1102" priority="150"/>
    <cfRule type="duplicateValues" dxfId="1101" priority="151"/>
    <cfRule type="duplicateValues" dxfId="1100" priority="152"/>
    <cfRule type="duplicateValues" dxfId="1099" priority="153"/>
    <cfRule type="duplicateValues" dxfId="1098" priority="154"/>
  </conditionalFormatting>
  <conditionalFormatting sqref="R311">
    <cfRule type="duplicateValues" dxfId="1097" priority="3290"/>
    <cfRule type="duplicateValues" dxfId="1096" priority="3291"/>
    <cfRule type="duplicateValues" dxfId="1095" priority="3292"/>
  </conditionalFormatting>
  <conditionalFormatting sqref="R312">
    <cfRule type="duplicateValues" dxfId="1094" priority="214"/>
    <cfRule type="duplicateValues" dxfId="1093" priority="215"/>
    <cfRule type="duplicateValues" dxfId="1092" priority="216"/>
    <cfRule type="duplicateValues" dxfId="1091" priority="217"/>
    <cfRule type="duplicateValues" dxfId="1090" priority="218"/>
  </conditionalFormatting>
  <conditionalFormatting sqref="R315">
    <cfRule type="duplicateValues" dxfId="1089" priority="1354"/>
    <cfRule type="duplicateValues" dxfId="1088" priority="1355"/>
    <cfRule type="duplicateValues" dxfId="1087" priority="1356"/>
    <cfRule type="duplicateValues" dxfId="1086" priority="1357"/>
  </conditionalFormatting>
  <conditionalFormatting sqref="R316:R320">
    <cfRule type="duplicateValues" dxfId="1085" priority="79278"/>
    <cfRule type="duplicateValues" dxfId="1084" priority="79279"/>
    <cfRule type="duplicateValues" dxfId="1083" priority="79280"/>
  </conditionalFormatting>
  <conditionalFormatting sqref="R321">
    <cfRule type="duplicateValues" dxfId="1082" priority="72755"/>
    <cfRule type="duplicateValues" dxfId="1081" priority="72756"/>
    <cfRule type="duplicateValues" dxfId="1080" priority="72757"/>
  </conditionalFormatting>
  <conditionalFormatting sqref="R323">
    <cfRule type="duplicateValues" dxfId="1079" priority="149"/>
  </conditionalFormatting>
  <conditionalFormatting sqref="R324">
    <cfRule type="duplicateValues" dxfId="1078" priority="1336"/>
    <cfRule type="duplicateValues" dxfId="1077" priority="1337"/>
    <cfRule type="duplicateValues" dxfId="1076" priority="1338"/>
    <cfRule type="duplicateValues" dxfId="1075" priority="1339"/>
  </conditionalFormatting>
  <conditionalFormatting sqref="R325">
    <cfRule type="duplicateValues" dxfId="1074" priority="144"/>
    <cfRule type="duplicateValues" dxfId="1073" priority="145"/>
    <cfRule type="duplicateValues" dxfId="1072" priority="146"/>
    <cfRule type="duplicateValues" dxfId="1071" priority="147"/>
    <cfRule type="duplicateValues" dxfId="1070" priority="148"/>
  </conditionalFormatting>
  <conditionalFormatting sqref="R326">
    <cfRule type="duplicateValues" dxfId="1069" priority="83"/>
    <cfRule type="duplicateValues" dxfId="1068" priority="84"/>
    <cfRule type="duplicateValues" dxfId="1067" priority="85"/>
    <cfRule type="duplicateValues" dxfId="1066" priority="86"/>
    <cfRule type="duplicateValues" dxfId="1065" priority="87"/>
  </conditionalFormatting>
  <conditionalFormatting sqref="R327">
    <cfRule type="duplicateValues" dxfId="1064" priority="1020"/>
    <cfRule type="duplicateValues" dxfId="1063" priority="1021"/>
    <cfRule type="duplicateValues" dxfId="1062" priority="1022"/>
    <cfRule type="duplicateValues" dxfId="1061" priority="1023"/>
    <cfRule type="duplicateValues" dxfId="1060" priority="1024"/>
  </conditionalFormatting>
  <conditionalFormatting sqref="R328">
    <cfRule type="duplicateValues" dxfId="1059" priority="3146"/>
    <cfRule type="duplicateValues" dxfId="1058" priority="3147"/>
    <cfRule type="duplicateValues" dxfId="1057" priority="3148"/>
    <cfRule type="duplicateValues" dxfId="1056" priority="3149"/>
  </conditionalFormatting>
  <conditionalFormatting sqref="R329">
    <cfRule type="duplicateValues" dxfId="1055" priority="3142"/>
    <cfRule type="duplicateValues" dxfId="1054" priority="3143"/>
    <cfRule type="duplicateValues" dxfId="1053" priority="3144"/>
    <cfRule type="duplicateValues" dxfId="1052" priority="3145"/>
  </conditionalFormatting>
  <conditionalFormatting sqref="R330">
    <cfRule type="duplicateValues" dxfId="1051" priority="5542"/>
    <cfRule type="duplicateValues" dxfId="1050" priority="5543"/>
    <cfRule type="duplicateValues" dxfId="1049" priority="5544"/>
  </conditionalFormatting>
  <conditionalFormatting sqref="R331">
    <cfRule type="duplicateValues" dxfId="1048" priority="1515"/>
    <cfRule type="duplicateValues" dxfId="1047" priority="1516"/>
    <cfRule type="duplicateValues" dxfId="1046" priority="1517"/>
    <cfRule type="duplicateValues" dxfId="1045" priority="1518"/>
  </conditionalFormatting>
  <conditionalFormatting sqref="R332">
    <cfRule type="duplicateValues" dxfId="1044" priority="3134"/>
    <cfRule type="duplicateValues" dxfId="1043" priority="3135"/>
    <cfRule type="duplicateValues" dxfId="1042" priority="3136"/>
    <cfRule type="duplicateValues" dxfId="1041" priority="3137"/>
  </conditionalFormatting>
  <conditionalFormatting sqref="R333">
    <cfRule type="duplicateValues" dxfId="1040" priority="3130"/>
    <cfRule type="duplicateValues" dxfId="1039" priority="3131"/>
    <cfRule type="duplicateValues" dxfId="1038" priority="3132"/>
    <cfRule type="duplicateValues" dxfId="1037" priority="3133"/>
  </conditionalFormatting>
  <conditionalFormatting sqref="R334">
    <cfRule type="duplicateValues" dxfId="1036" priority="694"/>
    <cfRule type="duplicateValues" dxfId="1035" priority="695"/>
    <cfRule type="duplicateValues" dxfId="1034" priority="696"/>
    <cfRule type="duplicateValues" dxfId="1033" priority="697"/>
    <cfRule type="duplicateValues" dxfId="1032" priority="698"/>
  </conditionalFormatting>
  <conditionalFormatting sqref="R335">
    <cfRule type="duplicateValues" dxfId="1031" priority="264"/>
    <cfRule type="duplicateValues" dxfId="1030" priority="265"/>
    <cfRule type="duplicateValues" dxfId="1029" priority="266"/>
    <cfRule type="duplicateValues" dxfId="1028" priority="267"/>
    <cfRule type="duplicateValues" dxfId="1027" priority="268"/>
  </conditionalFormatting>
  <conditionalFormatting sqref="R336">
    <cfRule type="duplicateValues" dxfId="1026" priority="259"/>
    <cfRule type="duplicateValues" dxfId="1025" priority="260"/>
    <cfRule type="duplicateValues" dxfId="1024" priority="261"/>
    <cfRule type="duplicateValues" dxfId="1023" priority="262"/>
    <cfRule type="duplicateValues" dxfId="1022" priority="263"/>
  </conditionalFormatting>
  <conditionalFormatting sqref="R337">
    <cfRule type="duplicateValues" dxfId="1021" priority="1896"/>
    <cfRule type="duplicateValues" dxfId="1020" priority="1897"/>
    <cfRule type="duplicateValues" dxfId="1019" priority="1898"/>
    <cfRule type="duplicateValues" dxfId="1018" priority="1899"/>
  </conditionalFormatting>
  <conditionalFormatting sqref="R338">
    <cfRule type="duplicateValues" dxfId="1017" priority="1892"/>
    <cfRule type="duplicateValues" dxfId="1016" priority="1893"/>
    <cfRule type="duplicateValues" dxfId="1015" priority="1894"/>
    <cfRule type="duplicateValues" dxfId="1014" priority="1895"/>
  </conditionalFormatting>
  <conditionalFormatting sqref="R339">
    <cfRule type="duplicateValues" dxfId="1013" priority="1836"/>
    <cfRule type="duplicateValues" dxfId="1012" priority="1837"/>
    <cfRule type="duplicateValues" dxfId="1011" priority="1838"/>
    <cfRule type="duplicateValues" dxfId="1010" priority="1839"/>
  </conditionalFormatting>
  <conditionalFormatting sqref="R340">
    <cfRule type="duplicateValues" dxfId="1009" priority="1888"/>
    <cfRule type="duplicateValues" dxfId="1008" priority="1889"/>
    <cfRule type="duplicateValues" dxfId="1007" priority="1890"/>
    <cfRule type="duplicateValues" dxfId="1006" priority="1891"/>
  </conditionalFormatting>
  <conditionalFormatting sqref="R341">
    <cfRule type="duplicateValues" dxfId="1005" priority="689"/>
    <cfRule type="duplicateValues" dxfId="1004" priority="690"/>
    <cfRule type="duplicateValues" dxfId="1003" priority="691"/>
    <cfRule type="duplicateValues" dxfId="1002" priority="692"/>
    <cfRule type="duplicateValues" dxfId="1001" priority="693"/>
  </conditionalFormatting>
  <conditionalFormatting sqref="R342">
    <cfRule type="duplicateValues" dxfId="1000" priority="604"/>
    <cfRule type="duplicateValues" dxfId="999" priority="605"/>
    <cfRule type="duplicateValues" dxfId="998" priority="606"/>
    <cfRule type="duplicateValues" dxfId="997" priority="607"/>
    <cfRule type="duplicateValues" dxfId="996" priority="608"/>
  </conditionalFormatting>
  <conditionalFormatting sqref="R343">
    <cfRule type="duplicateValues" dxfId="995" priority="684"/>
    <cfRule type="duplicateValues" dxfId="994" priority="685"/>
    <cfRule type="duplicateValues" dxfId="993" priority="686"/>
    <cfRule type="duplicateValues" dxfId="992" priority="687"/>
    <cfRule type="duplicateValues" dxfId="991" priority="688"/>
  </conditionalFormatting>
  <conditionalFormatting sqref="R344">
    <cfRule type="duplicateValues" dxfId="990" priority="1940"/>
    <cfRule type="duplicateValues" dxfId="989" priority="1941"/>
    <cfRule type="duplicateValues" dxfId="988" priority="1942"/>
    <cfRule type="duplicateValues" dxfId="987" priority="1943"/>
  </conditionalFormatting>
  <conditionalFormatting sqref="R345">
    <cfRule type="duplicateValues" dxfId="986" priority="1217"/>
    <cfRule type="duplicateValues" dxfId="985" priority="1218"/>
    <cfRule type="duplicateValues" dxfId="984" priority="1219"/>
    <cfRule type="duplicateValues" dxfId="983" priority="1220"/>
    <cfRule type="duplicateValues" dxfId="982" priority="1221"/>
  </conditionalFormatting>
  <conditionalFormatting sqref="R346">
    <cfRule type="duplicateValues" dxfId="981" priority="1880"/>
    <cfRule type="duplicateValues" dxfId="980" priority="1881"/>
    <cfRule type="duplicateValues" dxfId="979" priority="1882"/>
    <cfRule type="duplicateValues" dxfId="978" priority="1883"/>
  </conditionalFormatting>
  <conditionalFormatting sqref="R347">
    <cfRule type="duplicateValues" dxfId="977" priority="1876"/>
    <cfRule type="duplicateValues" dxfId="976" priority="1877"/>
    <cfRule type="duplicateValues" dxfId="975" priority="1878"/>
    <cfRule type="duplicateValues" dxfId="974" priority="1879"/>
  </conditionalFormatting>
  <conditionalFormatting sqref="R348">
    <cfRule type="duplicateValues" dxfId="973" priority="1828"/>
    <cfRule type="duplicateValues" dxfId="972" priority="1829"/>
    <cfRule type="duplicateValues" dxfId="971" priority="1830"/>
    <cfRule type="duplicateValues" dxfId="970" priority="1831"/>
  </conditionalFormatting>
  <conditionalFormatting sqref="R349">
    <cfRule type="duplicateValues" dxfId="969" priority="1936"/>
    <cfRule type="duplicateValues" dxfId="968" priority="1937"/>
    <cfRule type="duplicateValues" dxfId="967" priority="1938"/>
    <cfRule type="duplicateValues" dxfId="966" priority="1939"/>
  </conditionalFormatting>
  <conditionalFormatting sqref="R350">
    <cfRule type="duplicateValues" dxfId="965" priority="1932"/>
    <cfRule type="duplicateValues" dxfId="964" priority="1933"/>
    <cfRule type="duplicateValues" dxfId="963" priority="1934"/>
    <cfRule type="duplicateValues" dxfId="962" priority="1935"/>
  </conditionalFormatting>
  <conditionalFormatting sqref="R351">
    <cfRule type="duplicateValues" dxfId="961" priority="1920"/>
    <cfRule type="duplicateValues" dxfId="960" priority="1921"/>
    <cfRule type="duplicateValues" dxfId="959" priority="1922"/>
    <cfRule type="duplicateValues" dxfId="958" priority="1923"/>
  </conditionalFormatting>
  <conditionalFormatting sqref="R352">
    <cfRule type="duplicateValues" dxfId="957" priority="1872"/>
    <cfRule type="duplicateValues" dxfId="956" priority="1873"/>
    <cfRule type="duplicateValues" dxfId="955" priority="1874"/>
    <cfRule type="duplicateValues" dxfId="954" priority="1875"/>
  </conditionalFormatting>
  <conditionalFormatting sqref="R353">
    <cfRule type="duplicateValues" dxfId="953" priority="1868"/>
    <cfRule type="duplicateValues" dxfId="952" priority="1869"/>
    <cfRule type="duplicateValues" dxfId="951" priority="1870"/>
    <cfRule type="duplicateValues" dxfId="950" priority="1871"/>
  </conditionalFormatting>
  <conditionalFormatting sqref="R354">
    <cfRule type="duplicateValues" dxfId="949" priority="1824"/>
    <cfRule type="duplicateValues" dxfId="948" priority="1825"/>
    <cfRule type="duplicateValues" dxfId="947" priority="1826"/>
    <cfRule type="duplicateValues" dxfId="946" priority="1827"/>
  </conditionalFormatting>
  <conditionalFormatting sqref="R355">
    <cfRule type="duplicateValues" dxfId="945" priority="1301"/>
    <cfRule type="duplicateValues" dxfId="944" priority="1302"/>
    <cfRule type="duplicateValues" dxfId="943" priority="1303"/>
    <cfRule type="duplicateValues" dxfId="942" priority="1304"/>
  </conditionalFormatting>
  <conditionalFormatting sqref="R356">
    <cfRule type="duplicateValues" dxfId="941" priority="1860"/>
    <cfRule type="duplicateValues" dxfId="940" priority="1861"/>
    <cfRule type="duplicateValues" dxfId="939" priority="1862"/>
    <cfRule type="duplicateValues" dxfId="938" priority="1863"/>
  </conditionalFormatting>
  <conditionalFormatting sqref="R357">
    <cfRule type="duplicateValues" dxfId="937" priority="1820"/>
    <cfRule type="duplicateValues" dxfId="936" priority="1821"/>
    <cfRule type="duplicateValues" dxfId="935" priority="1822"/>
    <cfRule type="duplicateValues" dxfId="934" priority="1823"/>
  </conditionalFormatting>
  <conditionalFormatting sqref="R358">
    <cfRule type="duplicateValues" dxfId="933" priority="1928"/>
    <cfRule type="duplicateValues" dxfId="932" priority="1929"/>
    <cfRule type="duplicateValues" dxfId="931" priority="1930"/>
    <cfRule type="duplicateValues" dxfId="930" priority="1931"/>
  </conditionalFormatting>
  <conditionalFormatting sqref="R359">
    <cfRule type="duplicateValues" dxfId="929" priority="1924"/>
    <cfRule type="duplicateValues" dxfId="928" priority="1925"/>
    <cfRule type="duplicateValues" dxfId="927" priority="1926"/>
    <cfRule type="duplicateValues" dxfId="926" priority="1927"/>
  </conditionalFormatting>
  <conditionalFormatting sqref="R360">
    <cfRule type="duplicateValues" dxfId="925" priority="197"/>
    <cfRule type="duplicateValues" dxfId="924" priority="198"/>
    <cfRule type="duplicateValues" dxfId="923" priority="199"/>
    <cfRule type="duplicateValues" dxfId="922" priority="200"/>
    <cfRule type="duplicateValues" dxfId="921" priority="201"/>
  </conditionalFormatting>
  <conditionalFormatting sqref="R361">
    <cfRule type="duplicateValues" dxfId="920" priority="139"/>
    <cfRule type="duplicateValues" dxfId="919" priority="140"/>
    <cfRule type="duplicateValues" dxfId="918" priority="141"/>
    <cfRule type="duplicateValues" dxfId="917" priority="142"/>
    <cfRule type="duplicateValues" dxfId="916" priority="143"/>
  </conditionalFormatting>
  <conditionalFormatting sqref="R362">
    <cfRule type="duplicateValues" dxfId="915" priority="1852"/>
    <cfRule type="duplicateValues" dxfId="914" priority="1853"/>
    <cfRule type="duplicateValues" dxfId="913" priority="1854"/>
    <cfRule type="duplicateValues" dxfId="912" priority="1855"/>
  </conditionalFormatting>
  <conditionalFormatting sqref="R363">
    <cfRule type="duplicateValues" dxfId="911" priority="1816"/>
    <cfRule type="duplicateValues" dxfId="910" priority="1817"/>
    <cfRule type="duplicateValues" dxfId="909" priority="1818"/>
    <cfRule type="duplicateValues" dxfId="908" priority="1819"/>
  </conditionalFormatting>
  <conditionalFormatting sqref="R364">
    <cfRule type="duplicateValues" dxfId="907" priority="2312"/>
    <cfRule type="duplicateValues" dxfId="906" priority="2313"/>
    <cfRule type="duplicateValues" dxfId="905" priority="2314"/>
    <cfRule type="duplicateValues" dxfId="904" priority="2315"/>
  </conditionalFormatting>
  <conditionalFormatting sqref="R365">
    <cfRule type="duplicateValues" dxfId="903" priority="5736"/>
    <cfRule type="duplicateValues" dxfId="902" priority="5737"/>
    <cfRule type="duplicateValues" dxfId="901" priority="5738"/>
  </conditionalFormatting>
  <conditionalFormatting sqref="R366">
    <cfRule type="duplicateValues" dxfId="900" priority="3839"/>
    <cfRule type="duplicateValues" dxfId="899" priority="3840"/>
    <cfRule type="duplicateValues" dxfId="898" priority="3841"/>
  </conditionalFormatting>
  <conditionalFormatting sqref="R367">
    <cfRule type="duplicateValues" dxfId="897" priority="3836"/>
    <cfRule type="duplicateValues" dxfId="896" priority="3837"/>
    <cfRule type="duplicateValues" dxfId="895" priority="3838"/>
  </conditionalFormatting>
  <conditionalFormatting sqref="R368">
    <cfRule type="duplicateValues" dxfId="894" priority="6790"/>
    <cfRule type="duplicateValues" dxfId="893" priority="6791"/>
  </conditionalFormatting>
  <conditionalFormatting sqref="R369">
    <cfRule type="duplicateValues" dxfId="892" priority="6692"/>
    <cfRule type="duplicateValues" dxfId="891" priority="6693"/>
  </conditionalFormatting>
  <conditionalFormatting sqref="R370">
    <cfRule type="duplicateValues" dxfId="890" priority="134"/>
    <cfRule type="duplicateValues" dxfId="889" priority="135"/>
    <cfRule type="duplicateValues" dxfId="888" priority="136"/>
    <cfRule type="duplicateValues" dxfId="887" priority="137"/>
    <cfRule type="duplicateValues" dxfId="886" priority="138"/>
  </conditionalFormatting>
  <conditionalFormatting sqref="R371">
    <cfRule type="duplicateValues" dxfId="885" priority="4394"/>
    <cfRule type="duplicateValues" dxfId="884" priority="4395"/>
    <cfRule type="duplicateValues" dxfId="883" priority="4396"/>
  </conditionalFormatting>
  <conditionalFormatting sqref="R372">
    <cfRule type="duplicateValues" dxfId="882" priority="4391"/>
    <cfRule type="duplicateValues" dxfId="881" priority="4392"/>
    <cfRule type="duplicateValues" dxfId="880" priority="4393"/>
  </conditionalFormatting>
  <conditionalFormatting sqref="R373">
    <cfRule type="duplicateValues" dxfId="879" priority="6782"/>
    <cfRule type="duplicateValues" dxfId="878" priority="6783"/>
  </conditionalFormatting>
  <conditionalFormatting sqref="R374">
    <cfRule type="duplicateValues" dxfId="877" priority="3866"/>
    <cfRule type="duplicateValues" dxfId="876" priority="3867"/>
    <cfRule type="duplicateValues" dxfId="875" priority="3868"/>
  </conditionalFormatting>
  <conditionalFormatting sqref="R375">
    <cfRule type="duplicateValues" dxfId="874" priority="5178"/>
    <cfRule type="duplicateValues" dxfId="873" priority="5179"/>
    <cfRule type="duplicateValues" dxfId="872" priority="5180"/>
  </conditionalFormatting>
  <conditionalFormatting sqref="R376">
    <cfRule type="duplicateValues" dxfId="871" priority="6776"/>
    <cfRule type="duplicateValues" dxfId="870" priority="6777"/>
  </conditionalFormatting>
  <conditionalFormatting sqref="R377">
    <cfRule type="duplicateValues" dxfId="869" priority="6774"/>
    <cfRule type="duplicateValues" dxfId="868" priority="6775"/>
  </conditionalFormatting>
  <conditionalFormatting sqref="R378">
    <cfRule type="duplicateValues" dxfId="867" priority="5423"/>
    <cfRule type="duplicateValues" dxfId="866" priority="5424"/>
    <cfRule type="duplicateValues" dxfId="865" priority="5425"/>
  </conditionalFormatting>
  <conditionalFormatting sqref="R379">
    <cfRule type="duplicateValues" dxfId="864" priority="5420"/>
    <cfRule type="duplicateValues" dxfId="863" priority="5421"/>
    <cfRule type="duplicateValues" dxfId="862" priority="5422"/>
  </conditionalFormatting>
  <conditionalFormatting sqref="R380">
    <cfRule type="duplicateValues" dxfId="861" priority="5417"/>
    <cfRule type="duplicateValues" dxfId="860" priority="5418"/>
    <cfRule type="duplicateValues" dxfId="859" priority="5419"/>
  </conditionalFormatting>
  <conditionalFormatting sqref="R381">
    <cfRule type="duplicateValues" dxfId="858" priority="5414"/>
    <cfRule type="duplicateValues" dxfId="857" priority="5415"/>
    <cfRule type="duplicateValues" dxfId="856" priority="5416"/>
  </conditionalFormatting>
  <conditionalFormatting sqref="R382">
    <cfRule type="duplicateValues" dxfId="855" priority="5405"/>
    <cfRule type="duplicateValues" dxfId="854" priority="5406"/>
    <cfRule type="duplicateValues" dxfId="853" priority="5407"/>
  </conditionalFormatting>
  <conditionalFormatting sqref="R383">
    <cfRule type="duplicateValues" dxfId="852" priority="5402"/>
    <cfRule type="duplicateValues" dxfId="851" priority="5403"/>
    <cfRule type="duplicateValues" dxfId="850" priority="5404"/>
  </conditionalFormatting>
  <conditionalFormatting sqref="R384">
    <cfRule type="duplicateValues" dxfId="849" priority="5399"/>
    <cfRule type="duplicateValues" dxfId="848" priority="5400"/>
    <cfRule type="duplicateValues" dxfId="847" priority="5401"/>
  </conditionalFormatting>
  <conditionalFormatting sqref="R385">
    <cfRule type="duplicateValues" dxfId="846" priority="5396"/>
    <cfRule type="duplicateValues" dxfId="845" priority="5397"/>
    <cfRule type="duplicateValues" dxfId="844" priority="5398"/>
  </conditionalFormatting>
  <conditionalFormatting sqref="R386">
    <cfRule type="duplicateValues" dxfId="843" priority="5393"/>
    <cfRule type="duplicateValues" dxfId="842" priority="5394"/>
    <cfRule type="duplicateValues" dxfId="841" priority="5395"/>
  </conditionalFormatting>
  <conditionalFormatting sqref="R387">
    <cfRule type="duplicateValues" dxfId="840" priority="5390"/>
    <cfRule type="duplicateValues" dxfId="839" priority="5391"/>
    <cfRule type="duplicateValues" dxfId="838" priority="5392"/>
  </conditionalFormatting>
  <conditionalFormatting sqref="R388">
    <cfRule type="duplicateValues" dxfId="837" priority="5387"/>
    <cfRule type="duplicateValues" dxfId="836" priority="5388"/>
    <cfRule type="duplicateValues" dxfId="835" priority="5389"/>
  </conditionalFormatting>
  <conditionalFormatting sqref="R389">
    <cfRule type="duplicateValues" dxfId="834" priority="254"/>
    <cfRule type="duplicateValues" dxfId="833" priority="255"/>
    <cfRule type="duplicateValues" dxfId="832" priority="256"/>
    <cfRule type="duplicateValues" dxfId="831" priority="257"/>
    <cfRule type="duplicateValues" dxfId="830" priority="258"/>
  </conditionalFormatting>
  <conditionalFormatting sqref="R390">
    <cfRule type="duplicateValues" dxfId="829" priority="314"/>
    <cfRule type="duplicateValues" dxfId="828" priority="315"/>
    <cfRule type="duplicateValues" dxfId="827" priority="316"/>
    <cfRule type="duplicateValues" dxfId="826" priority="317"/>
    <cfRule type="duplicateValues" dxfId="825" priority="318"/>
  </conditionalFormatting>
  <conditionalFormatting sqref="R391">
    <cfRule type="duplicateValues" dxfId="824" priority="5277"/>
    <cfRule type="duplicateValues" dxfId="823" priority="5278"/>
    <cfRule type="duplicateValues" dxfId="822" priority="5279"/>
  </conditionalFormatting>
  <conditionalFormatting sqref="R392">
    <cfRule type="duplicateValues" dxfId="821" priority="5274"/>
    <cfRule type="duplicateValues" dxfId="820" priority="5275"/>
    <cfRule type="duplicateValues" dxfId="819" priority="5276"/>
  </conditionalFormatting>
  <conditionalFormatting sqref="R393">
    <cfRule type="duplicateValues" dxfId="818" priority="1148"/>
    <cfRule type="duplicateValues" dxfId="817" priority="1149"/>
    <cfRule type="duplicateValues" dxfId="816" priority="1150"/>
    <cfRule type="duplicateValues" dxfId="815" priority="1151"/>
    <cfRule type="duplicateValues" dxfId="814" priority="1152"/>
  </conditionalFormatting>
  <conditionalFormatting sqref="R394">
    <cfRule type="duplicateValues" dxfId="813" priority="1243"/>
    <cfRule type="duplicateValues" dxfId="812" priority="1244"/>
    <cfRule type="duplicateValues" dxfId="811" priority="1245"/>
    <cfRule type="duplicateValues" dxfId="810" priority="1246"/>
    <cfRule type="duplicateValues" dxfId="809" priority="1247"/>
  </conditionalFormatting>
  <conditionalFormatting sqref="R395">
    <cfRule type="duplicateValues" dxfId="808" priority="1003"/>
    <cfRule type="duplicateValues" dxfId="807" priority="1004"/>
    <cfRule type="duplicateValues" dxfId="806" priority="1005"/>
    <cfRule type="duplicateValues" dxfId="805" priority="1006"/>
    <cfRule type="duplicateValues" dxfId="804" priority="1007"/>
  </conditionalFormatting>
  <conditionalFormatting sqref="R396">
    <cfRule type="duplicateValues" dxfId="803" priority="1153"/>
    <cfRule type="duplicateValues" dxfId="802" priority="1154"/>
    <cfRule type="duplicateValues" dxfId="801" priority="1155"/>
    <cfRule type="duplicateValues" dxfId="800" priority="1156"/>
    <cfRule type="duplicateValues" dxfId="799" priority="1157"/>
  </conditionalFormatting>
  <conditionalFormatting sqref="R397">
    <cfRule type="duplicateValues" dxfId="798" priority="1752"/>
    <cfRule type="duplicateValues" dxfId="797" priority="1753"/>
    <cfRule type="duplicateValues" dxfId="796" priority="1754"/>
    <cfRule type="duplicateValues" dxfId="795" priority="1755"/>
  </conditionalFormatting>
  <conditionalFormatting sqref="R398">
    <cfRule type="duplicateValues" dxfId="794" priority="1748"/>
    <cfRule type="duplicateValues" dxfId="793" priority="1749"/>
    <cfRule type="duplicateValues" dxfId="792" priority="1750"/>
    <cfRule type="duplicateValues" dxfId="791" priority="1751"/>
  </conditionalFormatting>
  <conditionalFormatting sqref="R399">
    <cfRule type="duplicateValues" dxfId="790" priority="1744"/>
    <cfRule type="duplicateValues" dxfId="789" priority="1745"/>
    <cfRule type="duplicateValues" dxfId="788" priority="1746"/>
    <cfRule type="duplicateValues" dxfId="787" priority="1747"/>
  </conditionalFormatting>
  <conditionalFormatting sqref="R400">
    <cfRule type="duplicateValues" dxfId="786" priority="1740"/>
    <cfRule type="duplicateValues" dxfId="785" priority="1741"/>
    <cfRule type="duplicateValues" dxfId="784" priority="1742"/>
    <cfRule type="duplicateValues" dxfId="783" priority="1743"/>
  </conditionalFormatting>
  <conditionalFormatting sqref="R401">
    <cfRule type="duplicateValues" dxfId="782" priority="1736"/>
    <cfRule type="duplicateValues" dxfId="781" priority="1737"/>
    <cfRule type="duplicateValues" dxfId="780" priority="1738"/>
    <cfRule type="duplicateValues" dxfId="779" priority="1739"/>
  </conditionalFormatting>
  <conditionalFormatting sqref="R402">
    <cfRule type="duplicateValues" dxfId="778" priority="1732"/>
    <cfRule type="duplicateValues" dxfId="777" priority="1733"/>
    <cfRule type="duplicateValues" dxfId="776" priority="1734"/>
    <cfRule type="duplicateValues" dxfId="775" priority="1735"/>
  </conditionalFormatting>
  <conditionalFormatting sqref="R403">
    <cfRule type="duplicateValues" dxfId="774" priority="1728"/>
    <cfRule type="duplicateValues" dxfId="773" priority="1729"/>
    <cfRule type="duplicateValues" dxfId="772" priority="1730"/>
    <cfRule type="duplicateValues" dxfId="771" priority="1731"/>
  </conditionalFormatting>
  <conditionalFormatting sqref="R404">
    <cfRule type="duplicateValues" dxfId="770" priority="1724"/>
    <cfRule type="duplicateValues" dxfId="769" priority="1725"/>
    <cfRule type="duplicateValues" dxfId="768" priority="1726"/>
    <cfRule type="duplicateValues" dxfId="767" priority="1727"/>
  </conditionalFormatting>
  <conditionalFormatting sqref="R405">
    <cfRule type="duplicateValues" dxfId="766" priority="1720"/>
    <cfRule type="duplicateValues" dxfId="765" priority="1721"/>
    <cfRule type="duplicateValues" dxfId="764" priority="1722"/>
    <cfRule type="duplicateValues" dxfId="763" priority="1723"/>
  </conditionalFormatting>
  <conditionalFormatting sqref="R406">
    <cfRule type="duplicateValues" dxfId="762" priority="1716"/>
    <cfRule type="duplicateValues" dxfId="761" priority="1717"/>
    <cfRule type="duplicateValues" dxfId="760" priority="1718"/>
    <cfRule type="duplicateValues" dxfId="759" priority="1719"/>
  </conditionalFormatting>
  <conditionalFormatting sqref="R407">
    <cfRule type="duplicateValues" dxfId="758" priority="1712"/>
    <cfRule type="duplicateValues" dxfId="757" priority="1713"/>
    <cfRule type="duplicateValues" dxfId="756" priority="1714"/>
    <cfRule type="duplicateValues" dxfId="755" priority="1715"/>
  </conditionalFormatting>
  <conditionalFormatting sqref="R408">
    <cfRule type="duplicateValues" dxfId="754" priority="1708"/>
    <cfRule type="duplicateValues" dxfId="753" priority="1709"/>
    <cfRule type="duplicateValues" dxfId="752" priority="1710"/>
    <cfRule type="duplicateValues" dxfId="751" priority="1711"/>
  </conditionalFormatting>
  <conditionalFormatting sqref="R409">
    <cfRule type="duplicateValues" dxfId="750" priority="1704"/>
    <cfRule type="duplicateValues" dxfId="749" priority="1705"/>
    <cfRule type="duplicateValues" dxfId="748" priority="1706"/>
    <cfRule type="duplicateValues" dxfId="747" priority="1707"/>
  </conditionalFormatting>
  <conditionalFormatting sqref="R410">
    <cfRule type="duplicateValues" dxfId="746" priority="1700"/>
    <cfRule type="duplicateValues" dxfId="745" priority="1701"/>
    <cfRule type="duplicateValues" dxfId="744" priority="1702"/>
    <cfRule type="duplicateValues" dxfId="743" priority="1703"/>
  </conditionalFormatting>
  <conditionalFormatting sqref="R411">
    <cfRule type="duplicateValues" dxfId="742" priority="1696"/>
    <cfRule type="duplicateValues" dxfId="741" priority="1697"/>
    <cfRule type="duplicateValues" dxfId="740" priority="1698"/>
    <cfRule type="duplicateValues" dxfId="739" priority="1699"/>
  </conditionalFormatting>
  <conditionalFormatting sqref="R412">
    <cfRule type="duplicateValues" dxfId="738" priority="371"/>
  </conditionalFormatting>
  <conditionalFormatting sqref="R425">
    <cfRule type="duplicateValues" dxfId="737" priority="603"/>
  </conditionalFormatting>
  <conditionalFormatting sqref="R426">
    <cfRule type="duplicateValues" dxfId="736" priority="1216"/>
  </conditionalFormatting>
  <conditionalFormatting sqref="R427">
    <cfRule type="duplicateValues" dxfId="735" priority="253"/>
  </conditionalFormatting>
  <conditionalFormatting sqref="R428">
    <cfRule type="duplicateValues" dxfId="734" priority="3659"/>
    <cfRule type="duplicateValues" dxfId="733" priority="3660"/>
    <cfRule type="duplicateValues" dxfId="732" priority="3661"/>
  </conditionalFormatting>
  <conditionalFormatting sqref="R429">
    <cfRule type="duplicateValues" dxfId="731" priority="3656"/>
    <cfRule type="duplicateValues" dxfId="730" priority="3657"/>
    <cfRule type="duplicateValues" dxfId="729" priority="3658"/>
  </conditionalFormatting>
  <conditionalFormatting sqref="R430">
    <cfRule type="duplicateValues" dxfId="728" priority="1019"/>
  </conditionalFormatting>
  <conditionalFormatting sqref="R431">
    <cfRule type="duplicateValues" dxfId="727" priority="1018"/>
  </conditionalFormatting>
  <conditionalFormatting sqref="R432">
    <cfRule type="duplicateValues" dxfId="726" priority="133"/>
  </conditionalFormatting>
  <conditionalFormatting sqref="R435">
    <cfRule type="duplicateValues" dxfId="725" priority="1242"/>
  </conditionalFormatting>
  <conditionalFormatting sqref="R436">
    <cfRule type="duplicateValues" dxfId="724" priority="1241"/>
  </conditionalFormatting>
  <conditionalFormatting sqref="R437">
    <cfRule type="duplicateValues" dxfId="723" priority="683"/>
  </conditionalFormatting>
  <conditionalFormatting sqref="R438">
    <cfRule type="duplicateValues" dxfId="722" priority="1215"/>
  </conditionalFormatting>
  <conditionalFormatting sqref="R439">
    <cfRule type="duplicateValues" dxfId="721" priority="2617"/>
    <cfRule type="duplicateValues" dxfId="720" priority="2618"/>
    <cfRule type="duplicateValues" dxfId="719" priority="2619"/>
    <cfRule type="duplicateValues" dxfId="718" priority="2620"/>
  </conditionalFormatting>
  <conditionalFormatting sqref="R440">
    <cfRule type="duplicateValues" dxfId="717" priority="2613"/>
    <cfRule type="duplicateValues" dxfId="716" priority="2614"/>
    <cfRule type="duplicateValues" dxfId="715" priority="2615"/>
    <cfRule type="duplicateValues" dxfId="714" priority="2616"/>
  </conditionalFormatting>
  <conditionalFormatting sqref="R443">
    <cfRule type="duplicateValues" dxfId="713" priority="682"/>
  </conditionalFormatting>
  <conditionalFormatting sqref="R444">
    <cfRule type="duplicateValues" dxfId="712" priority="681"/>
  </conditionalFormatting>
  <conditionalFormatting sqref="R445">
    <cfRule type="duplicateValues" dxfId="711" priority="1214"/>
  </conditionalFormatting>
  <conditionalFormatting sqref="R446">
    <cfRule type="duplicateValues" dxfId="710" priority="3217"/>
    <cfRule type="duplicateValues" dxfId="709" priority="3218"/>
    <cfRule type="duplicateValues" dxfId="708" priority="3219"/>
    <cfRule type="duplicateValues" dxfId="707" priority="3220"/>
  </conditionalFormatting>
  <conditionalFormatting sqref="R447">
    <cfRule type="duplicateValues" dxfId="706" priority="3358"/>
    <cfRule type="duplicateValues" dxfId="705" priority="3359"/>
    <cfRule type="duplicateValues" dxfId="704" priority="3360"/>
  </conditionalFormatting>
  <conditionalFormatting sqref="R448">
    <cfRule type="duplicateValues" dxfId="703" priority="3905"/>
    <cfRule type="duplicateValues" dxfId="702" priority="3906"/>
    <cfRule type="duplicateValues" dxfId="701" priority="3907"/>
  </conditionalFormatting>
  <conditionalFormatting sqref="R449:R450">
    <cfRule type="duplicateValues" dxfId="700" priority="2915"/>
    <cfRule type="duplicateValues" dxfId="699" priority="2916"/>
    <cfRule type="duplicateValues" dxfId="698" priority="2917"/>
    <cfRule type="duplicateValues" dxfId="697" priority="2918"/>
  </conditionalFormatting>
  <conditionalFormatting sqref="R451">
    <cfRule type="duplicateValues" dxfId="696" priority="6682"/>
    <cfRule type="duplicateValues" dxfId="695" priority="6683"/>
  </conditionalFormatting>
  <conditionalFormatting sqref="R452">
    <cfRule type="duplicateValues" dxfId="694" priority="3480"/>
    <cfRule type="duplicateValues" dxfId="693" priority="3481"/>
    <cfRule type="duplicateValues" dxfId="692" priority="3482"/>
  </conditionalFormatting>
  <conditionalFormatting sqref="R453">
    <cfRule type="duplicateValues" dxfId="691" priority="3477"/>
    <cfRule type="duplicateValues" dxfId="690" priority="3478"/>
    <cfRule type="duplicateValues" dxfId="689" priority="3479"/>
  </conditionalFormatting>
  <conditionalFormatting sqref="R454">
    <cfRule type="duplicateValues" dxfId="688" priority="3295"/>
    <cfRule type="duplicateValues" dxfId="687" priority="3296"/>
    <cfRule type="duplicateValues" dxfId="686" priority="3297"/>
  </conditionalFormatting>
  <conditionalFormatting sqref="R455">
    <cfRule type="duplicateValues" dxfId="685" priority="3742"/>
    <cfRule type="duplicateValues" dxfId="684" priority="3743"/>
    <cfRule type="duplicateValues" dxfId="683" priority="3744"/>
  </conditionalFormatting>
  <conditionalFormatting sqref="R456">
    <cfRule type="duplicateValues" dxfId="682" priority="3739"/>
    <cfRule type="duplicateValues" dxfId="681" priority="3740"/>
    <cfRule type="duplicateValues" dxfId="680" priority="3741"/>
  </conditionalFormatting>
  <conditionalFormatting sqref="R457">
    <cfRule type="duplicateValues" dxfId="679" priority="3736"/>
    <cfRule type="duplicateValues" dxfId="678" priority="3737"/>
    <cfRule type="duplicateValues" dxfId="677" priority="3738"/>
  </conditionalFormatting>
  <conditionalFormatting sqref="R458">
    <cfRule type="duplicateValues" dxfId="676" priority="3733"/>
    <cfRule type="duplicateValues" dxfId="675" priority="3734"/>
    <cfRule type="duplicateValues" dxfId="674" priority="3735"/>
  </conditionalFormatting>
  <conditionalFormatting sqref="R459">
    <cfRule type="duplicateValues" dxfId="673" priority="3730"/>
    <cfRule type="duplicateValues" dxfId="672" priority="3731"/>
    <cfRule type="duplicateValues" dxfId="671" priority="3732"/>
  </conditionalFormatting>
  <conditionalFormatting sqref="R460">
    <cfRule type="duplicateValues" dxfId="670" priority="3727"/>
    <cfRule type="duplicateValues" dxfId="669" priority="3728"/>
    <cfRule type="duplicateValues" dxfId="668" priority="3729"/>
  </conditionalFormatting>
  <conditionalFormatting sqref="R461">
    <cfRule type="duplicateValues" dxfId="667" priority="1240"/>
  </conditionalFormatting>
  <conditionalFormatting sqref="R462">
    <cfRule type="duplicateValues" dxfId="666" priority="1692"/>
    <cfRule type="duplicateValues" dxfId="665" priority="1693"/>
    <cfRule type="duplicateValues" dxfId="664" priority="1694"/>
    <cfRule type="duplicateValues" dxfId="663" priority="1695"/>
  </conditionalFormatting>
  <conditionalFormatting sqref="R463">
    <cfRule type="duplicateValues" dxfId="662" priority="1688"/>
    <cfRule type="duplicateValues" dxfId="661" priority="1689"/>
    <cfRule type="duplicateValues" dxfId="660" priority="1690"/>
    <cfRule type="duplicateValues" dxfId="659" priority="1691"/>
  </conditionalFormatting>
  <conditionalFormatting sqref="R464">
    <cfRule type="duplicateValues" dxfId="658" priority="1684"/>
    <cfRule type="duplicateValues" dxfId="657" priority="1685"/>
    <cfRule type="duplicateValues" dxfId="656" priority="1686"/>
    <cfRule type="duplicateValues" dxfId="655" priority="1687"/>
  </conditionalFormatting>
  <conditionalFormatting sqref="R465">
    <cfRule type="duplicateValues" dxfId="654" priority="1680"/>
    <cfRule type="duplicateValues" dxfId="653" priority="1681"/>
    <cfRule type="duplicateValues" dxfId="652" priority="1682"/>
    <cfRule type="duplicateValues" dxfId="651" priority="1683"/>
  </conditionalFormatting>
  <conditionalFormatting sqref="R466">
    <cfRule type="duplicateValues" dxfId="650" priority="1676"/>
    <cfRule type="duplicateValues" dxfId="649" priority="1677"/>
    <cfRule type="duplicateValues" dxfId="648" priority="1678"/>
    <cfRule type="duplicateValues" dxfId="647" priority="1679"/>
  </conditionalFormatting>
  <conditionalFormatting sqref="R467">
    <cfRule type="duplicateValues" dxfId="646" priority="1672"/>
    <cfRule type="duplicateValues" dxfId="645" priority="1673"/>
    <cfRule type="duplicateValues" dxfId="644" priority="1674"/>
    <cfRule type="duplicateValues" dxfId="643" priority="1675"/>
  </conditionalFormatting>
  <conditionalFormatting sqref="R468">
    <cfRule type="duplicateValues" dxfId="642" priority="1668"/>
    <cfRule type="duplicateValues" dxfId="641" priority="1669"/>
    <cfRule type="duplicateValues" dxfId="640" priority="1670"/>
    <cfRule type="duplicateValues" dxfId="639" priority="1671"/>
  </conditionalFormatting>
  <conditionalFormatting sqref="R469">
    <cfRule type="duplicateValues" dxfId="638" priority="1664"/>
    <cfRule type="duplicateValues" dxfId="637" priority="1665"/>
    <cfRule type="duplicateValues" dxfId="636" priority="1666"/>
    <cfRule type="duplicateValues" dxfId="635" priority="1667"/>
  </conditionalFormatting>
  <conditionalFormatting sqref="R470">
    <cfRule type="duplicateValues" dxfId="634" priority="1660"/>
    <cfRule type="duplicateValues" dxfId="633" priority="1661"/>
    <cfRule type="duplicateValues" dxfId="632" priority="1662"/>
    <cfRule type="duplicateValues" dxfId="631" priority="1663"/>
  </conditionalFormatting>
  <conditionalFormatting sqref="R471">
    <cfRule type="duplicateValues" dxfId="630" priority="3890"/>
    <cfRule type="duplicateValues" dxfId="629" priority="3891"/>
    <cfRule type="duplicateValues" dxfId="628" priority="3892"/>
  </conditionalFormatting>
  <conditionalFormatting sqref="R472">
    <cfRule type="duplicateValues" dxfId="627" priority="3887"/>
    <cfRule type="duplicateValues" dxfId="626" priority="3888"/>
    <cfRule type="duplicateValues" dxfId="625" priority="3889"/>
  </conditionalFormatting>
  <conditionalFormatting sqref="R473">
    <cfRule type="duplicateValues" dxfId="624" priority="3884"/>
    <cfRule type="duplicateValues" dxfId="623" priority="3885"/>
    <cfRule type="duplicateValues" dxfId="622" priority="3886"/>
  </conditionalFormatting>
  <conditionalFormatting sqref="R474">
    <cfRule type="duplicateValues" dxfId="621" priority="3881"/>
    <cfRule type="duplicateValues" dxfId="620" priority="3882"/>
    <cfRule type="duplicateValues" dxfId="619" priority="3883"/>
  </conditionalFormatting>
  <conditionalFormatting sqref="R475">
    <cfRule type="duplicateValues" dxfId="618" priority="248"/>
    <cfRule type="duplicateValues" dxfId="617" priority="249"/>
    <cfRule type="duplicateValues" dxfId="616" priority="250"/>
    <cfRule type="duplicateValues" dxfId="615" priority="251"/>
    <cfRule type="duplicateValues" dxfId="614" priority="252"/>
  </conditionalFormatting>
  <conditionalFormatting sqref="R476">
    <cfRule type="duplicateValues" dxfId="613" priority="128"/>
    <cfRule type="duplicateValues" dxfId="612" priority="129"/>
    <cfRule type="duplicateValues" dxfId="611" priority="130"/>
    <cfRule type="duplicateValues" dxfId="610" priority="131"/>
    <cfRule type="duplicateValues" dxfId="609" priority="132"/>
  </conditionalFormatting>
  <conditionalFormatting sqref="R477">
    <cfRule type="duplicateValues" dxfId="608" priority="1384"/>
    <cfRule type="duplicateValues" dxfId="607" priority="1385"/>
    <cfRule type="duplicateValues" dxfId="606" priority="1386"/>
    <cfRule type="duplicateValues" dxfId="605" priority="1387"/>
  </conditionalFormatting>
  <conditionalFormatting sqref="R478">
    <cfRule type="duplicateValues" dxfId="604" priority="3869"/>
    <cfRule type="duplicateValues" dxfId="603" priority="3870"/>
    <cfRule type="duplicateValues" dxfId="602" priority="3871"/>
  </conditionalFormatting>
  <conditionalFormatting sqref="R479">
    <cfRule type="duplicateValues" dxfId="601" priority="3833"/>
    <cfRule type="duplicateValues" dxfId="600" priority="3834"/>
    <cfRule type="duplicateValues" dxfId="599" priority="3835"/>
  </conditionalFormatting>
  <conditionalFormatting sqref="R484">
    <cfRule type="duplicateValues" dxfId="598" priority="5968"/>
    <cfRule type="duplicateValues" dxfId="597" priority="5969"/>
  </conditionalFormatting>
  <conditionalFormatting sqref="R485">
    <cfRule type="duplicateValues" dxfId="596" priority="7114"/>
    <cfRule type="duplicateValues" dxfId="595" priority="7115"/>
  </conditionalFormatting>
  <conditionalFormatting sqref="R486">
    <cfRule type="duplicateValues" dxfId="594" priority="78"/>
    <cfRule type="duplicateValues" dxfId="593" priority="79"/>
    <cfRule type="duplicateValues" dxfId="592" priority="80"/>
    <cfRule type="duplicateValues" dxfId="591" priority="81"/>
    <cfRule type="duplicateValues" dxfId="590" priority="82"/>
  </conditionalFormatting>
  <conditionalFormatting sqref="R487">
    <cfRule type="duplicateValues" dxfId="589" priority="1530"/>
    <cfRule type="duplicateValues" dxfId="588" priority="1531"/>
    <cfRule type="duplicateValues" dxfId="587" priority="1532"/>
    <cfRule type="duplicateValues" dxfId="586" priority="1533"/>
  </conditionalFormatting>
  <conditionalFormatting sqref="R488">
    <cfRule type="duplicateValues" dxfId="585" priority="4878"/>
    <cfRule type="duplicateValues" dxfId="584" priority="4879"/>
    <cfRule type="duplicateValues" dxfId="583" priority="4880"/>
  </conditionalFormatting>
  <conditionalFormatting sqref="R489">
    <cfRule type="duplicateValues" dxfId="582" priority="1388"/>
  </conditionalFormatting>
  <conditionalFormatting sqref="R490">
    <cfRule type="duplicateValues" dxfId="581" priority="4504"/>
    <cfRule type="duplicateValues" dxfId="580" priority="4505"/>
  </conditionalFormatting>
  <conditionalFormatting sqref="R491:R492">
    <cfRule type="duplicateValues" dxfId="579" priority="4872"/>
    <cfRule type="duplicateValues" dxfId="578" priority="4873"/>
    <cfRule type="duplicateValues" dxfId="577" priority="4874"/>
  </conditionalFormatting>
  <conditionalFormatting sqref="R493">
    <cfRule type="duplicateValues" dxfId="576" priority="977"/>
    <cfRule type="duplicateValues" dxfId="575" priority="978"/>
  </conditionalFormatting>
  <conditionalFormatting sqref="R494">
    <cfRule type="duplicateValues" dxfId="574" priority="975"/>
    <cfRule type="duplicateValues" dxfId="573" priority="976"/>
  </conditionalFormatting>
  <conditionalFormatting sqref="R495">
    <cfRule type="duplicateValues" dxfId="572" priority="971"/>
    <cfRule type="duplicateValues" dxfId="571" priority="972"/>
    <cfRule type="duplicateValues" dxfId="570" priority="973"/>
    <cfRule type="duplicateValues" dxfId="569" priority="974"/>
  </conditionalFormatting>
  <conditionalFormatting sqref="R496">
    <cfRule type="duplicateValues" dxfId="568" priority="967"/>
    <cfRule type="duplicateValues" dxfId="567" priority="968"/>
    <cfRule type="duplicateValues" dxfId="566" priority="969"/>
    <cfRule type="duplicateValues" dxfId="565" priority="970"/>
  </conditionalFormatting>
  <conditionalFormatting sqref="R497">
    <cfRule type="duplicateValues" dxfId="564" priority="963"/>
    <cfRule type="duplicateValues" dxfId="563" priority="964"/>
    <cfRule type="duplicateValues" dxfId="562" priority="965"/>
    <cfRule type="duplicateValues" dxfId="561" priority="966"/>
    <cfRule type="duplicateValues" dxfId="560" priority="3221"/>
    <cfRule type="duplicateValues" dxfId="559" priority="3222"/>
    <cfRule type="duplicateValues" dxfId="558" priority="3223"/>
  </conditionalFormatting>
  <conditionalFormatting sqref="R498">
    <cfRule type="duplicateValues" dxfId="557" priority="959"/>
    <cfRule type="duplicateValues" dxfId="556" priority="960"/>
    <cfRule type="duplicateValues" dxfId="555" priority="961"/>
    <cfRule type="duplicateValues" dxfId="554" priority="962"/>
    <cfRule type="duplicateValues" dxfId="553" priority="3555"/>
    <cfRule type="duplicateValues" dxfId="552" priority="3556"/>
  </conditionalFormatting>
  <conditionalFormatting sqref="R499">
    <cfRule type="duplicateValues" dxfId="551" priority="958"/>
  </conditionalFormatting>
  <conditionalFormatting sqref="R500">
    <cfRule type="duplicateValues" dxfId="550" priority="953"/>
    <cfRule type="duplicateValues" dxfId="549" priority="954"/>
    <cfRule type="duplicateValues" dxfId="548" priority="955"/>
    <cfRule type="duplicateValues" dxfId="547" priority="956"/>
    <cfRule type="duplicateValues" dxfId="546" priority="957"/>
  </conditionalFormatting>
  <conditionalFormatting sqref="R501">
    <cfRule type="duplicateValues" dxfId="545" priority="948"/>
    <cfRule type="duplicateValues" dxfId="544" priority="949"/>
    <cfRule type="duplicateValues" dxfId="543" priority="950"/>
    <cfRule type="duplicateValues" dxfId="542" priority="951"/>
    <cfRule type="duplicateValues" dxfId="541" priority="952"/>
  </conditionalFormatting>
  <conditionalFormatting sqref="R502">
    <cfRule type="duplicateValues" dxfId="540" priority="944"/>
    <cfRule type="duplicateValues" dxfId="539" priority="945"/>
    <cfRule type="duplicateValues" dxfId="538" priority="946"/>
    <cfRule type="duplicateValues" dxfId="537" priority="947"/>
    <cfRule type="duplicateValues" dxfId="536" priority="3547"/>
    <cfRule type="duplicateValues" dxfId="535" priority="3548"/>
  </conditionalFormatting>
  <conditionalFormatting sqref="R503">
    <cfRule type="duplicateValues" dxfId="534" priority="939"/>
    <cfRule type="duplicateValues" dxfId="533" priority="940"/>
    <cfRule type="duplicateValues" dxfId="532" priority="941"/>
    <cfRule type="duplicateValues" dxfId="531" priority="942"/>
    <cfRule type="duplicateValues" dxfId="530" priority="943"/>
  </conditionalFormatting>
  <conditionalFormatting sqref="R504">
    <cfRule type="duplicateValues" dxfId="529" priority="934"/>
    <cfRule type="duplicateValues" dxfId="528" priority="935"/>
    <cfRule type="duplicateValues" dxfId="527" priority="936"/>
    <cfRule type="duplicateValues" dxfId="526" priority="937"/>
    <cfRule type="duplicateValues" dxfId="525" priority="938"/>
  </conditionalFormatting>
  <conditionalFormatting sqref="R505">
    <cfRule type="duplicateValues" dxfId="524" priority="929"/>
    <cfRule type="duplicateValues" dxfId="523" priority="930"/>
    <cfRule type="duplicateValues" dxfId="522" priority="931"/>
    <cfRule type="duplicateValues" dxfId="521" priority="932"/>
    <cfRule type="duplicateValues" dxfId="520" priority="933"/>
  </conditionalFormatting>
  <conditionalFormatting sqref="R506">
    <cfRule type="duplicateValues" dxfId="519" priority="924"/>
    <cfRule type="duplicateValues" dxfId="518" priority="925"/>
    <cfRule type="duplicateValues" dxfId="517" priority="926"/>
    <cfRule type="duplicateValues" dxfId="516" priority="927"/>
    <cfRule type="duplicateValues" dxfId="515" priority="928"/>
  </conditionalFormatting>
  <conditionalFormatting sqref="R507">
    <cfRule type="duplicateValues" dxfId="514" priority="919"/>
    <cfRule type="duplicateValues" dxfId="513" priority="920"/>
    <cfRule type="duplicateValues" dxfId="512" priority="921"/>
    <cfRule type="duplicateValues" dxfId="511" priority="922"/>
    <cfRule type="duplicateValues" dxfId="510" priority="923"/>
  </conditionalFormatting>
  <conditionalFormatting sqref="R508">
    <cfRule type="duplicateValues" dxfId="509" priority="914"/>
    <cfRule type="duplicateValues" dxfId="508" priority="915"/>
    <cfRule type="duplicateValues" dxfId="507" priority="916"/>
    <cfRule type="duplicateValues" dxfId="506" priority="917"/>
    <cfRule type="duplicateValues" dxfId="505" priority="918"/>
  </conditionalFormatting>
  <conditionalFormatting sqref="R509">
    <cfRule type="duplicateValues" dxfId="504" priority="909"/>
    <cfRule type="duplicateValues" dxfId="503" priority="910"/>
    <cfRule type="duplicateValues" dxfId="502" priority="911"/>
    <cfRule type="duplicateValues" dxfId="501" priority="912"/>
    <cfRule type="duplicateValues" dxfId="500" priority="913"/>
  </conditionalFormatting>
  <conditionalFormatting sqref="R510">
    <cfRule type="duplicateValues" dxfId="499" priority="904"/>
    <cfRule type="duplicateValues" dxfId="498" priority="905"/>
    <cfRule type="duplicateValues" dxfId="497" priority="906"/>
    <cfRule type="duplicateValues" dxfId="496" priority="907"/>
    <cfRule type="duplicateValues" dxfId="495" priority="908"/>
  </conditionalFormatting>
  <conditionalFormatting sqref="R511">
    <cfRule type="duplicateValues" dxfId="494" priority="899"/>
    <cfRule type="duplicateValues" dxfId="493" priority="900"/>
    <cfRule type="duplicateValues" dxfId="492" priority="901"/>
    <cfRule type="duplicateValues" dxfId="491" priority="902"/>
    <cfRule type="duplicateValues" dxfId="490" priority="903"/>
  </conditionalFormatting>
  <conditionalFormatting sqref="R512">
    <cfRule type="duplicateValues" dxfId="489" priority="894"/>
    <cfRule type="duplicateValues" dxfId="488" priority="895"/>
    <cfRule type="duplicateValues" dxfId="487" priority="896"/>
    <cfRule type="duplicateValues" dxfId="486" priority="897"/>
    <cfRule type="duplicateValues" dxfId="485" priority="898"/>
  </conditionalFormatting>
  <conditionalFormatting sqref="R513">
    <cfRule type="duplicateValues" dxfId="484" priority="889"/>
    <cfRule type="duplicateValues" dxfId="483" priority="890"/>
    <cfRule type="duplicateValues" dxfId="482" priority="891"/>
    <cfRule type="duplicateValues" dxfId="481" priority="892"/>
    <cfRule type="duplicateValues" dxfId="480" priority="893"/>
  </conditionalFormatting>
  <conditionalFormatting sqref="R514">
    <cfRule type="duplicateValues" dxfId="479" priority="885"/>
    <cfRule type="duplicateValues" dxfId="478" priority="886"/>
    <cfRule type="duplicateValues" dxfId="477" priority="887"/>
    <cfRule type="duplicateValues" dxfId="476" priority="888"/>
  </conditionalFormatting>
  <conditionalFormatting sqref="R515">
    <cfRule type="duplicateValues" dxfId="475" priority="881"/>
    <cfRule type="duplicateValues" dxfId="474" priority="882"/>
    <cfRule type="duplicateValues" dxfId="473" priority="883"/>
    <cfRule type="duplicateValues" dxfId="472" priority="884"/>
  </conditionalFormatting>
  <conditionalFormatting sqref="R516">
    <cfRule type="duplicateValues" dxfId="471" priority="877"/>
    <cfRule type="duplicateValues" dxfId="470" priority="878"/>
    <cfRule type="duplicateValues" dxfId="469" priority="879"/>
    <cfRule type="duplicateValues" dxfId="468" priority="880"/>
  </conditionalFormatting>
  <conditionalFormatting sqref="R517">
    <cfRule type="duplicateValues" dxfId="467" priority="873"/>
    <cfRule type="duplicateValues" dxfId="466" priority="874"/>
    <cfRule type="duplicateValues" dxfId="465" priority="875"/>
    <cfRule type="duplicateValues" dxfId="464" priority="876"/>
  </conditionalFormatting>
  <conditionalFormatting sqref="R518">
    <cfRule type="duplicateValues" dxfId="463" priority="869"/>
    <cfRule type="duplicateValues" dxfId="462" priority="870"/>
    <cfRule type="duplicateValues" dxfId="461" priority="871"/>
    <cfRule type="duplicateValues" dxfId="460" priority="872"/>
  </conditionalFormatting>
  <conditionalFormatting sqref="R519">
    <cfRule type="duplicateValues" dxfId="459" priority="6334"/>
  </conditionalFormatting>
  <conditionalFormatting sqref="R520">
    <cfRule type="duplicateValues" dxfId="458" priority="6333"/>
  </conditionalFormatting>
  <conditionalFormatting sqref="R521">
    <cfRule type="duplicateValues" dxfId="457" priority="1210"/>
    <cfRule type="duplicateValues" dxfId="456" priority="1211"/>
    <cfRule type="duplicateValues" dxfId="455" priority="1212"/>
    <cfRule type="duplicateValues" dxfId="454" priority="1213"/>
  </conditionalFormatting>
  <conditionalFormatting sqref="R522">
    <cfRule type="duplicateValues" dxfId="453" priority="1206"/>
    <cfRule type="duplicateValues" dxfId="452" priority="1207"/>
    <cfRule type="duplicateValues" dxfId="451" priority="1208"/>
    <cfRule type="duplicateValues" dxfId="450" priority="1209"/>
  </conditionalFormatting>
  <conditionalFormatting sqref="R523">
    <cfRule type="duplicateValues" dxfId="449" priority="1202"/>
    <cfRule type="duplicateValues" dxfId="448" priority="1203"/>
    <cfRule type="duplicateValues" dxfId="447" priority="1204"/>
    <cfRule type="duplicateValues" dxfId="446" priority="1205"/>
  </conditionalFormatting>
  <conditionalFormatting sqref="R524">
    <cfRule type="duplicateValues" dxfId="445" priority="1198"/>
    <cfRule type="duplicateValues" dxfId="444" priority="1199"/>
    <cfRule type="duplicateValues" dxfId="443" priority="1200"/>
    <cfRule type="duplicateValues" dxfId="442" priority="1201"/>
  </conditionalFormatting>
  <conditionalFormatting sqref="R525">
    <cfRule type="duplicateValues" dxfId="441" priority="1194"/>
    <cfRule type="duplicateValues" dxfId="440" priority="1195"/>
    <cfRule type="duplicateValues" dxfId="439" priority="1196"/>
    <cfRule type="duplicateValues" dxfId="438" priority="1197"/>
  </conditionalFormatting>
  <conditionalFormatting sqref="R526">
    <cfRule type="duplicateValues" dxfId="437" priority="1190"/>
    <cfRule type="duplicateValues" dxfId="436" priority="1191"/>
    <cfRule type="duplicateValues" dxfId="435" priority="1192"/>
    <cfRule type="duplicateValues" dxfId="434" priority="1193"/>
  </conditionalFormatting>
  <conditionalFormatting sqref="R527">
    <cfRule type="duplicateValues" dxfId="433" priority="202"/>
    <cfRule type="duplicateValues" dxfId="432" priority="203"/>
    <cfRule type="duplicateValues" dxfId="431" priority="204"/>
    <cfRule type="duplicateValues" dxfId="430" priority="205"/>
  </conditionalFormatting>
  <conditionalFormatting sqref="R528">
    <cfRule type="duplicateValues" dxfId="429" priority="865"/>
    <cfRule type="duplicateValues" dxfId="428" priority="866"/>
    <cfRule type="duplicateValues" dxfId="427" priority="867"/>
    <cfRule type="duplicateValues" dxfId="426" priority="868"/>
  </conditionalFormatting>
  <conditionalFormatting sqref="R529">
    <cfRule type="duplicateValues" dxfId="425" priority="1058"/>
    <cfRule type="duplicateValues" dxfId="424" priority="1059"/>
    <cfRule type="duplicateValues" dxfId="423" priority="1060"/>
    <cfRule type="duplicateValues" dxfId="422" priority="1061"/>
  </conditionalFormatting>
  <conditionalFormatting sqref="R530">
    <cfRule type="duplicateValues" dxfId="421" priority="1054"/>
    <cfRule type="duplicateValues" dxfId="420" priority="1055"/>
    <cfRule type="duplicateValues" dxfId="419" priority="1056"/>
    <cfRule type="duplicateValues" dxfId="418" priority="1057"/>
  </conditionalFormatting>
  <conditionalFormatting sqref="R531">
    <cfRule type="duplicateValues" dxfId="417" priority="1050"/>
    <cfRule type="duplicateValues" dxfId="416" priority="1051"/>
    <cfRule type="duplicateValues" dxfId="415" priority="1052"/>
    <cfRule type="duplicateValues" dxfId="414" priority="1053"/>
  </conditionalFormatting>
  <conditionalFormatting sqref="R532">
    <cfRule type="duplicateValues" dxfId="413" priority="1046"/>
    <cfRule type="duplicateValues" dxfId="412" priority="1047"/>
    <cfRule type="duplicateValues" dxfId="411" priority="1048"/>
    <cfRule type="duplicateValues" dxfId="410" priority="1049"/>
  </conditionalFormatting>
  <conditionalFormatting sqref="R533">
    <cfRule type="duplicateValues" dxfId="409" priority="861"/>
    <cfRule type="duplicateValues" dxfId="408" priority="862"/>
    <cfRule type="duplicateValues" dxfId="407" priority="863"/>
    <cfRule type="duplicateValues" dxfId="406" priority="864"/>
  </conditionalFormatting>
  <conditionalFormatting sqref="R534">
    <cfRule type="duplicateValues" dxfId="405" priority="1029"/>
    <cfRule type="duplicateValues" dxfId="404" priority="1030"/>
    <cfRule type="duplicateValues" dxfId="403" priority="1031"/>
    <cfRule type="duplicateValues" dxfId="402" priority="1032"/>
  </conditionalFormatting>
  <conditionalFormatting sqref="R535">
    <cfRule type="duplicateValues" dxfId="401" priority="1025"/>
    <cfRule type="duplicateValues" dxfId="400" priority="1026"/>
    <cfRule type="duplicateValues" dxfId="399" priority="1027"/>
    <cfRule type="duplicateValues" dxfId="398" priority="1028"/>
  </conditionalFormatting>
  <conditionalFormatting sqref="R536">
    <cfRule type="duplicateValues" dxfId="397" priority="1042"/>
    <cfRule type="duplicateValues" dxfId="396" priority="1043"/>
    <cfRule type="duplicateValues" dxfId="395" priority="1044"/>
    <cfRule type="duplicateValues" dxfId="394" priority="1045"/>
  </conditionalFormatting>
  <conditionalFormatting sqref="R537">
    <cfRule type="duplicateValues" dxfId="393" priority="1038"/>
    <cfRule type="duplicateValues" dxfId="392" priority="1039"/>
    <cfRule type="duplicateValues" dxfId="391" priority="1040"/>
    <cfRule type="duplicateValues" dxfId="390" priority="1041"/>
  </conditionalFormatting>
  <conditionalFormatting sqref="R538">
    <cfRule type="duplicateValues" dxfId="389" priority="289"/>
    <cfRule type="duplicateValues" dxfId="388" priority="290"/>
    <cfRule type="duplicateValues" dxfId="387" priority="291"/>
    <cfRule type="duplicateValues" dxfId="386" priority="292"/>
  </conditionalFormatting>
  <conditionalFormatting sqref="R539">
    <cfRule type="duplicateValues" dxfId="385" priority="285"/>
    <cfRule type="duplicateValues" dxfId="384" priority="286"/>
    <cfRule type="duplicateValues" dxfId="383" priority="287"/>
    <cfRule type="duplicateValues" dxfId="382" priority="288"/>
  </conditionalFormatting>
  <conditionalFormatting sqref="R540">
    <cfRule type="duplicateValues" dxfId="381" priority="857"/>
    <cfRule type="duplicateValues" dxfId="380" priority="858"/>
    <cfRule type="duplicateValues" dxfId="379" priority="859"/>
    <cfRule type="duplicateValues" dxfId="378" priority="860"/>
  </conditionalFormatting>
  <conditionalFormatting sqref="R541">
    <cfRule type="duplicateValues" dxfId="377" priority="853"/>
    <cfRule type="duplicateValues" dxfId="376" priority="854"/>
    <cfRule type="duplicateValues" dxfId="375" priority="855"/>
    <cfRule type="duplicateValues" dxfId="374" priority="856"/>
  </conditionalFormatting>
  <conditionalFormatting sqref="R542">
    <cfRule type="duplicateValues" dxfId="373" priority="283"/>
    <cfRule type="duplicateValues" dxfId="372" priority="284"/>
  </conditionalFormatting>
  <conditionalFormatting sqref="R543">
    <cfRule type="duplicateValues" dxfId="371" priority="1527"/>
    <cfRule type="duplicateValues" dxfId="370" priority="1528"/>
    <cfRule type="duplicateValues" dxfId="369" priority="1529"/>
  </conditionalFormatting>
  <conditionalFormatting sqref="R544">
    <cfRule type="duplicateValues" dxfId="368" priority="989"/>
    <cfRule type="duplicateValues" dxfId="367" priority="990"/>
    <cfRule type="duplicateValues" dxfId="366" priority="991"/>
    <cfRule type="duplicateValues" dxfId="365" priority="992"/>
  </conditionalFormatting>
  <conditionalFormatting sqref="R545">
    <cfRule type="duplicateValues" dxfId="364" priority="2529"/>
    <cfRule type="duplicateValues" dxfId="363" priority="2530"/>
    <cfRule type="duplicateValues" dxfId="362" priority="2531"/>
  </conditionalFormatting>
  <conditionalFormatting sqref="R546">
    <cfRule type="duplicateValues" dxfId="361" priority="1"/>
    <cfRule type="duplicateValues" dxfId="360" priority="2"/>
    <cfRule type="duplicateValues" dxfId="359" priority="3"/>
    <cfRule type="duplicateValues" dxfId="358" priority="4"/>
    <cfRule type="duplicateValues" dxfId="357" priority="5"/>
  </conditionalFormatting>
  <conditionalFormatting sqref="R547">
    <cfRule type="duplicateValues" dxfId="356" priority="677"/>
    <cfRule type="duplicateValues" dxfId="355" priority="678"/>
    <cfRule type="duplicateValues" dxfId="354" priority="679"/>
    <cfRule type="duplicateValues" dxfId="353" priority="680"/>
  </conditionalFormatting>
  <conditionalFormatting sqref="R548">
    <cfRule type="duplicateValues" dxfId="352" priority="2356"/>
    <cfRule type="duplicateValues" dxfId="351" priority="2357"/>
    <cfRule type="duplicateValues" dxfId="350" priority="2358"/>
  </conditionalFormatting>
  <conditionalFormatting sqref="R549">
    <cfRule type="duplicateValues" dxfId="349" priority="673"/>
    <cfRule type="duplicateValues" dxfId="348" priority="674"/>
    <cfRule type="duplicateValues" dxfId="347" priority="675"/>
    <cfRule type="duplicateValues" dxfId="346" priority="676"/>
  </conditionalFormatting>
  <conditionalFormatting sqref="R550">
    <cfRule type="duplicateValues" dxfId="345" priority="669"/>
    <cfRule type="duplicateValues" dxfId="344" priority="670"/>
    <cfRule type="duplicateValues" dxfId="343" priority="671"/>
    <cfRule type="duplicateValues" dxfId="342" priority="672"/>
  </conditionalFormatting>
  <conditionalFormatting sqref="R551">
    <cfRule type="duplicateValues" dxfId="341" priority="665"/>
    <cfRule type="duplicateValues" dxfId="340" priority="666"/>
    <cfRule type="duplicateValues" dxfId="339" priority="667"/>
    <cfRule type="duplicateValues" dxfId="338" priority="668"/>
  </conditionalFormatting>
  <conditionalFormatting sqref="R552">
    <cfRule type="duplicateValues" dxfId="337" priority="1186"/>
    <cfRule type="duplicateValues" dxfId="336" priority="1187"/>
    <cfRule type="duplicateValues" dxfId="335" priority="1188"/>
    <cfRule type="duplicateValues" dxfId="334" priority="1189"/>
  </conditionalFormatting>
  <conditionalFormatting sqref="R553">
    <cfRule type="duplicateValues" dxfId="333" priority="1182"/>
    <cfRule type="duplicateValues" dxfId="332" priority="1183"/>
    <cfRule type="duplicateValues" dxfId="331" priority="1184"/>
    <cfRule type="duplicateValues" dxfId="330" priority="1185"/>
  </conditionalFormatting>
  <conditionalFormatting sqref="R554">
    <cfRule type="duplicateValues" dxfId="329" priority="1178"/>
    <cfRule type="duplicateValues" dxfId="328" priority="1179"/>
    <cfRule type="duplicateValues" dxfId="327" priority="1180"/>
    <cfRule type="duplicateValues" dxfId="326" priority="1181"/>
  </conditionalFormatting>
  <conditionalFormatting sqref="R555">
    <cfRule type="duplicateValues" dxfId="325" priority="1174"/>
    <cfRule type="duplicateValues" dxfId="324" priority="1175"/>
    <cfRule type="duplicateValues" dxfId="323" priority="1176"/>
    <cfRule type="duplicateValues" dxfId="322" priority="1177"/>
  </conditionalFormatting>
  <conditionalFormatting sqref="R556:R557">
    <cfRule type="duplicateValues" dxfId="321" priority="1170"/>
    <cfRule type="duplicateValues" dxfId="320" priority="1171"/>
    <cfRule type="duplicateValues" dxfId="319" priority="1172"/>
    <cfRule type="duplicateValues" dxfId="318" priority="1173"/>
  </conditionalFormatting>
  <conditionalFormatting sqref="R558">
    <cfRule type="duplicateValues" dxfId="317" priority="367"/>
    <cfRule type="duplicateValues" dxfId="316" priority="368"/>
    <cfRule type="duplicateValues" dxfId="315" priority="369"/>
    <cfRule type="duplicateValues" dxfId="314" priority="370"/>
  </conditionalFormatting>
  <conditionalFormatting sqref="R559">
    <cfRule type="duplicateValues" dxfId="313" priority="363"/>
    <cfRule type="duplicateValues" dxfId="312" priority="364"/>
    <cfRule type="duplicateValues" dxfId="311" priority="365"/>
    <cfRule type="duplicateValues" dxfId="310" priority="366"/>
  </conditionalFormatting>
  <conditionalFormatting sqref="R560">
    <cfRule type="duplicateValues" dxfId="309" priority="359"/>
    <cfRule type="duplicateValues" dxfId="308" priority="360"/>
    <cfRule type="duplicateValues" dxfId="307" priority="361"/>
    <cfRule type="duplicateValues" dxfId="306" priority="362"/>
  </conditionalFormatting>
  <conditionalFormatting sqref="R561">
    <cfRule type="duplicateValues" dxfId="305" priority="355"/>
    <cfRule type="duplicateValues" dxfId="304" priority="356"/>
    <cfRule type="duplicateValues" dxfId="303" priority="357"/>
    <cfRule type="duplicateValues" dxfId="302" priority="358"/>
  </conditionalFormatting>
  <conditionalFormatting sqref="R562">
    <cfRule type="duplicateValues" dxfId="301" priority="351"/>
    <cfRule type="duplicateValues" dxfId="300" priority="352"/>
    <cfRule type="duplicateValues" dxfId="299" priority="353"/>
    <cfRule type="duplicateValues" dxfId="298" priority="354"/>
  </conditionalFormatting>
  <conditionalFormatting sqref="R563">
    <cfRule type="duplicateValues" dxfId="297" priority="347"/>
    <cfRule type="duplicateValues" dxfId="296" priority="348"/>
    <cfRule type="duplicateValues" dxfId="295" priority="349"/>
    <cfRule type="duplicateValues" dxfId="294" priority="350"/>
  </conditionalFormatting>
  <conditionalFormatting sqref="R564">
    <cfRule type="duplicateValues" dxfId="293" priority="343"/>
    <cfRule type="duplicateValues" dxfId="292" priority="344"/>
    <cfRule type="duplicateValues" dxfId="291" priority="345"/>
    <cfRule type="duplicateValues" dxfId="290" priority="346"/>
  </conditionalFormatting>
  <conditionalFormatting sqref="R565">
    <cfRule type="duplicateValues" dxfId="289" priority="339"/>
    <cfRule type="duplicateValues" dxfId="288" priority="340"/>
    <cfRule type="duplicateValues" dxfId="287" priority="341"/>
    <cfRule type="duplicateValues" dxfId="286" priority="342"/>
  </conditionalFormatting>
  <conditionalFormatting sqref="R566">
    <cfRule type="duplicateValues" dxfId="285" priority="335"/>
    <cfRule type="duplicateValues" dxfId="284" priority="336"/>
    <cfRule type="duplicateValues" dxfId="283" priority="337"/>
    <cfRule type="duplicateValues" dxfId="282" priority="338"/>
  </conditionalFormatting>
  <conditionalFormatting sqref="R567">
    <cfRule type="duplicateValues" dxfId="281" priority="331"/>
    <cfRule type="duplicateValues" dxfId="280" priority="332"/>
    <cfRule type="duplicateValues" dxfId="279" priority="333"/>
    <cfRule type="duplicateValues" dxfId="278" priority="334"/>
  </conditionalFormatting>
  <conditionalFormatting sqref="R568">
    <cfRule type="duplicateValues" dxfId="277" priority="327"/>
    <cfRule type="duplicateValues" dxfId="276" priority="328"/>
    <cfRule type="duplicateValues" dxfId="275" priority="329"/>
    <cfRule type="duplicateValues" dxfId="274" priority="330"/>
  </conditionalFormatting>
  <conditionalFormatting sqref="R569">
    <cfRule type="duplicateValues" dxfId="273" priority="319"/>
    <cfRule type="duplicateValues" dxfId="272" priority="320"/>
    <cfRule type="duplicateValues" dxfId="271" priority="321"/>
    <cfRule type="duplicateValues" dxfId="270" priority="322"/>
  </conditionalFormatting>
  <conditionalFormatting sqref="R570">
    <cfRule type="duplicateValues" dxfId="269" priority="323"/>
    <cfRule type="duplicateValues" dxfId="268" priority="324"/>
    <cfRule type="duplicateValues" dxfId="267" priority="325"/>
    <cfRule type="duplicateValues" dxfId="266" priority="326"/>
  </conditionalFormatting>
  <conditionalFormatting sqref="R575">
    <cfRule type="duplicateValues" dxfId="265" priority="1514"/>
  </conditionalFormatting>
  <conditionalFormatting sqref="R576">
    <cfRule type="duplicateValues" dxfId="264" priority="722"/>
    <cfRule type="duplicateValues" dxfId="263" priority="723"/>
  </conditionalFormatting>
  <conditionalFormatting sqref="R577">
    <cfRule type="duplicateValues" dxfId="262" priority="771"/>
    <cfRule type="duplicateValues" dxfId="261" priority="772"/>
  </conditionalFormatting>
  <conditionalFormatting sqref="R578">
    <cfRule type="duplicateValues" dxfId="260" priority="769"/>
    <cfRule type="duplicateValues" dxfId="259" priority="770"/>
  </conditionalFormatting>
  <conditionalFormatting sqref="R579">
    <cfRule type="duplicateValues" dxfId="258" priority="767"/>
    <cfRule type="duplicateValues" dxfId="257" priority="768"/>
  </conditionalFormatting>
  <conditionalFormatting sqref="R580">
    <cfRule type="duplicateValues" dxfId="256" priority="766"/>
  </conditionalFormatting>
  <conditionalFormatting sqref="R581">
    <cfRule type="duplicateValues" dxfId="255" priority="764"/>
    <cfRule type="duplicateValues" dxfId="254" priority="765"/>
  </conditionalFormatting>
  <conditionalFormatting sqref="R582">
    <cfRule type="duplicateValues" dxfId="253" priority="762"/>
    <cfRule type="duplicateValues" dxfId="252" priority="763"/>
  </conditionalFormatting>
  <conditionalFormatting sqref="R583">
    <cfRule type="duplicateValues" dxfId="251" priority="760"/>
    <cfRule type="duplicateValues" dxfId="250" priority="761"/>
  </conditionalFormatting>
  <conditionalFormatting sqref="R584">
    <cfRule type="duplicateValues" dxfId="249" priority="758"/>
    <cfRule type="duplicateValues" dxfId="248" priority="759"/>
  </conditionalFormatting>
  <conditionalFormatting sqref="R585">
    <cfRule type="duplicateValues" dxfId="247" priority="756"/>
    <cfRule type="duplicateValues" dxfId="246" priority="757"/>
  </conditionalFormatting>
  <conditionalFormatting sqref="R586">
    <cfRule type="duplicateValues" dxfId="245" priority="754"/>
    <cfRule type="duplicateValues" dxfId="244" priority="755"/>
  </conditionalFormatting>
  <conditionalFormatting sqref="R587">
    <cfRule type="duplicateValues" dxfId="243" priority="752"/>
    <cfRule type="duplicateValues" dxfId="242" priority="753"/>
  </conditionalFormatting>
  <conditionalFormatting sqref="R588">
    <cfRule type="duplicateValues" dxfId="241" priority="750"/>
    <cfRule type="duplicateValues" dxfId="240" priority="751"/>
  </conditionalFormatting>
  <conditionalFormatting sqref="R589">
    <cfRule type="duplicateValues" dxfId="239" priority="663"/>
    <cfRule type="duplicateValues" dxfId="238" priority="664"/>
  </conditionalFormatting>
  <conditionalFormatting sqref="R590">
    <cfRule type="duplicateValues" dxfId="237" priority="3209"/>
  </conditionalFormatting>
  <conditionalFormatting sqref="R591">
    <cfRule type="duplicateValues" dxfId="236" priority="748"/>
    <cfRule type="duplicateValues" dxfId="235" priority="749"/>
  </conditionalFormatting>
  <conditionalFormatting sqref="R592">
    <cfRule type="duplicateValues" dxfId="234" priority="661"/>
    <cfRule type="duplicateValues" dxfId="233" priority="662"/>
  </conditionalFormatting>
  <conditionalFormatting sqref="R593">
    <cfRule type="duplicateValues" dxfId="232" priority="659"/>
    <cfRule type="duplicateValues" dxfId="231" priority="660"/>
  </conditionalFormatting>
  <conditionalFormatting sqref="R594">
    <cfRule type="duplicateValues" dxfId="230" priority="746"/>
    <cfRule type="duplicateValues" dxfId="229" priority="747"/>
  </conditionalFormatting>
  <conditionalFormatting sqref="R595">
    <cfRule type="duplicateValues" dxfId="228" priority="657"/>
    <cfRule type="duplicateValues" dxfId="227" priority="658"/>
  </conditionalFormatting>
  <conditionalFormatting sqref="R596">
    <cfRule type="duplicateValues" dxfId="226" priority="744"/>
    <cfRule type="duplicateValues" dxfId="225" priority="745"/>
  </conditionalFormatting>
  <conditionalFormatting sqref="R597">
    <cfRule type="duplicateValues" dxfId="224" priority="742"/>
    <cfRule type="duplicateValues" dxfId="223" priority="743"/>
  </conditionalFormatting>
  <conditionalFormatting sqref="R598">
    <cfRule type="duplicateValues" dxfId="222" priority="740"/>
    <cfRule type="duplicateValues" dxfId="221" priority="741"/>
  </conditionalFormatting>
  <conditionalFormatting sqref="R599">
    <cfRule type="duplicateValues" dxfId="220" priority="738"/>
    <cfRule type="duplicateValues" dxfId="219" priority="739"/>
  </conditionalFormatting>
  <conditionalFormatting sqref="R600">
    <cfRule type="duplicateValues" dxfId="218" priority="736"/>
    <cfRule type="duplicateValues" dxfId="217" priority="737"/>
  </conditionalFormatting>
  <conditionalFormatting sqref="R601">
    <cfRule type="duplicateValues" dxfId="216" priority="734"/>
    <cfRule type="duplicateValues" dxfId="215" priority="735"/>
  </conditionalFormatting>
  <conditionalFormatting sqref="R602">
    <cfRule type="duplicateValues" dxfId="214" priority="732"/>
    <cfRule type="duplicateValues" dxfId="213" priority="733"/>
  </conditionalFormatting>
  <conditionalFormatting sqref="R603">
    <cfRule type="duplicateValues" dxfId="212" priority="730"/>
    <cfRule type="duplicateValues" dxfId="211" priority="731"/>
  </conditionalFormatting>
  <conditionalFormatting sqref="R604">
    <cfRule type="duplicateValues" dxfId="210" priority="728"/>
    <cfRule type="duplicateValues" dxfId="209" priority="729"/>
  </conditionalFormatting>
  <conditionalFormatting sqref="R605">
    <cfRule type="duplicateValues" dxfId="208" priority="726"/>
    <cfRule type="duplicateValues" dxfId="207" priority="727"/>
  </conditionalFormatting>
  <conditionalFormatting sqref="R606">
    <cfRule type="duplicateValues" dxfId="206" priority="724"/>
    <cfRule type="duplicateValues" dxfId="205" priority="725"/>
  </conditionalFormatting>
  <conditionalFormatting sqref="R608">
    <cfRule type="duplicateValues" dxfId="204" priority="1383"/>
  </conditionalFormatting>
  <conditionalFormatting sqref="R609">
    <cfRule type="duplicateValues" dxfId="203" priority="1382"/>
  </conditionalFormatting>
  <conditionalFormatting sqref="R610">
    <cfRule type="duplicateValues" dxfId="202" priority="1548"/>
  </conditionalFormatting>
  <conditionalFormatting sqref="R612">
    <cfRule type="duplicateValues" dxfId="201" priority="987"/>
    <cfRule type="duplicateValues" dxfId="200" priority="988"/>
  </conditionalFormatting>
  <conditionalFormatting sqref="R613">
    <cfRule type="duplicateValues" dxfId="199" priority="16"/>
    <cfRule type="duplicateValues" dxfId="198" priority="17"/>
    <cfRule type="duplicateValues" dxfId="197" priority="18"/>
  </conditionalFormatting>
  <conditionalFormatting sqref="R614">
    <cfRule type="duplicateValues" dxfId="196" priority="985"/>
    <cfRule type="duplicateValues" dxfId="195" priority="986"/>
  </conditionalFormatting>
  <conditionalFormatting sqref="R615">
    <cfRule type="duplicateValues" dxfId="194" priority="984"/>
  </conditionalFormatting>
  <conditionalFormatting sqref="R616">
    <cfRule type="duplicateValues" dxfId="193" priority="983"/>
  </conditionalFormatting>
  <conditionalFormatting sqref="R618">
    <cfRule type="duplicateValues" dxfId="192" priority="1033"/>
  </conditionalFormatting>
  <conditionalFormatting sqref="R619">
    <cfRule type="duplicateValues" dxfId="191" priority="31"/>
    <cfRule type="duplicateValues" dxfId="190" priority="32"/>
  </conditionalFormatting>
  <conditionalFormatting sqref="R624">
    <cfRule type="duplicateValues" dxfId="189" priority="247"/>
  </conditionalFormatting>
  <conditionalFormatting sqref="R627">
    <cfRule type="duplicateValues" dxfId="188" priority="77"/>
  </conditionalFormatting>
  <conditionalFormatting sqref="R631">
    <cfRule type="duplicateValues" dxfId="187" priority="2040"/>
    <cfRule type="duplicateValues" dxfId="186" priority="2041"/>
    <cfRule type="duplicateValues" dxfId="185" priority="2042"/>
  </conditionalFormatting>
  <conditionalFormatting sqref="R632">
    <cfRule type="duplicateValues" dxfId="184" priority="2037"/>
    <cfRule type="duplicateValues" dxfId="183" priority="2038"/>
    <cfRule type="duplicateValues" dxfId="182" priority="2039"/>
  </conditionalFormatting>
  <conditionalFormatting sqref="R633">
    <cfRule type="duplicateValues" dxfId="181" priority="2034"/>
    <cfRule type="duplicateValues" dxfId="180" priority="2035"/>
    <cfRule type="duplicateValues" dxfId="179" priority="2036"/>
  </conditionalFormatting>
  <conditionalFormatting sqref="R634">
    <cfRule type="duplicateValues" dxfId="178" priority="1296"/>
    <cfRule type="duplicateValues" dxfId="177" priority="1297"/>
    <cfRule type="duplicateValues" dxfId="176" priority="1298"/>
    <cfRule type="duplicateValues" dxfId="175" priority="1299"/>
  </conditionalFormatting>
  <conditionalFormatting sqref="R635">
    <cfRule type="duplicateValues" dxfId="174" priority="74"/>
    <cfRule type="duplicateValues" dxfId="173" priority="75"/>
    <cfRule type="duplicateValues" dxfId="172" priority="76"/>
  </conditionalFormatting>
  <conditionalFormatting sqref="R636">
    <cfRule type="duplicateValues" dxfId="171" priority="2026"/>
  </conditionalFormatting>
  <conditionalFormatting sqref="R637">
    <cfRule type="duplicateValues" dxfId="170" priority="71"/>
    <cfRule type="duplicateValues" dxfId="169" priority="72"/>
    <cfRule type="duplicateValues" dxfId="168" priority="73"/>
  </conditionalFormatting>
  <conditionalFormatting sqref="R638">
    <cfRule type="duplicateValues" dxfId="167" priority="67"/>
    <cfRule type="duplicateValues" dxfId="166" priority="68"/>
    <cfRule type="duplicateValues" dxfId="165" priority="69"/>
    <cfRule type="duplicateValues" dxfId="164" priority="70"/>
  </conditionalFormatting>
  <conditionalFormatting sqref="R639">
    <cfRule type="duplicateValues" dxfId="163" priority="63"/>
    <cfRule type="duplicateValues" dxfId="162" priority="64"/>
    <cfRule type="duplicateValues" dxfId="161" priority="65"/>
    <cfRule type="duplicateValues" dxfId="160" priority="66"/>
  </conditionalFormatting>
  <conditionalFormatting sqref="R640">
    <cfRule type="duplicateValues" dxfId="159" priority="2228"/>
    <cfRule type="duplicateValues" dxfId="158" priority="2229"/>
  </conditionalFormatting>
  <conditionalFormatting sqref="R641">
    <cfRule type="duplicateValues" dxfId="157" priority="1292"/>
    <cfRule type="duplicateValues" dxfId="156" priority="1293"/>
    <cfRule type="duplicateValues" dxfId="155" priority="1294"/>
    <cfRule type="duplicateValues" dxfId="154" priority="1295"/>
  </conditionalFormatting>
  <conditionalFormatting sqref="R642">
    <cfRule type="duplicateValues" dxfId="153" priority="1287"/>
    <cfRule type="duplicateValues" dxfId="152" priority="1288"/>
    <cfRule type="duplicateValues" dxfId="151" priority="1289"/>
    <cfRule type="duplicateValues" dxfId="150" priority="1290"/>
    <cfRule type="duplicateValues" dxfId="149" priority="1291"/>
  </conditionalFormatting>
  <conditionalFormatting sqref="R643">
    <cfRule type="duplicateValues" dxfId="148" priority="1282"/>
    <cfRule type="duplicateValues" dxfId="147" priority="1283"/>
    <cfRule type="duplicateValues" dxfId="146" priority="1284"/>
    <cfRule type="duplicateValues" dxfId="145" priority="1285"/>
    <cfRule type="duplicateValues" dxfId="144" priority="1286"/>
  </conditionalFormatting>
  <conditionalFormatting sqref="R644">
    <cfRule type="duplicateValues" dxfId="143" priority="1277"/>
    <cfRule type="duplicateValues" dxfId="142" priority="1278"/>
    <cfRule type="duplicateValues" dxfId="141" priority="1279"/>
    <cfRule type="duplicateValues" dxfId="140" priority="1280"/>
    <cfRule type="duplicateValues" dxfId="139" priority="1281"/>
  </conditionalFormatting>
  <conditionalFormatting sqref="R645">
    <cfRule type="duplicateValues" dxfId="138" priority="2212"/>
    <cfRule type="duplicateValues" dxfId="137" priority="2213"/>
    <cfRule type="duplicateValues" dxfId="136" priority="2214"/>
  </conditionalFormatting>
  <conditionalFormatting sqref="R646">
    <cfRule type="duplicateValues" dxfId="135" priority="2209"/>
    <cfRule type="duplicateValues" dxfId="134" priority="2210"/>
    <cfRule type="duplicateValues" dxfId="133" priority="2211"/>
  </conditionalFormatting>
  <conditionalFormatting sqref="R647">
    <cfRule type="duplicateValues" dxfId="132" priority="2206"/>
    <cfRule type="duplicateValues" dxfId="131" priority="2207"/>
  </conditionalFormatting>
  <conditionalFormatting sqref="R648">
    <cfRule type="duplicateValues" dxfId="130" priority="2121"/>
    <cfRule type="duplicateValues" dxfId="129" priority="2122"/>
  </conditionalFormatting>
  <conditionalFormatting sqref="R649">
    <cfRule type="duplicateValues" dxfId="128" priority="2117"/>
  </conditionalFormatting>
  <conditionalFormatting sqref="R650">
    <cfRule type="duplicateValues" dxfId="127" priority="2116"/>
  </conditionalFormatting>
  <conditionalFormatting sqref="R651">
    <cfRule type="duplicateValues" dxfId="126" priority="2114"/>
    <cfRule type="duplicateValues" dxfId="125" priority="2115"/>
  </conditionalFormatting>
  <conditionalFormatting sqref="R652">
    <cfRule type="duplicateValues" dxfId="124" priority="2112"/>
    <cfRule type="duplicateValues" dxfId="123" priority="2113"/>
  </conditionalFormatting>
  <conditionalFormatting sqref="R653">
    <cfRule type="duplicateValues" dxfId="122" priority="2108"/>
    <cfRule type="duplicateValues" dxfId="121" priority="2109"/>
    <cfRule type="duplicateValues" dxfId="120" priority="2110"/>
  </conditionalFormatting>
  <conditionalFormatting sqref="R654">
    <cfRule type="duplicateValues" dxfId="119" priority="2105"/>
    <cfRule type="duplicateValues" dxfId="118" priority="2106"/>
    <cfRule type="duplicateValues" dxfId="117" priority="2107"/>
  </conditionalFormatting>
  <conditionalFormatting sqref="R655">
    <cfRule type="duplicateValues" dxfId="116" priority="309"/>
    <cfRule type="duplicateValues" dxfId="115" priority="310"/>
    <cfRule type="duplicateValues" dxfId="114" priority="311"/>
    <cfRule type="duplicateValues" dxfId="113" priority="312"/>
    <cfRule type="duplicateValues" dxfId="112" priority="313"/>
  </conditionalFormatting>
  <conditionalFormatting sqref="R656">
    <cfRule type="duplicateValues" dxfId="111" priority="304"/>
    <cfRule type="duplicateValues" dxfId="110" priority="305"/>
    <cfRule type="duplicateValues" dxfId="109" priority="306"/>
    <cfRule type="duplicateValues" dxfId="108" priority="307"/>
    <cfRule type="duplicateValues" dxfId="107" priority="308"/>
  </conditionalFormatting>
  <conditionalFormatting sqref="R657">
    <cfRule type="duplicateValues" dxfId="106" priority="713"/>
    <cfRule type="duplicateValues" dxfId="105" priority="714"/>
    <cfRule type="duplicateValues" dxfId="104" priority="715"/>
    <cfRule type="duplicateValues" dxfId="103" priority="716"/>
  </conditionalFormatting>
  <conditionalFormatting sqref="R658">
    <cfRule type="duplicateValues" dxfId="102" priority="709"/>
    <cfRule type="duplicateValues" dxfId="101" priority="710"/>
    <cfRule type="duplicateValues" dxfId="100" priority="711"/>
    <cfRule type="duplicateValues" dxfId="99" priority="712"/>
  </conditionalFormatting>
  <conditionalFormatting sqref="R46:S46">
    <cfRule type="duplicateValues" dxfId="98" priority="5890"/>
    <cfRule type="duplicateValues" dxfId="97" priority="5891"/>
  </conditionalFormatting>
  <conditionalFormatting sqref="R58:S59">
    <cfRule type="duplicateValues" dxfId="96" priority="3564"/>
  </conditionalFormatting>
  <conditionalFormatting sqref="R75:S75 S76:S77">
    <cfRule type="duplicateValues" dxfId="95" priority="6220"/>
  </conditionalFormatting>
  <conditionalFormatting sqref="R237:S237">
    <cfRule type="duplicateValues" dxfId="94" priority="6212"/>
    <cfRule type="duplicateValues" dxfId="93" priority="6213"/>
  </conditionalFormatting>
  <conditionalFormatting sqref="R322:S322">
    <cfRule type="duplicateValues" dxfId="92" priority="2911"/>
    <cfRule type="duplicateValues" dxfId="91" priority="2912"/>
    <cfRule type="duplicateValues" dxfId="90" priority="2913"/>
    <cfRule type="duplicateValues" dxfId="89" priority="2914"/>
  </conditionalFormatting>
  <conditionalFormatting sqref="R502:S502">
    <cfRule type="duplicateValues" dxfId="88" priority="4646"/>
  </conditionalFormatting>
  <conditionalFormatting sqref="R580:S580">
    <cfRule type="duplicateValues" dxfId="87" priority="3250"/>
  </conditionalFormatting>
  <conditionalFormatting sqref="R630:S630">
    <cfRule type="duplicateValues" dxfId="86" priority="2143"/>
    <cfRule type="duplicateValues" dxfId="85" priority="2153"/>
    <cfRule type="duplicateValues" dxfId="84" priority="2160"/>
  </conditionalFormatting>
  <conditionalFormatting sqref="R672:S672">
    <cfRule type="duplicateValues" dxfId="83" priority="97"/>
    <cfRule type="duplicateValues" dxfId="82" priority="98"/>
    <cfRule type="duplicateValues" dxfId="81" priority="99"/>
    <cfRule type="duplicateValues" dxfId="80" priority="100"/>
  </conditionalFormatting>
  <conditionalFormatting sqref="R85:T85">
    <cfRule type="duplicateValues" dxfId="79" priority="7219"/>
  </conditionalFormatting>
  <conditionalFormatting sqref="S10:S671">
    <cfRule type="duplicateValues" dxfId="78" priority="81847"/>
  </conditionalFormatting>
  <conditionalFormatting sqref="S10:S672">
    <cfRule type="duplicateValues" dxfId="77" priority="80376"/>
  </conditionalFormatting>
  <conditionalFormatting sqref="S495:S498 S47:S50 S500:S541 S76:S84 S471:S486 S86:S131 S66:S68 S71:S74 S325:S396 S151:S236 S316:S321 R323:S323 S20:S45 S133:S136 S10:S18 S238:S298 S138:S149 S300:S314">
    <cfRule type="duplicateValues" dxfId="76" priority="76356"/>
  </conditionalFormatting>
  <conditionalFormatting sqref="S500:S501 S503:S513 S471:S486 S325:S396 R495:S495 R497:S498 S151:S236 S316:S321 R323:S323 S238:S298 S139:S149 S300:S314">
    <cfRule type="duplicateValues" dxfId="75" priority="55252"/>
  </conditionalFormatting>
  <conditionalFormatting sqref="S543:S544">
    <cfRule type="duplicateValues" dxfId="74" priority="74535"/>
  </conditionalFormatting>
  <conditionalFormatting sqref="S543:S570 S495:S498 S47:S57 S500:S541 T85 S471:S486 S60:S68 S325:S396 S316:S321 R323:S323 S20:S45 S71:S131 S133:S136 S10:S18 S151:S298 S138:S149 S300:S314">
    <cfRule type="duplicateValues" dxfId="73" priority="78258"/>
  </conditionalFormatting>
  <conditionalFormatting sqref="S545:S549">
    <cfRule type="duplicateValues" dxfId="72" priority="6614"/>
  </conditionalFormatting>
  <conditionalFormatting sqref="S550:S570">
    <cfRule type="duplicateValues" dxfId="71" priority="78275"/>
  </conditionalFormatting>
  <conditionalFormatting sqref="S581:S614 T85 S471:S486 S325:S396 S500:S579 S316:S321 R323:S323 S488:S498 S20:S68 S71:S131 S133:S136 S10:S18 S151:S298 S138:S149 S300:S314">
    <cfRule type="duplicateValues" dxfId="70" priority="65964"/>
  </conditionalFormatting>
  <conditionalFormatting sqref="S632:S635 S648:S671">
    <cfRule type="duplicateValues" dxfId="69" priority="78630"/>
  </conditionalFormatting>
  <conditionalFormatting sqref="S632:S636 S648:S671">
    <cfRule type="duplicateValues" dxfId="68" priority="78633"/>
  </conditionalFormatting>
  <conditionalFormatting sqref="S637:S647 S631">
    <cfRule type="duplicateValues" dxfId="67" priority="68555"/>
    <cfRule type="duplicateValues" dxfId="66" priority="68556"/>
  </conditionalFormatting>
  <conditionalFormatting sqref="S638:S647 S631">
    <cfRule type="duplicateValues" dxfId="65" priority="68561"/>
  </conditionalFormatting>
  <conditionalFormatting sqref="S642:S647">
    <cfRule type="duplicateValues" dxfId="64" priority="2223"/>
  </conditionalFormatting>
  <conditionalFormatting sqref="S648:S656 S632:S634">
    <cfRule type="duplicateValues" dxfId="63" priority="78427"/>
  </conditionalFormatting>
  <conditionalFormatting sqref="S653:S656 R634:S634">
    <cfRule type="duplicateValues" dxfId="62" priority="78430"/>
  </conditionalFormatting>
  <conditionalFormatting sqref="S657:S671 R635:S635">
    <cfRule type="duplicateValues" dxfId="61" priority="78635"/>
  </conditionalFormatting>
  <conditionalFormatting sqref="T672">
    <cfRule type="duplicateValues" dxfId="60" priority="116"/>
    <cfRule type="duplicateValues" dxfId="59" priority="117"/>
    <cfRule type="duplicateValues" dxfId="58" priority="118"/>
  </conditionalFormatting>
  <conditionalFormatting sqref="U672">
    <cfRule type="duplicateValues" dxfId="57" priority="112"/>
    <cfRule type="duplicateValues" dxfId="56" priority="113"/>
    <cfRule type="duplicateValues" dxfId="55" priority="114"/>
    <cfRule type="duplicateValues" dxfId="54" priority="115"/>
  </conditionalFormatting>
  <conditionalFormatting sqref="Y10:Y672">
    <cfRule type="cellIs" dxfId="50" priority="2145" operator="equal">
      <formula>$AK$6</formula>
    </cfRule>
  </conditionalFormatting>
  <conditionalFormatting sqref="AB10:AB12 AB18:AB30 AB33:AB93">
    <cfRule type="duplicateValues" dxfId="44" priority="80120"/>
  </conditionalFormatting>
  <conditionalFormatting sqref="AB637:AB638 AB631">
    <cfRule type="duplicateValues" dxfId="43" priority="2236"/>
  </conditionalFormatting>
  <conditionalFormatting sqref="AB648:AB650 AB632:AB633">
    <cfRule type="duplicateValues" dxfId="42" priority="68617"/>
  </conditionalFormatting>
  <conditionalFormatting sqref="AE9">
    <cfRule type="cellIs" dxfId="41" priority="9604" operator="equal">
      <formula>$AP$4</formula>
    </cfRule>
    <cfRule type="cellIs" dxfId="40" priority="9605" operator="equal">
      <formula>$AP$3</formula>
    </cfRule>
    <cfRule type="cellIs" dxfId="39" priority="9606" operator="equal">
      <formula>$AP$2</formula>
    </cfRule>
  </conditionalFormatting>
  <conditionalFormatting sqref="AE10:AE672">
    <cfRule type="cellIs" dxfId="38" priority="3561" operator="equal">
      <formula>$AK$4</formula>
    </cfRule>
    <cfRule type="cellIs" dxfId="37" priority="7319" operator="equal">
      <formula>$AK$7</formula>
    </cfRule>
  </conditionalFormatting>
  <conditionalFormatting sqref="AE28:AE32 AE54:AE57 AE75:AE79 AE101:AE102 AE113 AE148:AE152 AE209 AE212:AE213 AE225:AE226 AE239:AE240 AE254:AE256 AE267:AE268 AE277:AE278 AE315 AE328:AE329 AE341 AE345:AE346 AE354:AE355 AE367:AE368 AE380 AE382:AE383 AE498:AE499 AE638:AE672">
    <cfRule type="cellIs" dxfId="36" priority="9445" operator="equal">
      <formula>"ATRASADO"</formula>
    </cfRule>
  </conditionalFormatting>
  <conditionalFormatting sqref="AE35:AE44">
    <cfRule type="cellIs" dxfId="35" priority="5376" operator="equal">
      <formula>$AK$5</formula>
    </cfRule>
    <cfRule type="cellIs" dxfId="34" priority="5377" operator="equal">
      <formula>$AK$4</formula>
    </cfRule>
  </conditionalFormatting>
  <conditionalFormatting sqref="AE55:AE56 AE544:AE629">
    <cfRule type="cellIs" dxfId="33" priority="3560" operator="equal">
      <formula>$AK$5</formula>
    </cfRule>
  </conditionalFormatting>
  <conditionalFormatting sqref="AE65 AE81 AE134 AE169 AE261 AE316 AE320 AE433 AE485 AE545:AE546 AE619 AE308:AE309">
    <cfRule type="cellIs" dxfId="32" priority="38" operator="equal">
      <formula>$AK$4</formula>
    </cfRule>
  </conditionalFormatting>
  <conditionalFormatting sqref="AE87">
    <cfRule type="cellIs" dxfId="31" priority="7134" operator="equal">
      <formula>$AK$5</formula>
    </cfRule>
    <cfRule type="cellIs" dxfId="30" priority="7135" operator="equal">
      <formula>$AK$4</formula>
    </cfRule>
  </conditionalFormatting>
  <conditionalFormatting sqref="AE120:AE121 AE129:AE131 AE172:AE173 AE181 AE189:AE199 AE221 AE289 AE300:AE302 AE395:AE396 AE483:AE484 AE631">
    <cfRule type="cellIs" dxfId="29" priority="9388" operator="equal">
      <formula>"ATRASADO"</formula>
    </cfRule>
  </conditionalFormatting>
  <conditionalFormatting sqref="AE143">
    <cfRule type="cellIs" dxfId="28" priority="9284" operator="equal">
      <formula>$AK$5</formula>
    </cfRule>
    <cfRule type="cellIs" dxfId="27" priority="9285" operator="equal">
      <formula>$AK$4</formula>
    </cfRule>
  </conditionalFormatting>
  <conditionalFormatting sqref="AE203:AE205">
    <cfRule type="cellIs" dxfId="26" priority="5195" operator="equal">
      <formula>"ATRASADO"</formula>
    </cfRule>
  </conditionalFormatting>
  <conditionalFormatting sqref="AE237">
    <cfRule type="cellIs" dxfId="25" priority="6210" operator="equal">
      <formula>$AK$5</formula>
    </cfRule>
    <cfRule type="cellIs" dxfId="24" priority="6211" operator="equal">
      <formula>$AK$4</formula>
    </cfRule>
  </conditionalFormatting>
  <conditionalFormatting sqref="AE514:AE517">
    <cfRule type="cellIs" dxfId="23" priority="3431" operator="equal">
      <formula>$AK$5</formula>
    </cfRule>
    <cfRule type="cellIs" dxfId="22" priority="3432" operator="equal">
      <formula>$AK$4</formula>
    </cfRule>
  </conditionalFormatting>
  <conditionalFormatting sqref="AE520 AE524:AE525 AE527">
    <cfRule type="cellIs" dxfId="21" priority="3279" operator="equal">
      <formula>"ATRASADO"</formula>
    </cfRule>
  </conditionalFormatting>
  <conditionalFormatting sqref="AE558:AE559">
    <cfRule type="cellIs" dxfId="20" priority="3227" operator="equal">
      <formula>$AK$5</formula>
    </cfRule>
    <cfRule type="cellIs" dxfId="19" priority="3228" operator="equal">
      <formula>$AK$4</formula>
    </cfRule>
  </conditionalFormatting>
  <conditionalFormatting sqref="AE567 AE576:AE581 AE630 AE10:AE546">
    <cfRule type="cellIs" dxfId="18" priority="2151" operator="equal">
      <formula>$AK$5</formula>
    </cfRule>
  </conditionalFormatting>
  <conditionalFormatting sqref="AE613">
    <cfRule type="cellIs" dxfId="17" priority="33" operator="equal">
      <formula>$AK$5</formula>
    </cfRule>
    <cfRule type="cellIs" dxfId="16" priority="34" operator="equal">
      <formula>$AK$5</formula>
    </cfRule>
    <cfRule type="cellIs" dxfId="15" priority="35" operator="equal">
      <formula>$AK$4</formula>
    </cfRule>
  </conditionalFormatting>
  <conditionalFormatting sqref="AE619 AE65 AE81 AE134 AE169 AE261 AE308:AE309 AE316 AE320 AE433 AE485 AE545:AE546">
    <cfRule type="cellIs" dxfId="14" priority="37" operator="equal">
      <formula>$AK$5</formula>
    </cfRule>
  </conditionalFormatting>
  <conditionalFormatting sqref="AE619">
    <cfRule type="cellIs" dxfId="13" priority="36" operator="equal">
      <formula>$AK$5</formula>
    </cfRule>
  </conditionalFormatting>
  <conditionalFormatting sqref="AE631:AE672">
    <cfRule type="cellIs" dxfId="12" priority="9446" operator="equal">
      <formula>$AK$5</formula>
    </cfRule>
  </conditionalFormatting>
  <conditionalFormatting sqref="AF571 AF590 AF592:AF593 AF595 AF607:AF609 AF611 AF619:AF624">
    <cfRule type="cellIs" dxfId="11" priority="6000" operator="equal">
      <formula>$AK$5</formula>
    </cfRule>
    <cfRule type="cellIs" dxfId="10" priority="6001" operator="equal">
      <formula>$AK$4</formula>
    </cfRule>
    <cfRule type="cellIs" dxfId="9" priority="6002" operator="equal">
      <formula>$AK$7</formula>
    </cfRule>
  </conditionalFormatting>
  <dataValidations count="3">
    <dataValidation type="list" allowBlank="1" showErrorMessage="1" sqref="D660:D669 E10:E672" xr:uid="{00000000-0002-0000-0500-000002000000}">
      <formula1>AREAS</formula1>
    </dataValidation>
    <dataValidation type="list" allowBlank="1" showErrorMessage="1" sqref="F10:F672" xr:uid="{00000000-0002-0000-0500-000000000000}">
      <formula1>INDIRECT(E10)</formula1>
    </dataValidation>
    <dataValidation type="list" allowBlank="1" showErrorMessage="1" sqref="Z10:Z672" xr:uid="{00000000-0002-0000-0500-000001000000}">
      <formula1>"SIM,NÃO,---"</formula1>
    </dataValidation>
  </dataValidations>
  <hyperlinks>
    <hyperlink ref="C4" r:id="rId1" display="https://heinz365.sharepoint.com/:x:/r/sites/Automacao-Neropolis/_layouts/15/Doc.aspx?sourcedoc=%7B49D444E0-972C-4F91-A476-038C98C66A02%7D&amp;file=AN-NR-MAN-1001%20v%2007%20-%20Registro%20de%20Calibra%C3%A7%C3%A3o..xlsx&amp;action=default&amp;mobileredirect=true" xr:uid="{62396CAA-4642-42A4-AC5D-818ECC3CF643}"/>
    <hyperlink ref="C6" r:id="rId2" display="https://qualidade.suporty.com.br/sistema/login/?next=/sistema/" xr:uid="{C9D51C92-8BB7-464C-9D43-537191095DD7}"/>
    <hyperlink ref="S76" r:id="rId3" display="..\CERTIFICADOS\ANUAL\07_JULHO_2026\507991.pdf" xr:uid="{BBF9B408-C30B-4112-9D4B-510D70D0D4A3}"/>
    <hyperlink ref="S77" r:id="rId4" display="..\CERTIFICADOS\ANUAL\07_JULHO_2026\507992.pdf" xr:uid="{C7BA6170-47E0-45B4-BE24-8364E39EFD87}"/>
  </hyperlinks>
  <pageMargins left="0.511811024" right="0.511811024" top="0.78740157499999996" bottom="0.78740157499999996" header="0" footer="0"/>
  <pageSetup paperSize="9"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996" operator="containsText" id="{FBEA472B-5D3C-4AAC-8E1E-C61EDDA7EE0F}">
            <xm:f>NOT(ISERROR(SEARCH($AK$5,Y10)))</xm:f>
            <xm:f>$AK$5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095" operator="containsText" id="{C2B72D39-0543-4352-8E62-12CD440F821E}">
            <xm:f>NOT(ISERROR(SEARCH($AL$6,Y10)))</xm:f>
            <xm:f>$AL$6</xm:f>
            <x14:dxf>
              <font>
                <color rgb="FF9C6500"/>
              </font>
              <fill>
                <patternFill patternType="solid">
                  <bgColor rgb="FFFFFFBA"/>
                </patternFill>
              </fill>
            </x14:dxf>
          </x14:cfRule>
          <x14:cfRule type="containsText" priority="8096" operator="containsText" id="{2B4EE12C-916B-4E83-BB86-24D79B9197C0}">
            <xm:f>NOT(ISERROR(SEARCH($AL$5,Y10)))</xm:f>
            <xm:f>$AL$5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Y10:Y236 Y238:Y672</xm:sqref>
        </x14:conditionalFormatting>
        <x14:conditionalFormatting xmlns:xm="http://schemas.microsoft.com/office/excel/2006/main">
          <x14:cfRule type="containsText" priority="6209" operator="containsText" id="{3895A3A3-44D1-4872-B96B-4DFF2B0EB207}">
            <xm:f>NOT(ISERROR(SEARCH($AL$4,Y10)))</xm:f>
            <xm:f>$AL$4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Y10:Y672</xm:sqref>
        </x14:conditionalFormatting>
        <x14:conditionalFormatting xmlns:xm="http://schemas.microsoft.com/office/excel/2006/main">
          <x14:cfRule type="containsText" priority="6202" operator="containsText" id="{ABB6CC4E-60A5-4485-81EA-F421439D97E9}">
            <xm:f>NOT(ISERROR(SEARCH($AL$4,Y237)))</xm:f>
            <xm:f>$AL$4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205" operator="containsText" id="{AA7FD097-859C-4793-B360-3D12F666290F}">
            <xm:f>NOT(ISERROR(SEARCH($AK$5,Y237)))</xm:f>
            <xm:f>$AK$5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207" operator="containsText" id="{246AB5BC-EE98-4450-816C-7F929B174A4D}">
            <xm:f>NOT(ISERROR(SEARCH($AL$6,Y237)))</xm:f>
            <xm:f>$AL$6</xm:f>
            <x14:dxf>
              <font>
                <color rgb="FF9C6500"/>
              </font>
              <fill>
                <patternFill patternType="solid">
                  <bgColor rgb="FFFFFFBA"/>
                </patternFill>
              </fill>
            </x14:dxf>
          </x14:cfRule>
          <x14:cfRule type="containsText" priority="6208" operator="containsText" id="{6A159D4E-4918-4597-BBFE-B4558EA98CBA}">
            <xm:f>NOT(ISERROR(SEARCH($AL$5,Y237)))</xm:f>
            <xm:f>$AL$5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Y237 Y632:Y672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1FC8-0B31-4D97-88E5-BB8B4B53B64F}">
  <dimension ref="A1:E7"/>
  <sheetViews>
    <sheetView workbookViewId="0">
      <selection activeCell="C31" sqref="C31"/>
    </sheetView>
  </sheetViews>
  <sheetFormatPr defaultRowHeight="13.8" x14ac:dyDescent="0.25"/>
  <cols>
    <col min="1" max="1" width="14.59765625" customWidth="1"/>
    <col min="2" max="2" width="19.5" customWidth="1"/>
    <col min="3" max="3" width="65.3984375" customWidth="1"/>
    <col min="4" max="4" width="18.59765625" customWidth="1"/>
    <col min="5" max="5" width="31.5" customWidth="1"/>
  </cols>
  <sheetData>
    <row r="1" spans="1:5" ht="15" customHeight="1" thickBot="1" x14ac:dyDescent="0.3">
      <c r="A1" s="205"/>
      <c r="B1" s="205"/>
      <c r="C1" s="200" t="s">
        <v>5802</v>
      </c>
      <c r="D1" s="202" t="s">
        <v>5803</v>
      </c>
      <c r="E1" s="203" t="s">
        <v>5801</v>
      </c>
    </row>
    <row r="2" spans="1:5" ht="72.599999999999994" customHeight="1" x14ac:dyDescent="0.25">
      <c r="A2" s="206"/>
      <c r="B2" s="206"/>
      <c r="C2" s="201"/>
      <c r="D2" s="202"/>
      <c r="E2" s="204"/>
    </row>
    <row r="3" spans="1:5" ht="30" customHeight="1" x14ac:dyDescent="0.25">
      <c r="A3" s="156" t="s">
        <v>5804</v>
      </c>
      <c r="B3" s="157" t="s">
        <v>5805</v>
      </c>
      <c r="C3" s="157" t="s">
        <v>5806</v>
      </c>
      <c r="D3" s="158" t="s">
        <v>5807</v>
      </c>
      <c r="E3" s="158" t="s">
        <v>5808</v>
      </c>
    </row>
    <row r="4" spans="1:5" ht="30" customHeight="1" x14ac:dyDescent="0.25">
      <c r="A4" s="159" t="s">
        <v>5809</v>
      </c>
      <c r="B4" s="160">
        <v>42999</v>
      </c>
      <c r="C4" s="161" t="s">
        <v>5810</v>
      </c>
      <c r="D4" s="162" t="s">
        <v>5811</v>
      </c>
      <c r="E4" s="162" t="s">
        <v>5812</v>
      </c>
    </row>
    <row r="5" spans="1:5" ht="30" customHeight="1" x14ac:dyDescent="0.25">
      <c r="A5" s="163" t="s">
        <v>5813</v>
      </c>
      <c r="B5" s="160">
        <v>46170</v>
      </c>
      <c r="C5" s="165" t="s">
        <v>5866</v>
      </c>
      <c r="D5" s="162" t="s">
        <v>5814</v>
      </c>
      <c r="E5" s="162" t="s">
        <v>5812</v>
      </c>
    </row>
    <row r="6" spans="1:5" ht="14.4" hidden="1" x14ac:dyDescent="0.25">
      <c r="A6" s="164"/>
      <c r="B6" s="160"/>
      <c r="C6" s="161"/>
      <c r="D6" s="161"/>
      <c r="E6" s="161"/>
    </row>
    <row r="7" spans="1:5" ht="14.4" hidden="1" x14ac:dyDescent="0.25">
      <c r="A7" s="164"/>
      <c r="B7" s="160"/>
      <c r="C7" s="161"/>
      <c r="D7" s="161"/>
      <c r="E7" s="161"/>
    </row>
  </sheetData>
  <mergeCells count="4">
    <mergeCell ref="C1:C2"/>
    <mergeCell ref="D1:D2"/>
    <mergeCell ref="E1:E2"/>
    <mergeCell ref="A1:B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workbookViewId="0">
      <selection activeCell="D15" sqref="D15"/>
    </sheetView>
  </sheetViews>
  <sheetFormatPr defaultRowHeight="13.8" x14ac:dyDescent="0.25"/>
  <sheetData>
    <row r="1" spans="1:7" ht="45.6" customHeight="1" x14ac:dyDescent="0.25">
      <c r="A1" s="207" t="s">
        <v>636</v>
      </c>
      <c r="B1" s="207"/>
      <c r="C1" s="207"/>
      <c r="D1" s="207" t="s">
        <v>637</v>
      </c>
      <c r="E1" s="207"/>
      <c r="F1" s="207" t="s">
        <v>638</v>
      </c>
      <c r="G1" s="207"/>
    </row>
    <row r="2" spans="1:7" x14ac:dyDescent="0.25">
      <c r="A2" s="208">
        <v>115</v>
      </c>
      <c r="B2" s="208"/>
      <c r="C2" s="208"/>
      <c r="D2" s="208">
        <v>53</v>
      </c>
      <c r="E2" s="208"/>
      <c r="F2" s="208">
        <v>62</v>
      </c>
      <c r="G2" s="208"/>
    </row>
    <row r="3" spans="1:7" x14ac:dyDescent="0.25">
      <c r="A3" s="208"/>
      <c r="B3" s="208"/>
      <c r="C3" s="208"/>
      <c r="D3" s="208"/>
      <c r="E3" s="208"/>
      <c r="F3" s="208"/>
      <c r="G3" s="208"/>
    </row>
    <row r="4" spans="1:7" x14ac:dyDescent="0.25">
      <c r="A4" s="208"/>
      <c r="B4" s="208"/>
      <c r="C4" s="208"/>
      <c r="D4" s="208"/>
      <c r="E4" s="208"/>
      <c r="F4" s="208"/>
      <c r="G4" s="208"/>
    </row>
    <row r="5" spans="1:7" x14ac:dyDescent="0.25">
      <c r="A5" s="208"/>
      <c r="B5" s="208"/>
      <c r="C5" s="208"/>
      <c r="D5" s="208"/>
      <c r="E5" s="208"/>
      <c r="F5" s="208"/>
      <c r="G5" s="208"/>
    </row>
  </sheetData>
  <mergeCells count="6">
    <mergeCell ref="A1:C1"/>
    <mergeCell ref="A2:C5"/>
    <mergeCell ref="D1:E1"/>
    <mergeCell ref="F1:G1"/>
    <mergeCell ref="D2:E5"/>
    <mergeCell ref="F2:G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Z1000"/>
  <sheetViews>
    <sheetView zoomScale="130" zoomScaleNormal="130" workbookViewId="0">
      <selection activeCell="D4" sqref="D4"/>
    </sheetView>
  </sheetViews>
  <sheetFormatPr defaultColWidth="12.59765625" defaultRowHeight="15" customHeight="1" x14ac:dyDescent="0.25"/>
  <cols>
    <col min="1" max="2" width="8" customWidth="1"/>
    <col min="3" max="4" width="17.69921875" customWidth="1"/>
    <col min="5" max="5" width="16.19921875" customWidth="1"/>
    <col min="6" max="7" width="13.69921875" customWidth="1"/>
    <col min="8" max="8" width="15.09765625" customWidth="1"/>
    <col min="9" max="9" width="18.59765625" customWidth="1"/>
    <col min="10" max="10" width="14.69921875" customWidth="1"/>
    <col min="11" max="26" width="7.59765625" customWidth="1"/>
  </cols>
  <sheetData>
    <row r="1" spans="1:26" ht="11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 x14ac:dyDescent="0.25">
      <c r="A2" s="1"/>
      <c r="B2" s="2" t="s">
        <v>639</v>
      </c>
      <c r="C2" s="2" t="s">
        <v>40</v>
      </c>
      <c r="D2" s="2" t="s">
        <v>4403</v>
      </c>
      <c r="E2" s="2" t="s">
        <v>50</v>
      </c>
      <c r="F2" s="2" t="s">
        <v>311</v>
      </c>
      <c r="G2" s="2" t="s">
        <v>446</v>
      </c>
      <c r="H2" s="2" t="s">
        <v>256</v>
      </c>
      <c r="I2" s="2" t="s">
        <v>640</v>
      </c>
      <c r="J2" s="2" t="s">
        <v>68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5">
      <c r="A4" s="1"/>
      <c r="B4" s="4" t="s">
        <v>641</v>
      </c>
      <c r="C4" s="1" t="s">
        <v>90</v>
      </c>
      <c r="D4" s="1" t="s">
        <v>446</v>
      </c>
      <c r="E4" s="1" t="s">
        <v>221</v>
      </c>
      <c r="F4" s="1" t="s">
        <v>642</v>
      </c>
      <c r="G4" s="1" t="s">
        <v>446</v>
      </c>
      <c r="H4" s="1" t="s">
        <v>263</v>
      </c>
      <c r="I4" s="1" t="s">
        <v>643</v>
      </c>
      <c r="J4" s="1" t="s">
        <v>69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 x14ac:dyDescent="0.25">
      <c r="A5" s="1"/>
      <c r="B5" s="1"/>
      <c r="C5" s="1" t="s">
        <v>644</v>
      </c>
      <c r="D5" s="1"/>
      <c r="E5" s="1" t="s">
        <v>266</v>
      </c>
      <c r="F5" s="1" t="s">
        <v>263</v>
      </c>
      <c r="G5" s="1" t="s">
        <v>446</v>
      </c>
      <c r="H5" s="1" t="s">
        <v>312</v>
      </c>
      <c r="I5" s="1"/>
      <c r="J5" s="1" t="s">
        <v>645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 x14ac:dyDescent="0.25">
      <c r="A6" s="1"/>
      <c r="B6" s="1"/>
      <c r="C6" s="1" t="s">
        <v>156</v>
      </c>
      <c r="D6" s="1"/>
      <c r="E6" s="1" t="s">
        <v>3583</v>
      </c>
      <c r="F6" s="1" t="s">
        <v>312</v>
      </c>
      <c r="G6" s="1"/>
      <c r="H6" s="1" t="s">
        <v>317</v>
      </c>
      <c r="I6" s="1"/>
      <c r="J6" s="1" t="s">
        <v>86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.25" customHeight="1" x14ac:dyDescent="0.25">
      <c r="A7" s="1"/>
      <c r="B7" s="1"/>
      <c r="C7" s="1" t="s">
        <v>646</v>
      </c>
      <c r="D7" s="1"/>
      <c r="E7" s="1" t="s">
        <v>230</v>
      </c>
      <c r="F7" s="1" t="s">
        <v>647</v>
      </c>
      <c r="G7" s="1"/>
      <c r="H7" s="1" t="s">
        <v>646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 x14ac:dyDescent="0.25">
      <c r="A8" s="1"/>
      <c r="B8" s="1"/>
      <c r="C8" s="1" t="s">
        <v>518</v>
      </c>
      <c r="D8" s="1"/>
      <c r="E8" s="1" t="s">
        <v>589</v>
      </c>
      <c r="F8" s="1" t="s">
        <v>648</v>
      </c>
      <c r="G8" s="1"/>
      <c r="H8" s="1" t="s">
        <v>649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.25" customHeight="1" x14ac:dyDescent="0.25">
      <c r="A9" s="1"/>
      <c r="B9" s="1"/>
      <c r="C9" s="1" t="s">
        <v>41</v>
      </c>
      <c r="D9" s="1"/>
      <c r="E9" s="1" t="s">
        <v>596</v>
      </c>
      <c r="F9" s="1" t="s">
        <v>650</v>
      </c>
      <c r="G9" s="1"/>
      <c r="H9" s="1" t="s">
        <v>444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.25" customHeight="1" x14ac:dyDescent="0.25">
      <c r="A10" s="1"/>
      <c r="B10" s="1"/>
      <c r="C10" s="1" t="s">
        <v>355</v>
      </c>
      <c r="D10" s="1"/>
      <c r="E10" s="1" t="s">
        <v>3584</v>
      </c>
      <c r="F10" s="1" t="s">
        <v>651</v>
      </c>
      <c r="G10" s="1"/>
      <c r="H10" s="1" t="s">
        <v>652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.25" customHeight="1" x14ac:dyDescent="0.25">
      <c r="A11" s="1"/>
      <c r="B11" s="1"/>
      <c r="C11" s="1" t="s">
        <v>653</v>
      </c>
      <c r="D11" s="1"/>
      <c r="E11" s="1" t="s">
        <v>449</v>
      </c>
      <c r="F11" s="1" t="s">
        <v>654</v>
      </c>
      <c r="G11" s="1"/>
      <c r="H11" s="1" t="s">
        <v>257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.25" customHeight="1" x14ac:dyDescent="0.25">
      <c r="A12" s="1"/>
      <c r="B12" s="1"/>
      <c r="C12" s="1" t="s">
        <v>655</v>
      </c>
      <c r="D12" s="1"/>
      <c r="E12" s="1" t="s">
        <v>653</v>
      </c>
      <c r="F12" s="1" t="s">
        <v>656</v>
      </c>
      <c r="G12" s="1"/>
      <c r="H12" s="1" t="s">
        <v>657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.25" customHeight="1" x14ac:dyDescent="0.25">
      <c r="A13" s="1"/>
      <c r="B13" s="1"/>
      <c r="C13" s="1" t="s">
        <v>354</v>
      </c>
      <c r="D13" s="1"/>
      <c r="E13" s="1" t="s">
        <v>658</v>
      </c>
      <c r="F13" s="1"/>
      <c r="G13" s="1"/>
      <c r="H13" s="1" t="s">
        <v>276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 x14ac:dyDescent="0.25">
      <c r="A14" s="1"/>
      <c r="B14" s="3" t="s">
        <v>659</v>
      </c>
      <c r="C14" s="3" t="s">
        <v>659</v>
      </c>
      <c r="D14" s="3"/>
      <c r="E14" s="3" t="s">
        <v>660</v>
      </c>
      <c r="F14" s="3" t="s">
        <v>659</v>
      </c>
      <c r="G14" s="3"/>
      <c r="H14" s="3" t="s">
        <v>661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1.25" customHeight="1" x14ac:dyDescent="0.25">
      <c r="A15" s="1"/>
      <c r="B15" s="1"/>
      <c r="C15" s="2"/>
      <c r="D15" s="2"/>
      <c r="E15" s="1" t="s">
        <v>2050</v>
      </c>
      <c r="F15" s="1"/>
      <c r="G15" s="1"/>
      <c r="H15" s="1" t="s">
        <v>447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1.25" customHeight="1" x14ac:dyDescent="0.25">
      <c r="A16" s="1"/>
      <c r="B16" s="1"/>
      <c r="C16" s="1"/>
      <c r="D16" s="1"/>
      <c r="E16" s="1" t="s">
        <v>2173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.25" customHeight="1" x14ac:dyDescent="0.25">
      <c r="A17" s="1"/>
      <c r="B17" s="1"/>
      <c r="C17" s="1"/>
      <c r="D17" s="1"/>
      <c r="E17" s="1" t="s">
        <v>658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1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1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1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1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1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1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1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1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1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1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1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1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1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1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1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1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1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1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1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1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1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1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1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1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1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1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1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1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1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1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1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1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1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1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21:A1000"/>
  <sheetViews>
    <sheetView workbookViewId="0">
      <selection activeCell="G23" sqref="G23"/>
    </sheetView>
  </sheetViews>
  <sheetFormatPr defaultColWidth="12.59765625" defaultRowHeight="15" customHeight="1" x14ac:dyDescent="0.25"/>
  <cols>
    <col min="1" max="6" width="7.597656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F7566072AFE341A4D8E440AB525502" ma:contentTypeVersion="15" ma:contentTypeDescription="Criar um novo documento." ma:contentTypeScope="" ma:versionID="dad961cea4dfaba28f85a1c942a6fc01">
  <xsd:schema xmlns:xsd="http://www.w3.org/2001/XMLSchema" xmlns:xs="http://www.w3.org/2001/XMLSchema" xmlns:p="http://schemas.microsoft.com/office/2006/metadata/properties" xmlns:ns2="4212bae1-5da1-478a-a85a-e3a599af8e3e" xmlns:ns3="ef0bb4d5-afe9-4deb-a31b-8619397d1d36" xmlns:ns4="dc1e2e25-50cd-4921-978e-23d7863873ae" targetNamespace="http://schemas.microsoft.com/office/2006/metadata/properties" ma:root="true" ma:fieldsID="747ad7fb3cb646999e0133725e783dc8" ns2:_="" ns3:_="" ns4:_="">
    <xsd:import namespace="4212bae1-5da1-478a-a85a-e3a599af8e3e"/>
    <xsd:import namespace="ef0bb4d5-afe9-4deb-a31b-8619397d1d36"/>
    <xsd:import namespace="dc1e2e25-50cd-4921-978e-23d7863873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2bae1-5da1-478a-a85a-e3a599af8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31e36a97-9088-4fd5-a83c-fa7938b07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bb4d5-afe9-4deb-a31b-8619397d1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e2e25-50cd-4921-978e-23d7863873a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9bc7a31-a177-4ea7-8844-9f4bdb524b3a}" ma:internalName="TaxCatchAll" ma:showField="CatchAllData" ma:web="ef0bb4d5-afe9-4deb-a31b-8619397d1d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0bb4d5-afe9-4deb-a31b-8619397d1d36">
      <UserInfo>
        <DisplayName>HENRIQUE DOS SANTOS SILVA, CARLOS</DisplayName>
        <AccountId>122</AccountId>
        <AccountType/>
      </UserInfo>
    </SharedWithUsers>
    <lcf76f155ced4ddcb4097134ff3c332f xmlns="4212bae1-5da1-478a-a85a-e3a599af8e3e">
      <Terms xmlns="http://schemas.microsoft.com/office/infopath/2007/PartnerControls"/>
    </lcf76f155ced4ddcb4097134ff3c332f>
    <TaxCatchAll xmlns="dc1e2e25-50cd-4921-978e-23d7863873ae" xsi:nil="true"/>
  </documentManagement>
</p:properties>
</file>

<file path=customXml/itemProps1.xml><?xml version="1.0" encoding="utf-8"?>
<ds:datastoreItem xmlns:ds="http://schemas.openxmlformats.org/officeDocument/2006/customXml" ds:itemID="{2C289004-8A87-47A2-AC57-A60F2CEB41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E37C0A-E6BC-4E74-8FB1-B8765D21C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2bae1-5da1-478a-a85a-e3a599af8e3e"/>
    <ds:schemaRef ds:uri="ef0bb4d5-afe9-4deb-a31b-8619397d1d36"/>
    <ds:schemaRef ds:uri="dc1e2e25-50cd-4921-978e-23d786387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12702E-26F4-4E2B-B8EF-DA20582B113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AA13FC8-64EA-493E-828C-062D90507459}">
  <ds:schemaRefs>
    <ds:schemaRef ds:uri="http://schemas.microsoft.com/office/2006/metadata/properties"/>
    <ds:schemaRef ds:uri="http://schemas.microsoft.com/office/infopath/2007/PartnerControls"/>
    <ds:schemaRef ds:uri="ef0bb4d5-afe9-4deb-a31b-8619397d1d36"/>
    <ds:schemaRef ds:uri="4212bae1-5da1-478a-a85a-e3a599af8e3e"/>
    <ds:schemaRef ds:uri="dc1e2e25-50cd-4921-978e-23d7863873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9</vt:i4>
      </vt:variant>
    </vt:vector>
  </HeadingPairs>
  <TitlesOfParts>
    <vt:vector size="15" baseType="lpstr">
      <vt:lpstr>SEMESTRAL</vt:lpstr>
      <vt:lpstr>ANUAL</vt:lpstr>
      <vt:lpstr>REVISÃO</vt:lpstr>
      <vt:lpstr>Planilha1</vt:lpstr>
      <vt:lpstr>APOIO</vt:lpstr>
      <vt:lpstr>Plan1</vt:lpstr>
      <vt:lpstr>AREAS</vt:lpstr>
      <vt:lpstr>ÁREAS_NÃO_PRODUTIVAS</vt:lpstr>
      <vt:lpstr>ATOMATADOS</vt:lpstr>
      <vt:lpstr>CEREAIS</vt:lpstr>
      <vt:lpstr>INSTRUMENTAÇÃO</vt:lpstr>
      <vt:lpstr>LABORATÓRIO</vt:lpstr>
      <vt:lpstr>LOGÍSTICA</vt:lpstr>
      <vt:lpstr>MOAGEM</vt:lpstr>
      <vt:lpstr>UTILIDADES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Lima</dc:creator>
  <cp:keywords/>
  <dc:description/>
  <cp:lastModifiedBy>CALDEIRA DA SILVA, DENISCLEY</cp:lastModifiedBy>
  <cp:revision/>
  <dcterms:created xsi:type="dcterms:W3CDTF">2021-07-07T00:41:22Z</dcterms:created>
  <dcterms:modified xsi:type="dcterms:W3CDTF">2026-08-06T17:58:48Z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0x0101003EF7566072AFE341A4D8E440AB525502</vt:lpwstr>
  </property>
  <property fmtid="{D5CDD505-2E9C-101B-9397-08002B2CF9AE}" pid="3" name="MediaServiceImageTags">
    <vt:lpwstr/>
  </property>
</Properties>
</file>